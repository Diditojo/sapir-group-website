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OneDrive\Desktop\AI_FOLDER\Luch\"/>
    </mc:Choice>
  </mc:AlternateContent>
  <xr:revisionPtr revIDLastSave="0" documentId="13_ncr:1_{21B1483F-063A-4967-8DD1-14E155926B00}" xr6:coauthVersionLast="47" xr6:coauthVersionMax="47" xr10:uidLastSave="{00000000-0000-0000-0000-000000000000}"/>
  <bookViews>
    <workbookView xWindow="19070" yWindow="-21710" windowWidth="38620" windowHeight="21100" tabRatio="500" firstSheet="4" activeTab="8" xr2:uid="{00000000-000D-0000-FFFF-FFFF00000000}"/>
  </bookViews>
  <sheets>
    <sheet name="Обзор" sheetId="1" r:id="rId1"/>
    <sheet name="Реестр оборудования" sheetId="2" r:id="rId2"/>
    <sheet name="Сводка CapEx по уровням" sheetId="3" r:id="rId3"/>
    <sheet name="Окупаемость и выручка" sheetId="4" r:id="rId4"/>
    <sheet name="Региональные факторы стоимости" sheetId="5" r:id="rId5"/>
    <sheet name="Источники и методология" sheetId="6" r:id="rId6"/>
    <sheet name="Биомаркеры" sheetId="7" r:id="rId7"/>
    <sheet name="Программы" sheetId="8" r:id="rId8"/>
    <sheet name="Персонал" sheetId="9" r:id="rId9"/>
  </sheets>
  <definedNames>
    <definedName name="_xlnm._FilterDatabase" localSheetId="1" hidden="1">'Реестр оборудования'!$A$1:$Y$135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4" l="1"/>
  <c r="B68" i="4"/>
  <c r="D47" i="3"/>
  <c r="C47" i="3"/>
  <c r="B47" i="3"/>
  <c r="B48" i="3" s="1"/>
  <c r="B49" i="3" s="1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D48" i="3" s="1"/>
  <c r="D49" i="3" s="1"/>
  <c r="C42" i="3"/>
  <c r="C48" i="3" s="1"/>
  <c r="C49" i="3" s="1"/>
  <c r="B42" i="3"/>
  <c r="D36" i="3"/>
  <c r="C36" i="3"/>
  <c r="B36" i="3"/>
  <c r="B37" i="3" s="1"/>
  <c r="B38" i="3" s="1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D37" i="3" s="1"/>
  <c r="D38" i="3" s="1"/>
  <c r="C31" i="3"/>
  <c r="C37" i="3" s="1"/>
  <c r="C38" i="3" s="1"/>
  <c r="B31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B26" i="3" s="1"/>
  <c r="B27" i="3" s="1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D15" i="3" s="1"/>
  <c r="D16" i="3" s="1"/>
  <c r="C9" i="3"/>
  <c r="C15" i="3" s="1"/>
  <c r="C16" i="3" s="1"/>
  <c r="B9" i="3"/>
  <c r="B15" i="3" s="1"/>
  <c r="B16" i="3" s="1"/>
  <c r="C26" i="3" l="1"/>
  <c r="C27" i="3" s="1"/>
  <c r="D26" i="3"/>
  <c r="D27" i="3" s="1"/>
</calcChain>
</file>

<file path=xl/sharedStrings.xml><?xml version="1.0" encoding="utf-8"?>
<sst xmlns="http://schemas.openxmlformats.org/spreadsheetml/2006/main" count="3318" uniqueCount="1869">
  <si>
    <t>Премиальный Longevity Resort ,  Бенчмарк CapEx</t>
  </si>
  <si>
    <t>Оборудование, ПО, SPA, кухня и медицинская инфраструктура в четырёх регионах</t>
  </si>
  <si>
    <t>Дата выпуска</t>
  </si>
  <si>
    <t>2026-05-03</t>
  </si>
  <si>
    <t>Покрытие по уровням</t>
  </si>
  <si>
    <t>Lanserhof/CLP (полная медицинская глубина)  |  SHA/Chenot (медицина-лайт)  |  Six Senses Place (велнес-плюс)</t>
  </si>
  <si>
    <t>Профиль объекта</t>
  </si>
  <si>
    <t>80–100 номеров (модель использует середину диапазона ,  90 номеров); премиальное люкс-позиционирование</t>
  </si>
  <si>
    <t>Регионы ценообразования</t>
  </si>
  <si>
    <t>Западная Европа (EUR) | Северная Америка (USD) | Азия (USD, с указанием страны) | Россия (RUB, оценка)</t>
  </si>
  <si>
    <t>Количество позиций</t>
  </si>
  <si>
    <t>134 позиции в 16 категориях</t>
  </si>
  <si>
    <t>СОДЕРЖИМОЕ КНИГИ</t>
  </si>
  <si>
    <t>Обзор</t>
  </si>
  <si>
    <t>Эта страница ,  методология, определения уровней, цветовая легенда</t>
  </si>
  <si>
    <t>Реестр оборудования</t>
  </si>
  <si>
    <t>Все 134 позиции с брендом, ценами в четырёх регионах, привязкой к уровню, источником и достоверностью</t>
  </si>
  <si>
    <t>Сводка CapEx по уровням</t>
  </si>
  <si>
    <t>Свод по уровням, группам и регионам. Живые формулы ,  изменения в реестре или keys_count пересчитают итоги.</t>
  </si>
  <si>
    <t>Окупаемость и выручка</t>
  </si>
  <si>
    <t>Блоки окупаемости оборудования, цены процедур и пакетов, логика прироста ADR, диапазоны окупаемости</t>
  </si>
  <si>
    <t>Региональные факторы стоимости</t>
  </si>
  <si>
    <t>Санкции, таможня и НДС, параллельный импорт, отечественные альтернативы ,  детально по России</t>
  </si>
  <si>
    <t>Источники и методология</t>
  </si>
  <si>
    <t>Все цитируемые источники, оценка достоверности и рекомендованный путь верификации</t>
  </si>
  <si>
    <t>ОПРЕДЕЛЕНИЯ УРОВНЕЙ</t>
  </si>
  <si>
    <t>Уровень Six Senses Place (велнес-плюс)</t>
  </si>
  <si>
    <t>Велнес-плюс. Премиальное SPA, полноценная термальная зона, пилатес и тренажёрный зал, полная кухня, PMS и ИТ. Без медицинского центра, визуализации, собственной лаборатории и МИС. Позиции этого уровня входят во ВСЕ уровни (операционная база).</t>
  </si>
  <si>
    <t>Уровень SHA/Chenot (медицина-лайт)</t>
  </si>
  <si>
    <t>Медицина-лайт. Добавляются УЗИ, DEXA, рентген, базовые лабораторные анализаторы, ЭКГ-комплекс, HSAT, кресла для капельниц, FibroScan, RMR, МИС среднего класса и базовая медицинская инфраструктура.</t>
  </si>
  <si>
    <t>Уровень Lanserhof/CLP (полный медицинский)</t>
  </si>
  <si>
    <t>Полная медицинская глубина. Добавляются МРТ 3 Тл и 1,5 Тл, КТ, ОКТ, маммография, полноценная PSG/ЭЭГ, озон/ИГГТ/HBOT, эстетические лазеры, полнофункциональный PACS, полная система медицинских газов, генератор и HEPA.</t>
  </si>
  <si>
    <t>Опциональный апселл</t>
  </si>
  <si>
    <t>Учитывается отдельно ,  Epic EHR, криолиполиз, парк ECG-патчей, корпоративные WHOOP/Garmin. НЕ входят в базовые итоги уровней.</t>
  </si>
  <si>
    <t>ЦВЕТОВАЯ ЛЕГЕНДА</t>
  </si>
  <si>
    <t>Жёсткий ввод</t>
  </si>
  <si>
    <t>Числа, которые пользователь меняет под сценарии (цены, keys_count, курсы)</t>
  </si>
  <si>
    <t>Формула / расчёт</t>
  </si>
  <si>
    <t>Ячейки, рассчитываемые книгой по введённым параметрам</t>
  </si>
  <si>
    <t>Кросс-листовая ссылка</t>
  </si>
  <si>
    <t>Ссылки на другие листы ,  поддерживают синхронность сводок с реестром</t>
  </si>
  <si>
    <t>Цвета достоверности</t>
  </si>
  <si>
    <t>Зелёный ,  высокая, жёлтый ,  средняя, оранжевый ,  низкая. Применяются к колонке достоверности в реестре.</t>
  </si>
  <si>
    <t>КАК ЧИТАТЬ ЭТУ КНИГУ</t>
  </si>
  <si>
    <t>1. Реестр оборудования ,  единый источник истины. Изменение цены или количества там автоматически обновляет сводку CapEx через SUMPRODUCT.</t>
  </si>
  <si>
    <t>2. Сводка CapEx использует логику включения уровней: позиции Six Senses учитываются во ВСЕХ трёх уровнях; позиции SHA ,  в CLP и SHA; позиции CLP ,  только в CLP.</t>
  </si>
  <si>
    <t>3. Для ПО раздельно показаны единовременный CapEx и годовая подписка. Годовые суммы относятся к OpEx и в итоги CapEx не включаются.</t>
  </si>
  <si>
    <t>4. Колонка России (₽) имеет НАИМЕНЬШУЮ достоверность ,  рекомендации по верификации см. в листе «Источники и методология».</t>
  </si>
  <si>
    <t>5. «CapEx на номер» использует keys_count из ячейки B3 листа «Сводка CapEx по уровням» (по умолчанию 90 ,  редактируется).</t>
  </si>
  <si>
    <t>ID</t>
  </si>
  <si>
    <t>Категория</t>
  </si>
  <si>
    <t>Подкатегория</t>
  </si>
  <si>
    <t>Оборудование</t>
  </si>
  <si>
    <t>Примеры брендов</t>
  </si>
  <si>
    <t>Назначение</t>
  </si>
  <si>
    <t>Уровень (скорректированный)</t>
  </si>
  <si>
    <t>Уровень (по исследованию)</t>
  </si>
  <si>
    <t>Цена ,  Западная Европа (€)</t>
  </si>
  <si>
    <t>Цена ,  Северная Америка (USD)</t>
  </si>
  <si>
    <t>Цена ,  Азия (USD)</t>
  </si>
  <si>
    <t>Страна Азии</t>
  </si>
  <si>
    <t>Цена ,  Россия, оценка (₽)</t>
  </si>
  <si>
    <t>Количество (80–100 номеров)</t>
  </si>
  <si>
    <t>Срок службы (лет)</t>
  </si>
  <si>
    <t>Годовое обслуживание (% CapEx)</t>
  </si>
  <si>
    <t>FTE на эксплуатацию</t>
  </si>
  <si>
    <t>Источник</t>
  </si>
  <si>
    <t>Достоверность</t>
  </si>
  <si>
    <t>Дата проверки</t>
  </si>
  <si>
    <t>Примечания</t>
  </si>
  <si>
    <t>ЕС: годовая €, ПО</t>
  </si>
  <si>
    <t>СА: годовая $, ПО</t>
  </si>
  <si>
    <t>Азия: годовая $, ПО</t>
  </si>
  <si>
    <t>Россия: годовая ₽, ПО</t>
  </si>
  <si>
    <t>Путь(и) активации</t>
  </si>
  <si>
    <t>Evidence (A/B/C)</t>
  </si>
  <si>
    <t>Гормезис стек (Да/Нет)</t>
  </si>
  <si>
    <t>Эстетика и регенеративные процедуры</t>
  </si>
  <si>
    <t>Аблятивно-неаблятивная платформа</t>
  </si>
  <si>
    <t>Модульная эстетическая лазерная платформа (BBL+Halo+ProFractional)</t>
  </si>
  <si>
    <t>Sciton JOULE X / Lumenis M22</t>
  </si>
  <si>
    <t>Шлифовка кожи, удаление пигментации и сосудистых образований ,  рабочая лошадка эстетического направления.</t>
  </si>
  <si>
    <t>ОАЭ</t>
  </si>
  <si>
    <t>Дилерские предложения Sciton; платформа mJOULE с пробегом по цене $149 950 (mrp.io); прайсы Lumenis 2024.</t>
  </si>
  <si>
    <t>Средняя</t>
  </si>
  <si>
    <t>2026-05</t>
  </si>
  <si>
    <t>Регуляторное замечание: производитель ,  США. Импорт в Россию идёт по параллельным каналам с надбавкой 20–30%. Целесообразно рассмотреть европейские альтернативы (Asclepion, Quantel).</t>
  </si>
  <si>
    <t>Диагностика</t>
  </si>
  <si>
    <t>B</t>
  </si>
  <si>
    <t>Нет</t>
  </si>
  <si>
    <t>Криолиполиз</t>
  </si>
  <si>
    <t>Система криолиполиза (редукция жировой ткани)</t>
  </si>
  <si>
    <t>Allergan CoolSculpting Elite / Cooltech Define</t>
  </si>
  <si>
    <t>Неинвазивная редукция жировой ткани ,  высокомаржинальная эстетическая услуга.</t>
  </si>
  <si>
    <t>Дилер Allergan, 2024; восстановленные системы CoolSculpting Elite на Offer Aesthetic.</t>
  </si>
  <si>
    <t>Регуляторное замечание: Allergan/AbbVie находятся под американским контролем. Для России предпочтительнее Cooltech (Испания, ныне Cocoon Medical).</t>
  </si>
  <si>
    <t>EMSculpt / электромагнитная стимуляция мышц</t>
  </si>
  <si>
    <t>Электромагнитная стимуляция мышц (HIFEM)</t>
  </si>
  <si>
    <t>BTL EMSculpt NEO</t>
  </si>
  <si>
    <t>Прирост мышечной массы и редукция жира ,  востребованная SPA-надстройка.</t>
  </si>
  <si>
    <t>Дилерские предложения BTL Industries 2024–2025.</t>
  </si>
  <si>
    <t>Производитель BTL ,  чешская компания, поэтому канал поставки в Россию относительно чистый.</t>
  </si>
  <si>
    <t>A</t>
  </si>
  <si>
    <t>HIFU-лифтинг кожи</t>
  </si>
  <si>
    <t>Микрофокусированный ультразвук для лифтинга кожи (HIFU)</t>
  </si>
  <si>
    <t>Merz Ultherapy Prime / Ulthera</t>
  </si>
  <si>
    <t>Безоперационное подтягивание кожи ,  востребованная процедура.</t>
  </si>
  <si>
    <t>Konmison: справочник цен на аппараты Ultherapy 2025; vsquareclinic об Ulthera Prime.</t>
  </si>
  <si>
    <t>Расходные картриджи ,  около $300 за процедуру. По России: производитель Merz базируется в ЕС, что снижает санкционные риски по сравнению с американскими аналогами.</t>
  </si>
  <si>
    <t>Светотерапия LED</t>
  </si>
  <si>
    <t>LED-кушетка/панель для медицинской светотерапии</t>
  </si>
  <si>
    <t>NovoTHOR / Celluma PRO panels</t>
  </si>
  <si>
    <t>Фотобиомодуляция для кожи, восстановления и программ долголетия.</t>
  </si>
  <si>
    <t>Розничные цены NovoTHOR 2024 (~$70–90 тыс.); панели Celluma Pro $3–5 тыс. как альтернатива.</t>
  </si>
  <si>
    <t>Полнотельная кушетка NovoTHOR ,  фирменное оборудование премиальных клиник.</t>
  </si>
  <si>
    <t>Радиочастотная терапия</t>
  </si>
  <si>
    <t>Аппарат радиочастотной терапии (Tecar 448 кГц)</t>
  </si>
  <si>
    <t>Indiba Activ Elite NS / Indiba CT9</t>
  </si>
  <si>
    <t>Регенерация тканей, восстановление, контурирование тела ,  двойное применение в реабилитации и эстетике.</t>
  </si>
  <si>
    <t>Референтные предложения дилеров Indiba; клинические тарифы NYDNRehab; листинги б/у на eBay около $55 тыс.</t>
  </si>
  <si>
    <t>Производитель из Испании, что обеспечивает более чистый канал поставки в Россию по сравнению с американскими лазерами.</t>
  </si>
  <si>
    <t>Платформа сосудисто-пигментных лазеров</t>
  </si>
  <si>
    <t>Многоволновая эстетическая лазерная платформа (KTP+Nd:YAG)</t>
  </si>
  <si>
    <t>Cutera Excel V+ / Candela GentleMax Pro</t>
  </si>
  <si>
    <t>Сосудистые образования, пигментация, ревитализация кожи.</t>
  </si>
  <si>
    <t>Листинги новых Cutera Excel V+ от The Laser Agent 2025; Bimedis ,  диапазон б/у $18 613–49 950.</t>
  </si>
  <si>
    <t>Регуляторное замечание: эстетические лазеры из США и Израиля сталкиваются с ограничениями импорта в Россию. Поставка идёт через реэкспорт из Турции/ОАЭ с надбавкой 15–25% и риском отсутствия гарантии.</t>
  </si>
  <si>
    <t>C</t>
  </si>
  <si>
    <t>Состав тела и функциональная диагностика</t>
  </si>
  <si>
    <t>Состав тела ,  воздушная плетизмография</t>
  </si>
  <si>
    <t>Воздушный плетизмограф BodPod GS-X</t>
  </si>
  <si>
    <t>Cosmed BodPod GS-X</t>
  </si>
  <si>
    <t>Эталонный двухкомпонентный анализ состава тела ,  отличие премиального уровня от InBody.</t>
  </si>
  <si>
    <t>Дилерские предложения Cosmed; MedicalExpo 2024.</t>
  </si>
  <si>
    <t>Используется в Lanserhof и CLP. Тяжёлый аппарат, требует выделенного помещения со стабильной температурой.</t>
  </si>
  <si>
    <t>Состав тела ,  биоимпеданс</t>
  </si>
  <si>
    <t>Анализатор состава тела медицинского класса (BIA, мультичастотный)</t>
  </si>
  <si>
    <t>InBody 970 / Seca mBCA 555 (medical-grade)</t>
  </si>
  <si>
    <t>Сегментарный состав тела, ECW/ICW, фазовый угол ,  базовое обследование в программах долголетия.</t>
  </si>
  <si>
    <t>Прайс InBody USA 2025 ($32 605); базовая Seca mBCA Pro $9 599; листинг HaB Direct mBCA 555.</t>
  </si>
  <si>
    <t>Высокая</t>
  </si>
  <si>
    <t>InBody 970 ,  рабочий стандарт; Seca mBCA 555 ,  медицинского класса CE. По России: дистрибьюторы доступны в Москве, санкционных проблем нет.</t>
  </si>
  <si>
    <t>Кардиопульмонология</t>
  </si>
  <si>
    <t>Метаболическая платформа VO2max / CPET</t>
  </si>
  <si>
    <t>Cosmed K5 / Cosmed Quark CPET / MGC Diagnostics</t>
  </si>
  <si>
    <t>VO2max и базальный метаболизм ,  ключевые показатели здорового долголетия.</t>
  </si>
  <si>
    <t>Дилеры Cosmed 2024; листинги MedicalExpo.</t>
  </si>
  <si>
    <t>CPET выполняют и в Lanserhof, и в SHA. В комплекте ,  беговая дорожка либо велоэргометр.</t>
  </si>
  <si>
    <t>DEXA-сканер</t>
  </si>
  <si>
    <t>DEXA-сканер для анализа состава тела и плотности костной ткани</t>
  </si>
  <si>
    <t>Hologic Horizon / GE Lunar iDXA</t>
  </si>
  <si>
    <t>Эталон оценки минеральной плотности костей и состава тела.</t>
  </si>
  <si>
    <t>Дилерские прайсы Hologic/GE 2024.</t>
  </si>
  <si>
    <t>Возможно пересечение с медицинской визуализацией ,  следует контролировать, чтобы позиция учитывалась только один раз.</t>
  </si>
  <si>
    <t>Анализ опорной реакции и походки</t>
  </si>
  <si>
    <t>Система силовых платформ (двойная, встраиваемая)</t>
  </si>
  <si>
    <t>AMTI BMS400600 / Bertec FP4060</t>
  </si>
  <si>
    <t>Опорная реакция, баланс, кинетика походки.</t>
  </si>
  <si>
    <t>Предложения дилеров AMTI; партнёрские цены Noraxon 2024.</t>
  </si>
  <si>
    <t>Пара платформ; для монтажа требуется заглубление в полу. Часто используется в связке с системами Vicon.</t>
  </si>
  <si>
    <t>Анализ походки</t>
  </si>
  <si>
    <t>Клиническая система 3D-захвата движения (8 камер)</t>
  </si>
  <si>
    <t>Vicon Vero/Valkyrie 8-cam + Nexus / Noraxon Ultium</t>
  </si>
  <si>
    <t>Маркерный 3D-анализ походки и биомеханики ,  премиальное преимущество клиники.</t>
  </si>
  <si>
    <t>Бенчмарк ResearchGate ~150 тыс. фунтов; дилерские котировки Vicon 2024.</t>
  </si>
  <si>
    <t>В комплект входят 8 камер Vero, ПО Nexus, калибровка. Опциональный апселл ,  безмаркерная система. По России: экспортный контроль умеренный.</t>
  </si>
  <si>
    <t>Оценка силы</t>
  </si>
  <si>
    <t>Многосуставной изокинетический динамометр</t>
  </si>
  <si>
    <t>Biodex System 4 Pro / Cybex HUMAC NORM</t>
  </si>
  <si>
    <t>Объективная оценка силы и баланса, реабилитация после ACL, спортивная медицина.</t>
  </si>
  <si>
    <t>Дилерские котировки Biodex; обзоры стоимости реабилитационного оборудования в PMC.</t>
  </si>
  <si>
    <t>Необходим для медицинского уровня спортивной реабилитации. Рекомендуется заключить контракт на сервисное обслуживание и калибровку.</t>
  </si>
  <si>
    <t>Кардиология и пульмонология</t>
  </si>
  <si>
    <t>СМАД</t>
  </si>
  <si>
    <t>Суточный монитор артериального давления (24-часовой СМАД)</t>
  </si>
  <si>
    <t>Welch Allyn / Hillrom ABPM 7100, SunTech Oscar 2, Schiller BR-102 plus</t>
  </si>
  <si>
    <t>Суточное мониторирование АД с оценкой ночного снижения.</t>
  </si>
  <si>
    <t>Китай</t>
  </si>
  <si>
    <t>Листинги Cardiac Direct ABPM 7100; SunTech Oscar 2 у дилеров за $2,5–3,5 тыс.; прайс Hillrom.</t>
  </si>
  <si>
    <t>Несколько регистраторов для параллельного ведения гостей. По России: BPLab (Пётр Телегин, российское производство) ,  отечественный стандарт СМАД, зарегистрирован Минздравом.</t>
  </si>
  <si>
    <t>Бодиплетизмография</t>
  </si>
  <si>
    <t>Бодиплетизмограф (полная PFT-лаборатория)</t>
  </si>
  <si>
    <t>MGC Diagnostics BodyBox PFS, Vyaire MasterScreen Body, Cosmed Q-Box</t>
  </si>
  <si>
    <t>Полная диагностика лёгочной функции ,  общая ёмкость, остаточный объём, сопротивление дыхательных путей, DLCO.</t>
  </si>
  <si>
    <t>Журнал Respiratory Therapy: плетизмограф от $50 тыс.; коммерческий прайс MGC BodyBox PFS ~$55–70 тыс.</t>
  </si>
  <si>
    <t>Опционально для отеля 80–100 номеров: оправдан только на уровне Lanserhof/CLP, на уровне SHA/Chenot допустим аутсорсинг. По России: чаще всего импортируется параллельно из Германии.</t>
  </si>
  <si>
    <t>CPET</t>
  </si>
  <si>
    <t>Метаболическая платформа CPET / VO2max</t>
  </si>
  <si>
    <t>COSMED Quark CPET, Vyaire Vyntus CPX, MGC Diagnostics Ultima CPX</t>
  </si>
  <si>
    <t>Кардиопульмональное нагрузочное тестирование; VO2max ,  флагманский биомаркер долголетия.</t>
  </si>
  <si>
    <t>Susquemicro / PNOE: полная платформа $40–80 тыс. и выше; восстановленная COSMED Quark CPET на eBay ~$25–40 тыс.</t>
  </si>
  <si>
    <t>В комплект входят эргометр или беговая дорожка, калибровочные газы, смесительная камера, ПО. По России: COSMED (Италия) поставляется; имеется отечественная альтернатива Aeromed.</t>
  </si>
  <si>
    <t>ЭКГ</t>
  </si>
  <si>
    <t>12-канальная ЭКГ покоя</t>
  </si>
  <si>
    <t>GE MAC 5500, Philips PageWriter TC70, Schiller CARDIOVIT AT-2</t>
  </si>
  <si>
    <t>Стандартная 12-канальная ЭКГ покоя.</t>
  </si>
  <si>
    <t>Discount Cardiology Philips PageWriter TC70 ,  $1 100; Cardiology Outlet Schiller AT-1 ,  $1 795; новый GE MAC по прайсу обычно $4 000–6 500.</t>
  </si>
  <si>
    <t>Несколько аппаратов для кардиологии, первичного приёма и стресс-станций. По России: широко доступны Aktiv-Med ECG Pro и Schiller (поставки сохранены).</t>
  </si>
  <si>
    <t>Парк длительной непрерывной ЭКГ-записи (Zio / KardiaMobile)</t>
  </si>
  <si>
    <t>iRhythm Zio XT (subscription), Bardy Diagnostics CAM, AliveCor KardiaMobile 6L</t>
  </si>
  <si>
    <t>14-дневная непрерывная пэтч-ЭКГ для расширенного мониторинга аритмий.</t>
  </si>
  <si>
    <t>Сингапур</t>
  </si>
  <si>
    <t>iRhythm Zio XT ,  подписочная модель, ~$300–500 за исследование; AliveCor KardiaMobile 6L ,  $149 за устройство плюс сервис.</t>
  </si>
  <si>
    <t>Pass-through: расходник/SaaS, без капитальных затрат, оплата за исследование. По России: Zio XT недоступен; KardiaMobile поставляется параллельным импортом.</t>
  </si>
  <si>
    <t>Холтер</t>
  </si>
  <si>
    <t>Холтер ЭКГ 24–48 часов с аналитической станцией</t>
  </si>
  <si>
    <t>GE SEER 1000, Schiller medilog AR, Philips DigiTrak XT</t>
  </si>
  <si>
    <t>Амбулаторное мониторирование ЭКГ 24–72 часа для выявления аритмий.</t>
  </si>
  <si>
    <t>Листинги Cardiac Direct; восстановленные GE SEER 1000 на DotMed по $2–4 тыс. за регистратор; полная новая система с рабочей станцией €10–15 тыс.</t>
  </si>
  <si>
    <t>Цена учитывает 3 регистратора и 1 рабочую станцию анализа. По России: домашний стандарт ,  Aktiv-Med Holter Pro.</t>
  </si>
  <si>
    <t>Реанимационное оснащение</t>
  </si>
  <si>
    <t>Реанимационная тележка с дефибриллятором, AED и монитором</t>
  </si>
  <si>
    <t>Philips HeartStart MRx, ZOLL X Series, Mindray BeneHeart D6</t>
  </si>
  <si>
    <t>Реагирование на критические ситуации: дефибриллятор, монитор, тележка с препаратами для безопасности клиники.</t>
  </si>
  <si>
    <t>Philips MRx / ZOLL X Series ,  комплект «дефибриллятор-монитор» €18–30 тыс.; AED ~€1,5–3 тыс.; коммерческие прайсы на полные реанимационные комплекты.</t>
  </si>
  <si>
    <t>Две единицы (клиника плюс SPA-зона). Обязательное регуляторное требование. По России: широко доступны Mindray и отечественные дефибрилляторы (Aksion).</t>
  </si>
  <si>
    <t>Спирометрия</t>
  </si>
  <si>
    <t>Спирометр с функцией PFT</t>
  </si>
  <si>
    <t>ndd EasyOne Pro, Vyaire MasterScreen PFT, MGC Diagnostics CPFS/D</t>
  </si>
  <si>
    <t>Спирометрия, FEV1/FVC, MVV, исследование функции лёгких при executive-скрининге.</t>
  </si>
  <si>
    <t>Прайс ndd Medical / MGC Diagnostics; обзор продуктов в Respiratory Therapy 2024.</t>
  </si>
  <si>
    <t>Часто интегрируется в систему CPET во избежание дублирования. По России: Schiller Spirovit-AT и MIR Spirobank продолжают импортироваться.</t>
  </si>
  <si>
    <t>Стресс-тестирование</t>
  </si>
  <si>
    <t>Стресс-ЭКГ с беговой дорожкой (полная система)</t>
  </si>
  <si>
    <t>GE CASE V6.7 + T2100-ST treadmill, Schiller CARDIOVIT CS-200 Excellence + Trackmaster</t>
  </si>
  <si>
    <t>Нагрузочная ЭКГ на дорожке, протокол Брюса, выявление ишемии.</t>
  </si>
  <si>
    <t>MFI Medical Schiller CS-200 Excellence ,  $25 950; AIM Cardio CardioStress + GE ,  комплект от $8 995 (восстановленный); новая система €25–35 тыс.</t>
  </si>
  <si>
    <t>Часто совмещается со станцией CPET. По России: Schiller CS-200 поставляется через российских партнёров (Schiller ,  швейцарская компания, не в санкционных списках ЕС); отечественная альтернатива ,  Aktiv-Med Cardio.</t>
  </si>
  <si>
    <t>Эргометр для стресс-эхокардиографии (горизонтальный велотренажёр)</t>
  </si>
  <si>
    <t>Lode Angio Stress, ergoselect 1200 EL, GE eBike</t>
  </si>
  <si>
    <t>Горизонтальный велоэргометр для стресс-эхо и фармакологического стресс-теста.</t>
  </si>
  <si>
    <t>Прайс Lode (Нидерланды) и Ergoline на горизонтальный велоэргометр €18–25 тыс.; коммерческие дилеры кардиологического оборудования.</t>
  </si>
  <si>
    <t>Опционально, только при наличии стресс-эхо. По России: Lode и Ergoline ввозятся через Турцию и ОАЭ.</t>
  </si>
  <si>
    <t>Сосудистая диагностика</t>
  </si>
  <si>
    <t>Анализ пульсовой волны / артериальная жёсткость</t>
  </si>
  <si>
    <t>AtCor SphygmoCor XCEL, IEM Mobil-O-Graph PWA, Hypertension Diagnostics CR-2000</t>
  </si>
  <si>
    <t>Центральное аортальное давление, индекс аугментации, скорость пульсовой волны (сосудистый возраст).</t>
  </si>
  <si>
    <t>AtCor SphygmoCor ,  коммерческий прайс ~$15–25 тыс.; IEM Mobil-O-Graph у дилеров €8–12 тыс.; полный комплект XCEL отраслевого уровня ,  €15–22 тыс.</t>
  </si>
  <si>
    <t>Сосудистый возраст ,  флагманский биомаркер долголетия (используется в Lanserhof и Buchinger). По России: IEM (Германия) поставляется; BPLab-Vasotens ,  отечественная альтернатива по более низкой цене.</t>
  </si>
  <si>
    <t>Витальные показатели</t>
  </si>
  <si>
    <t>Многопараметрический монитор витальных показателей</t>
  </si>
  <si>
    <t>Mindray ePM 12M, Philips IntelliVue MX450, GE B105M</t>
  </si>
  <si>
    <t>Многопараметрический монитор для IV-зоны, восстановления и наблюдения за сном.</t>
  </si>
  <si>
    <t>Mindray ePM12M у дилеров $4–6 тыс.; Philips MX450 ,  €7–9 тыс.; восстановленные на 50% дешевле.</t>
  </si>
  <si>
    <t>По России: доминирует Mindray; используются также отечественные Triton и Aktiv-Med ECG.</t>
  </si>
  <si>
    <t>Инфраструктура</t>
  </si>
  <si>
    <t>Криотерапия и термальные зоны</t>
  </si>
  <si>
    <t>Финская сауна</t>
  </si>
  <si>
    <t>Премиальная финская сауна (коммерческая, на 8–12 человек, Klafs/Tylo)</t>
  </si>
  <si>
    <t>Klafs Premium / Tylo Sense / Helo</t>
  </si>
  <si>
    <t>Традиционная финская сауна ,  основа термальной программы.</t>
  </si>
  <si>
    <t>Каталог Klafs Premium; коммерческие цены на печи Tylo Sense 2024.</t>
  </si>
  <si>
    <t>Сауны под санкции не подпадают. У Klafs есть авторизованные дилеры в России.</t>
  </si>
  <si>
    <t>Гипербарическая оксигенация</t>
  </si>
  <si>
    <t>Гипербарическая кислородная камера (мягкая, 1,3–2,0 ATA)</t>
  </si>
  <si>
    <t>OxyHealth Vitaeris / Solace 210</t>
  </si>
  <si>
    <t>Мягкая гипербарическая оксигенация для восстановления и долголетия.</t>
  </si>
  <si>
    <t>Дилеры OxyHealth 2024; листинги Solace.</t>
  </si>
  <si>
    <t>Мягкокорпусная HBOT. Жёсткие медицинские камеры (3+ ATA) дороже в 5–10 раз.</t>
  </si>
  <si>
    <t>Гормезис, Снижение воспаления</t>
  </si>
  <si>
    <t>Купель / холодный бассейн</t>
  </si>
  <si>
    <t>Холодная купель (4–10 °C, 2–3 человека)</t>
  </si>
  <si>
    <t>Klafs Cool Pool / Plunge / custom stainless</t>
  </si>
  <si>
    <t>Контрастная терапия после сауны или бани ,  необходимая смежная зона.</t>
  </si>
  <si>
    <t>Дилеры Klafs/Plunge 2024.</t>
  </si>
  <si>
    <t>В состав входят чиллер и фильтрация. Бетонная чаша/корпус не учтены.</t>
  </si>
  <si>
    <t>Гормезис, Активация AMPK, Митохондриальная функция</t>
  </si>
  <si>
    <t>Да</t>
  </si>
  <si>
    <t>Инфракрасная сауна</t>
  </si>
  <si>
    <t>Премиальная ИК-сауна (полный спектр, 3–4 человека)</t>
  </si>
  <si>
    <t>Sunlighten mPulse Conquer / Klafs InfraPLUS</t>
  </si>
  <si>
    <t>Детоксикация и поддержка сердечно-сосудистой системы ,  необременительная фирменная процедура.</t>
  </si>
  <si>
    <t>Прайс Sunlighten Conquer 2026 ,  $12 099–16 199; каталог Klafs.</t>
  </si>
  <si>
    <t>Sunlighten базируется в США, возможны сложности с ввозом. Для России предпочтительнее Klafs (Германия).</t>
  </si>
  <si>
    <t>Локальная криотерапия</t>
  </si>
  <si>
    <t>Аппарат локальной криотерапии (холодный воздух -30 °C)</t>
  </si>
  <si>
    <t>Cryomed Pro / Zimmer Cryo 6</t>
  </si>
  <si>
    <t>Точечная криотерапия для лица и суставов ,  эстетика и реабилитация.</t>
  </si>
  <si>
    <t>Дилерские предложения Zimmer MedizinSysteme; каталог Cryomed.</t>
  </si>
  <si>
    <t>Производство в Германии ,  чистый канал поставки в Россию.</t>
  </si>
  <si>
    <t>Русская баня ,  парная</t>
  </si>
  <si>
    <t>Премиальная русская парная (на дровах, сруб, под ключ)</t>
  </si>
  <si>
    <t>SEVERNO Valgar / Hamam-Elit / regional Ural artisans / Klafs Banya line</t>
  </si>
  <si>
    <t>Русская дровяная парная (60–90 °C, периодические поддачи и веники) ,  культурный якорь.</t>
  </si>
  <si>
    <t>Премиальные модульные комплекты SEVERNO 4,3–7,98 млн ₽ (Valgar/Valkeda/Andoma); 95c.ru ,  варианты «под ключ» от 400 тыс. ₽; типовые проекты Hamam-m от 290 тыс. ₽.</t>
  </si>
  <si>
    <t>Российская закупка крайне желательна ,  культурная аутентичность и отсутствие логистических затрат. Премиальная спецификация: обшивка кедром или липой, камни жадеит/талькомагнезит, печь премиум-класса (Тунгуска, Купель, Tylo Sense), ручная работа. В штат закладывается банщик. Сысертский регион сохраняет сильную банную традицию.</t>
  </si>
  <si>
    <t>Русская баня ,  вторая</t>
  </si>
  <si>
    <t>Второй парной зал (белая баня) для увеличения пропускной способности</t>
  </si>
  <si>
    <t>SEVERNO / regional Russian builders</t>
  </si>
  <si>
    <t>Дополнительная парная для обеспечения ёмкости и приватных групповых посещений.</t>
  </si>
  <si>
    <t>SEVERNO Andoma ,  4,3 млн ₽; региональные уральские мастера.</t>
  </si>
  <si>
    <t>Для отеля 80–100 номеров рекомендуется иметь не менее двух одновременно работающих парных.</t>
  </si>
  <si>
    <t>Русская баня ,  по-чёрному</t>
  </si>
  <si>
    <t>Чёрная баня (по-чёрному, традиционная курная)</t>
  </si>
  <si>
    <t>Custom artisan build (regional Ural specialists)</t>
  </si>
  <si>
    <t>Аутентичная баня по-чёрному ,  редкий премиальный опыт.</t>
  </si>
  <si>
    <t>Оценки артельных мастеров (95c.ru, propar.club, региональные уральские строители).</t>
  </si>
  <si>
    <t>Подлинная курная баня: дым выходит непосредственно в парилку, стены естественно покрываются дёгтем (антибактериальный эффект). Сысертский и уральский регионы ,  премиальный отличительный признак. Топка занимает 4–6 часов. Локальная закупка обязательна.</t>
  </si>
  <si>
    <t>Снежная комната</t>
  </si>
  <si>
    <t>Снежная комната (настоящий снежный душ, -10 °C)</t>
  </si>
  <si>
    <t>TechnoAlpin SnowRoom / Klafs Iceland</t>
  </si>
  <si>
    <t>Премиальный термоконтрастный опыт ,  фирменная фишка Lanserhof.</t>
  </si>
  <si>
    <t>Каталог TechnoAlpin/Klafs 2024.</t>
  </si>
  <si>
    <t>Премиальный фирменный элемент. Производство Италии и Германии ,  чистый канал в Россию.</t>
  </si>
  <si>
    <t>Криотерапия всего тела</t>
  </si>
  <si>
    <t>Камера криотерапии всего тела (электрическая, -85… -110 °C)</t>
  </si>
  <si>
    <t>Mecotec Cryo:One / Cryomed Pro / CRYO Arctic</t>
  </si>
  <si>
    <t>Восстановление и противовоспалительный эффект ,  флагман среди процедур восстановления.</t>
  </si>
  <si>
    <t>Дилерские диапазоны Mecotec 2024; прайс CRYO Arctic; отчёт Global Wellness Institute.</t>
  </si>
  <si>
    <t>Трёхфазное питание, выделенное помещение ~25 кв. м. Российская альтернатива: Криомед/Krion с ценой ~12–18 млн ₽.</t>
  </si>
  <si>
    <t>Лучевая диагностика</t>
  </si>
  <si>
    <t>Дополнительная визуализация</t>
  </si>
  <si>
    <t>ОКТ сетчатки и фундус-камера (сосудистый биомаркер долголетия)</t>
  </si>
  <si>
    <t>Topcon Maestro2, Optos Daytona, Heidelberg Spectralis OCT</t>
  </si>
  <si>
    <t>Оптическая когерентная томография и фотография глазного дна ,  оценка ретинальных сосудов как суррогата сердечно-сосудистого риска.</t>
  </si>
  <si>
    <t>Дилерские цены Topcon, Heidelberg, Optos; премиальные ОКТ-системы €60–90 тыс. за новые.</t>
  </si>
  <si>
    <t>Всё чаще включается в расширенную панель долголетия. По России: Topcon (Япония) поставляется; Heidelberg ,  параллельным импортом.</t>
  </si>
  <si>
    <t>Сканер дерматоскопии с ИИ (картирование родинок всего тела)</t>
  </si>
  <si>
    <t>FotoFinder bodystudio ATBM, Canfield VECTRA WB180, DermaGraphix</t>
  </si>
  <si>
    <t>Тотальная фотография тела для скрининга меланомы ,  ожидание премиального гостя.</t>
  </si>
  <si>
    <t>FotoFinder/Canfield ,  коммерческие прайсы €75–130 тыс. за полную систему с ПО на базе ИИ.</t>
  </si>
  <si>
    <t>Низкая</t>
  </si>
  <si>
    <t>Оценочная стоимость, поставщики не публикуют цены публично. ИИ-компоненты подпадают под экспортный контроль ЕС в отношении России (медицинское ML-ПО). Российских аналогов почти нет.</t>
  </si>
  <si>
    <t>КТ</t>
  </si>
  <si>
    <t>КТ-сканер 128–256 срезов (премиальный, с протоколом низкодозного скрининга лёгких)</t>
  </si>
  <si>
    <t>Siemens SOMATOM go.Top / X.cite, GE Revolution Apex / EVO, Philips Incisive CT 128</t>
  </si>
  <si>
    <t>Кардио-КТ, оценка коронарного кальция, низкодозный скрининг рака лёгких, онкостадирование, виртуальная колоноскопия.</t>
  </si>
  <si>
    <t>Medical Imaging Source ,  гид по ценам ($175–325 тыс. за класс 128–256 срезов; новые премиальные $700 тыс. – 1,2 млн); LBN Medical; диапазоны Siemens; восстановленный 128-срезовый €120–180 тыс.</t>
  </si>
  <si>
    <t>Включает протокол низкодозной КТ грудной клетки (отдельный аппарат для скрининга лёгких не нужен). Помещение со свинцовой защитой обязательно. По России: высокосрезовые КТ западных производителей подпадают под экспортный контроль ЕС/США; параллельный импорт и китайские альтернативы (United Imaging uCT 760, Neusoft NeuViz) применяются всё чаще.</t>
  </si>
  <si>
    <t>Митохондриальная функция, Очищение от стареющих клеток, Гормезис</t>
  </si>
  <si>
    <t>Кардиология</t>
  </si>
  <si>
    <t>Подсчёт коронарного кальция (использует КТ ,  программный модуль)</t>
  </si>
  <si>
    <t>Siemens syngo.via CaScoring, GE SmartScore, Philips IntelliSpace</t>
  </si>
  <si>
    <t>ИИ-обработка для подсчёта коронарного кальция ,  Agatston score.</t>
  </si>
  <si>
    <t>Siemens syngo.via, GE и Philips ,  модули €30–60 тыс., часто в составе пакета; KLAS imaging IT 2024.</t>
  </si>
  <si>
    <t>Оценочная стоимость: ПО-надстройка к КТ, обычно идёт в комплекте. ИИ-диагностические платформы попадают под экспортный контроль ЕС/США в отношении России (двойное назначение).</t>
  </si>
  <si>
    <t>DEXA</t>
  </si>
  <si>
    <t>DEXA денситометр с анализом состава тела (whole-body)</t>
  </si>
  <si>
    <t>Hologic Horizon A, GE Lunar iDXA, GE Lunar Prodigy</t>
  </si>
  <si>
    <t>Минеральная плотность костей, оценка саркопении, висцеральный жир и состав тела ,  ключевой биомаркер долголетия.</t>
  </si>
  <si>
    <t>Block Imaging ,  гид по ценам DEXA 2025 ($16–45 тыс. за восстановленные старые модели; новые Hologic Horizon A и GE iDXA ,  $90–130 тыс.); прайс Hologic; данные Kwipped по аренде.</t>
  </si>
  <si>
    <t>iDXA ,  золотой стандарт количественной оценки висцерального жира и тощей массы. По России: ограничений меньше (низкая чувствительность по технологиям); локальные дистрибьюторы Aktiv-Med и Ostex продолжают работу.</t>
  </si>
  <si>
    <t>ИТ-визуализация</t>
  </si>
  <si>
    <t>Система PACS / RIS</t>
  </si>
  <si>
    <t>Sectra PACS, Agfa Enterprise Imaging, Visus JiveX</t>
  </si>
  <si>
    <t>Хранение, просмотр и протоколирование изображений ,  корпоративный архив для всех модальностей.</t>
  </si>
  <si>
    <t>Отчёты KLAS по рынку PACS; типовые внедрения Sectra/Agfa в небольших клиниках €70–150 тыс. с системой хранения; данные HIMSS Analytics.</t>
  </si>
  <si>
    <t>Обязательно при наличии МРТ/КТ/эхо/DEXA на месте. По России: представлены отечественные PACS (RuPACS, Inobitek); западные сталкиваются с ограничениями по облаку и локализации данных.</t>
  </si>
  <si>
    <t>МРТ</t>
  </si>
  <si>
    <t>МРТ 1,5 Тл (рабочая лошадка ,  класс Magnetom Sola / Ingenia Ambition)</t>
  </si>
  <si>
    <t>Siemens Magnetom Sola, Philips Ingenia Ambition 1.5T, GE SIGNA Voyager</t>
  </si>
  <si>
    <t>Базовая визуализация для повседневной диагностики, опорно-двигательного аппарата, абдоминальной и сосудистой областей. Бюджетная альтернатива или дополнение к 3 Тл.</t>
  </si>
  <si>
    <t>Block Imaging ,  гид по 1,5 Тл 2025 ($150–500 тыс. восстановленные, $1–3 млн новые по Grandview); листинги Atlantis Worldwide GE 1,5 Тл Excite HD; Medical Imaging Source 2025.</t>
  </si>
  <si>
    <t>Восстановленные 1,5 Тл доступны за €200–450 тыс. (~50% экономии). Многие резорты долголетия (например, SHA, Chenot) ограничиваются 1,5 Тл и аутсорсят 3 Тл. По России: параллельный импорт с надбавкой, аналогичной 3 Тл, но действующий парк старых 1,5 Тл велик; альтернатива ,  United Imaging uMR 588 примерно на 30% дешевле.</t>
  </si>
  <si>
    <t>МРТ 3 Тл (премиальный класс ,  Magnetom Vida / Ingenia Elition / SIGNA Premier)</t>
  </si>
  <si>
    <t>Siemens Magnetom Vida, Philips Ingenia Elition 3.0T S, GE SIGNA Premier / Architect</t>
  </si>
  <si>
    <t>Премиальная визуализация всего тела: неврологический базис, онкоскрининг, опорно-двигательный аппарат, расширенная кардио-МРТ. Ядро executive-диагностики уровня Lanserhof/CLP.</t>
  </si>
  <si>
    <t>Block Imaging ,  гид по МРТ 2026; Medical Imaging Source 2025; Philips Ingenia Elition 3.0T S ,  восстановленный ~$650 тыс.; GE Signa Architect ,  восстановленный ~$1,1 млн; новые премиальные 3 Тл $1,8–3 млн. Цены ЕС обычно на 10–15% ниже американских.</t>
  </si>
  <si>
    <t>Требуется радиочастотно-экранированный кабинет (стоимость монтажа €150–250 тыс.), периодическая дозаправка гелия, выделенный рентгенолаборант и врач-рентгенолог. По России: продвинутые системы 3 Тл от GE/Siemens/Philips подпадают под санкции (EU 833/2014, двойное назначение); параллельный импорт через Турцию, ОАЭ или Казахстан увеличивает стоимость на 25–40% и сопровождается потерей сервисного контракта производителя. Российские покупатели всё чаще переходят на United Imaging (Китай) и Neusoft с экономией 30–40%.</t>
  </si>
  <si>
    <t>Маммография</t>
  </si>
  <si>
    <t>Цифровая маммография</t>
  </si>
  <si>
    <t>Hologic Selenia Dimensions 3D, GE Senographe Pristina, Siemens Mammomat Revelation</t>
  </si>
  <si>
    <t>Маммография 2D/3D (томосинтез) ,  скрининг рака молочной железы (executive-обследование).</t>
  </si>
  <si>
    <t>Цены Block Imaging; Hologic Selenia 3D ,  новый ~$260–350 тыс.</t>
  </si>
  <si>
    <t>Опционально: при объёме менее 1000 исследований в год можно аутсорсить. Обязательно для полного executive-скрининга женщин уровня Lanserhof. По России: Hologic ограничен санкциями; жизнеспособны United Imaging uMammo и MTL (Россия).</t>
  </si>
  <si>
    <t>Ультразвук</t>
  </si>
  <si>
    <t>Универсальный абдоминальный/сосудистый УЗИ-сканер (премиум)</t>
  </si>
  <si>
    <t>Philips EPIQ Elite, GE LOGIQ E10, Mindray Resona R9</t>
  </si>
  <si>
    <t>Сканирование органов брюшной полости, сосудистый допплер (сонные и периферические сосуды), щитовидная железа, молочные железы.</t>
  </si>
  <si>
    <t>Premium-ультразвук Probo Medical; ITN Online; обзоры Mindray Resona I9T/R9 в диапазоне $60–90 тыс.</t>
  </si>
  <si>
    <t>По России: Mindray широко доступен и не затронут санкциями ,  экономия 30–40% по сравнению с западными производителями. Многие российские клиники с 2023 года стандартизуют новые проекты на Mindray.</t>
  </si>
  <si>
    <t>Портативный УЗИ для опорно-двигательного аппарата (POC)</t>
  </si>
  <si>
    <t>Mindray MX8 MSK / ME8, GE LOGIQ V2, Philips Lumify</t>
  </si>
  <si>
    <t>Визуализация суставов, сухожилий и мягких тканей; контроль инъекций для ортопедии и реабилитации.</t>
  </si>
  <si>
    <t>Ultrasound Portables / National Ultrasound ,  листинги Mindray ME8; гид Probo Medical по MSK-ультразвуку.</t>
  </si>
  <si>
    <t>Используется командами физиотерапии и спортивной медицины. По России: цепочка поставок Mindray не нарушена.</t>
  </si>
  <si>
    <t>Премиальный кардиологический УЗИ (эхокардиография)</t>
  </si>
  <si>
    <t>GE Vivid E95 / E80, Philips EPIQ CVx, Siemens ACUSON SC2000</t>
  </si>
  <si>
    <t>Расширенная эхокардиография ,  4D, strain-визуализация, контрастное эхо. Базовое предложение кардиологии.</t>
  </si>
  <si>
    <t>Probo Medical ,  гид покупателя (премиум-кардио $50–100 тыс. восстановленные, $130–200 тыс. новые); ITN Online; листинги EPIQ CVx у Vomark и Soma Tech.</t>
  </si>
  <si>
    <t>По России: премиальные эхо GE/Philips ограничены санкциями; Mindray Resona 7/R9 (Китай) широко используется как премиальная альтернатива на 40% дешевле. Mindray активно представлен на российском рынке после 2022 года.</t>
  </si>
  <si>
    <t>Рентген</t>
  </si>
  <si>
    <t>Цифровой рентген-кабинет (DR)</t>
  </si>
  <si>
    <t>Siemens Multix Impact, GE Discovery XR656, Philips DigitalDiagnost C90</t>
  </si>
  <si>
    <t>Рентгенография общего профиля ,  органы грудной клетки, опорно-двигательный аппарат, неотложная визуализация.</t>
  </si>
  <si>
    <t>Block Imaging ,  DR-кабинет $80–180 тыс. за новый; Siemens/Philips/GE DR в коммерческом диапазоне €100–180 тыс.</t>
  </si>
  <si>
    <t>Включает детектор, трубку и рабочую станцию (свинцовое экранирование помещения добавляет €40–60 тыс.). По России: домашняя «Электрон Рентген-Оптика» широко используется и обходится примерно вдвое дешевле.</t>
  </si>
  <si>
    <t>Тренажёрный зал и силовая зона</t>
  </si>
  <si>
    <t>Кардио-линейка</t>
  </si>
  <si>
    <t>Премиальная кардио-линейка (8 единиц: дорожки, велотренажёры, эллипсы)</t>
  </si>
  <si>
    <t>Technogym Excite Live / Artis cardio</t>
  </si>
  <si>
    <t>Кардиозона: 4 беговых дорожки, 2 велотренажёра, 2 эллипса.</t>
  </si>
  <si>
    <t>Trade-цены Technogym Excite Live 2024.</t>
  </si>
  <si>
    <t>Восемь единиц ,  типовая комплектация для отеля 80–100 номеров. Средняя цена премиума $13–16 тыс. за единицу.</t>
  </si>
  <si>
    <t>Свободные веса</t>
  </si>
  <si>
    <t>Набор свободных весов (Eleiko, премиальные гантели, штанги, диски)</t>
  </si>
  <si>
    <t>Eleiko IPF Powerlifting Set + dumbbells 2.5-50kg</t>
  </si>
  <si>
    <t>Зона свободных весов.</t>
  </si>
  <si>
    <t>Eleiko IPF Powerlifting Set ~€6–7 тыс.; Oprema.fit, помосты Eleiko €2 359–6 534.</t>
  </si>
  <si>
    <t>Швеция, Eleiko ,  чистый канал поставки в Россию. В комплект входят полный набор гантелей, стойки и диски.</t>
  </si>
  <si>
    <t>Функциональный/кроссоверы</t>
  </si>
  <si>
    <t>Функциональная рама с кроссоверами</t>
  </si>
  <si>
    <t>Technogym Kinesis Personal / Escape Octagon / Rogue Monster</t>
  </si>
  <si>
    <t>Зона функционального тренинга.</t>
  </si>
  <si>
    <t>Technogym Kinesis Personal $20–30 тыс.; Escape Octagon $25–40 тыс. (2024).</t>
  </si>
  <si>
    <t>В состав входят два Kinesis Personal, силовая рама и навесные элементы.</t>
  </si>
  <si>
    <t>Тяжелоатлетические помосты</t>
  </si>
  <si>
    <t>Тяжелоатлетические помосты Eleiko (премиум, 4 станции)</t>
  </si>
  <si>
    <t>Eleiko SVR Sound Reduction / IPF Platform</t>
  </si>
  <si>
    <t>Зона тяжёлой атлетики и пауэрлифтинга.</t>
  </si>
  <si>
    <t>Eleiko SVR Platform; Oprema.fit €2 359–6 534.</t>
  </si>
  <si>
    <t>Комплект из четырёх помостов SVR.</t>
  </si>
  <si>
    <t>Гостевой опыт</t>
  </si>
  <si>
    <t>Линейка селекторных тренажёров</t>
  </si>
  <si>
    <t>Премиальная селекторная линейка (15 позиций)</t>
  </si>
  <si>
    <t>Technogym Artis Strength / Selection / Matrix Ultra</t>
  </si>
  <si>
    <t>Базовые силовые станции на блоках.</t>
  </si>
  <si>
    <t>Trade-цены Technogym Artis (~$12–14 тыс. за единицу в среднем); каталог Matrix Ultra.</t>
  </si>
  <si>
    <t>Производитель ,  Италия. По России: до 2022 года у Technogym был российский дилер; сейчас ,  параллельный импорт с надбавкой 15–25%.</t>
  </si>
  <si>
    <t>Студия групповых занятий</t>
  </si>
  <si>
    <t>Комплектация студии (зеркала, велотренажёры, маты, аудио)</t>
  </si>
  <si>
    <t>Technogym Group Cycle / Keiser M3i + sound + mirrors</t>
  </si>
  <si>
    <t>Групповые занятия (йога, сайклинг, HIIT).</t>
  </si>
  <si>
    <t>Дилерские диапазоны Technogym/Keiser 2024.</t>
  </si>
  <si>
    <t>20 велотренажёров, аудиосистема, зеркала и напольное покрытие.</t>
  </si>
  <si>
    <t>Гидротерапия и SPA</t>
  </si>
  <si>
    <t>Душ-впечатления</t>
  </si>
  <si>
    <t>Комплект сенсорного душа (дождь/туман/холод/аромат)</t>
  </si>
  <si>
    <t>Dornbracht Sensory Sky / Klafs / Effegibi</t>
  </si>
  <si>
    <t>Сенсорные переходы во влажной зоне.</t>
  </si>
  <si>
    <t>Розничные цены Dornbracht Sensory Sky; каталог Klafs 2024.</t>
  </si>
  <si>
    <t>Включает оборудование и систему управления; черновая сантехника не входит.</t>
  </si>
  <si>
    <t>Гостевой опыт, Снижение воспаления</t>
  </si>
  <si>
    <t>Флоатинг / сенсорная депривация</t>
  </si>
  <si>
    <t>Флоат-капсула / танк (коммерческого класса)</t>
  </si>
  <si>
    <t>Floatworks i-sopod / Dreampod / Superior Float Tanks</t>
  </si>
  <si>
    <t>Сенсорная депривация ,  программа восстановления и долголетия.</t>
  </si>
  <si>
    <t>i-sopod £20 460 (~$27 тыс.) ,  Floatworks 2024; листинги Dreampod.</t>
  </si>
  <si>
    <t>Не входит подготовка помещения (акустика и влагозащита) ,  дополнительно $15–25 тыс. Первичная заправка сульфатом магния ,  около $3–4 тыс.</t>
  </si>
  <si>
    <t>Хаммам</t>
  </si>
  <si>
    <t>Хаммам (паровая, премиальная плитка/мрамор, под ключ)</t>
  </si>
  <si>
    <t>Starpool Soul / Klafs / Effegibi Topkapi</t>
  </si>
  <si>
    <t>Традиционный турецкий хаммам ,  фирменная влажная зона.</t>
  </si>
  <si>
    <t>Дилерские диапазоны Starpool/Effegibi (Италия); SPA-бенчмарки financialmodelslab.</t>
  </si>
  <si>
    <t>В комплект входят подогреваемая лежанка, парогенератор, мраморная облицовка, освещение. Корпус помещения не входит.</t>
  </si>
  <si>
    <t>Кнайпп</t>
  </si>
  <si>
    <t>Кнайпп-дорожка (тёплые и холодные ванночки для ног)</t>
  </si>
  <si>
    <t>Custom build, Klafs/Hoesch fittings</t>
  </si>
  <si>
    <t>Тренировка сосудов ,  фирменный элемент Lanserhof и CLP.</t>
  </si>
  <si>
    <t>Каталог Klafs/Hoesch Kneipp; референсы Lanserhof.</t>
  </si>
  <si>
    <t>Преимущественно строительные работы и фитинги. Себестоимость сильно зависит от исполнения коробки. Цена отражает только арматуру и насосы.</t>
  </si>
  <si>
    <t>Митохондриальная функция, Снижение воспаления</t>
  </si>
  <si>
    <t>Массажные столы</t>
  </si>
  <si>
    <t>Премиальные массажные столы (электрические, с подогревом)</t>
  </si>
  <si>
    <t>Gharieni MLW / Lemi Spa Vision / Living Earth Crafts</t>
  </si>
  <si>
    <t>Столы для процедурных кабинетов.</t>
  </si>
  <si>
    <t>Каталоги дилеров Gharieni/Lemi 2024.</t>
  </si>
  <si>
    <t>Стоимость за единицу. Для 80–100 номеров типовое количество ,  около 14 процедурных кабинетов.</t>
  </si>
  <si>
    <t>Соляная пещера</t>
  </si>
  <si>
    <t>Галокамера / соляная пещера (под ключ)</t>
  </si>
  <si>
    <t>Halogenerator + Himalayan salt walls (custom)</t>
  </si>
  <si>
    <t>Респираторное оздоровление, фирменный опыт.</t>
  </si>
  <si>
    <t>Дилерские котировки Salt Chamber, Halia, Solay 2024.</t>
  </si>
  <si>
    <t>Включает галогенератор (~$8–12 тыс.), соляную облицовку, кресла и освещение.</t>
  </si>
  <si>
    <t>Талассотерапевтический бассейн</t>
  </si>
  <si>
    <t>Талассо-бассейн (подогретая минерализованная вода с гидромассажем)</t>
  </si>
  <si>
    <t>Custom, Hidromassage / Klafs Aqua</t>
  </si>
  <si>
    <t>Гидротерапия с минерализованной/морской водой и форсунками.</t>
  </si>
  <si>
    <t>Отраслевые бенчмарки SPA; ценовой диапазон Klafs Aqua.</t>
  </si>
  <si>
    <t>Только оборудование и фильтрация; чаша добавляет ~$300–500 тыс. Сысерть: морскую воду заменить циркуляцией с минеральной солью.</t>
  </si>
  <si>
    <t>Снижение воспаления, Гостевой опыт</t>
  </si>
  <si>
    <t>Душ Виши</t>
  </si>
  <si>
    <t>Стол душа Виши (мультидушевой массаж)</t>
  </si>
  <si>
    <t>Lemi / Gharieni / Starpool Vichy</t>
  </si>
  <si>
    <t>Гидромассажный стол ,  фирменная SPA-процедура.</t>
  </si>
  <si>
    <t>Дилеры Lemi (Италия); каталог Gharieni 2024.</t>
  </si>
  <si>
    <t>Критичны спецификации сантехники и отвода. Производство Италии и Германии ,  чистый канал в Россию.</t>
  </si>
  <si>
    <t>Влажные процедурные столы</t>
  </si>
  <si>
    <t>Soft pack / Расуль / влажная процедурная капсула</t>
  </si>
  <si>
    <t>Gharieni Soft Pack MLW / Rasul chamber</t>
  </si>
  <si>
    <t>Гибридные влажно-сухие фирменные процедуры.</t>
  </si>
  <si>
    <t>Дилеры Gharieni 2024.</t>
  </si>
  <si>
    <t>Производство Германии ,  чистый канал в Россию.</t>
  </si>
  <si>
    <t>ИТ, МИС, ПО для пациентов</t>
  </si>
  <si>
    <t>Контроль доступа и RFID-замки</t>
  </si>
  <si>
    <t>Электронные замки номеров и контроль доступа в служебных зонах</t>
  </si>
  <si>
    <t>Salto, Assa Abloy VingCard, dormakaba</t>
  </si>
  <si>
    <t>RFID/мобильные ключи на дверь; раздельные зоны для персонала.</t>
  </si>
  <si>
    <t>Kompareit hotel access $1500–2500/дверь; 100 дверей плюс 30 служебных.</t>
  </si>
  <si>
    <t>Премиальная спецификация (BLE и мобильный ключ). По России: VingCard поставляется параллельным импортом с надбавкой 20–25%.</t>
  </si>
  <si>
    <t>МИС/EHR</t>
  </si>
  <si>
    <t>МИС среднего класса (уровень Athenahealth)</t>
  </si>
  <si>
    <t>Athenahealth athenaOne, Tebra, ModMed; Russian: МИС МедОфис, qMS</t>
  </si>
  <si>
    <t>Ведение клинической документации медицинского центра; интеграция с лабораторией и визуализацией.</t>
  </si>
  <si>
    <t>Athenahealth $140 за специалиста в месяц плюс 4–8% от собранной выручки; внедрение $2–5 тыс. на специалиста; emrguides.com 2025.</t>
  </si>
  <si>
    <t>По России: 152-ФЗ о локализации данных блокирует западные облачные МИС. Российские qMS/МедОфис обходятся примерно на 50% дешевле, но требуют кастомной интеграции.</t>
  </si>
  <si>
    <t>МИС (опционально, уровень Epic)</t>
  </si>
  <si>
    <t>МИС корпоративного уровня (Epic/Cerner)</t>
  </si>
  <si>
    <t>Epic Hyperspace, Oracle Health (Cerner Millennium)</t>
  </si>
  <si>
    <t>Полнофункциональная МИС больничного класса для медцентра курорта.</t>
  </si>
  <si>
    <t>Tactionsoft 2025 ($500 тыс. – 10 млн); arkenea.com Cerner; Veterans Memorial Hospital $3,88 млн.</t>
  </si>
  <si>
    <t>Избыточно для отеля 80–100 номеров; уместно только при стационарной мощности. В России развёртывание невозможно.</t>
  </si>
  <si>
    <t>Гостевой опыт / мобильное приложение</t>
  </si>
  <si>
    <t>Гостевое мобильное приложение и in-room планшеты</t>
  </si>
  <si>
    <t>Crave Interactive, SuitePad, Hudini, INTELITY</t>
  </si>
  <si>
    <t>Мобильный check-in, заказ в номер, бронирование процедур, контент.</t>
  </si>
  <si>
    <t>Бенчмарки hospitality tech; планшет $600–1200 на номер плюс лицензия $25–40 на номер в месяц.</t>
  </si>
  <si>
    <t>Включает планшеты в номера, лицензии и интеграцию с PMS/SPA.</t>
  </si>
  <si>
    <t>Платформа долголетия для пациентов</t>
  </si>
  <si>
    <t>Специализированная платформа долголетия для пациентов</t>
  </si>
  <si>
    <t>Function Health (B2B), Hone Health, Healthspan; alt: custom</t>
  </si>
  <si>
    <t>Отслеживание биомаркеров, личный кабинет, продольные результаты, ИИ-аналитика.</t>
  </si>
  <si>
    <t>Function Health B2B (Equinox $249, Higginbotham $334 в год за участника); sacra.com.</t>
  </si>
  <si>
    <t>Годовой ARR ,  около 200–300 активных участников по $250–350 в год. По России: потребуется кастомная разработка либо изолированный инстанс.</t>
  </si>
  <si>
    <t>Гормезис, Активация AMPK, Снижение воспаления</t>
  </si>
  <si>
    <t>Сетевая инфраструктура</t>
  </si>
  <si>
    <t>Проводная и Wi-Fi 6/7 магистраль (корпоративный класс)</t>
  </si>
  <si>
    <t>Cisco Meraki, RUCKUS Networks, Aruba; Russian: Eltex, QTECH</t>
  </si>
  <si>
    <t>Гостевая и служебная сети с сегментированными VLAN, включая медицинский сегмент.</t>
  </si>
  <si>
    <t>RUCKUS/Cisco hospitality vertical; ~€2–3 тыс. за установленную точку доступа, 80 точек плюс коммутация.</t>
  </si>
  <si>
    <t>По России: Cisco/Aruba под санкциями с 2022 года. Замена ,  Eltex/QTECH либо серый рынок.</t>
  </si>
  <si>
    <t>Снижение воспаления</t>
  </si>
  <si>
    <t>PMS ,  отельная часть</t>
  </si>
  <si>
    <t>Облачная PMS (отель 80–100 номеров класса люкс)</t>
  </si>
  <si>
    <t>Mews Enterprise, Oracle Opera Cloud, Protel; Russian: Bnovo, Shelter, TravelLine</t>
  </si>
  <si>
    <t>Бронирование, гостевые счета, хаускипинг, channel manager, интеграция POS.</t>
  </si>
  <si>
    <t>Mews Enterprise (hoteltechreport, roommaster); цена Mews EUR 300/мес.</t>
  </si>
  <si>
    <t>По России на 2026 год: Mews и Opera ушли после санкций 2022 года. Российские альтернативы (Shelter, Bnovo) обходятся на 40–50% дешевле, но уступают премиальным сценариям.</t>
  </si>
  <si>
    <t>Гормезис, Активация AMPK, Митохондриальная функция, Снижение воспаления</t>
  </si>
  <si>
    <t>Безопасность ,  видеонаблюдение</t>
  </si>
  <si>
    <t>IP-видеонаблюдение (40–60 камер плюс NVR)</t>
  </si>
  <si>
    <t>Avigilon, Axis, Hanwha; Russian: TRASSIR, Macroscop</t>
  </si>
  <si>
    <t>Периметр и служебные зоны.</t>
  </si>
  <si>
    <t>Avigilon/Axis у дилеров; ~€1–1,5 тыс. за установленную камеру.</t>
  </si>
  <si>
    <t>По России: доминирует TRASSIR; цена выгоднее западных решений.</t>
  </si>
  <si>
    <t>Система записи в SPA и медицинском блоке</t>
  </si>
  <si>
    <t>Интегрированная система записи на SPA и процедуры</t>
  </si>
  <si>
    <t>Book4Time, Agilysys Spa, ResortSuite</t>
  </si>
  <si>
    <t>Расписание терапевтов, загрузка кабинетов, управление пакетами, ритейл.</t>
  </si>
  <si>
    <t>Book4Time, Agilysys, ResortSuite ,  ориентировочные цены 2025.</t>
  </si>
  <si>
    <t>Критично для премиальных велнес-резортов; интегрируется с PMS и МИС.</t>
  </si>
  <si>
    <t>Телефония и IPTV</t>
  </si>
  <si>
    <t>VoIP-телефония и IPTV</t>
  </si>
  <si>
    <t>Mitel, Cisco; LG/Samsung Pro:Idiom IPTV</t>
  </si>
  <si>
    <t>Телефония в номерах, IPTV, телефония в служебных зонах.</t>
  </si>
  <si>
    <t>Бенчмарк интеграторов hospitality AV/IT.</t>
  </si>
  <si>
    <t>Резорты среднего сегмента иногда отказываются от стационарной телефонии в пользу стриминга.</t>
  </si>
  <si>
    <t>Гормезис, Активация AMPK, Митохондриальная функция, Снижение воспаления, Гостевой опыт</t>
  </si>
  <si>
    <t>Инфузионная терапия</t>
  </si>
  <si>
    <t>Гипербарическая кислородная камера ,  мягкая HBOT (1,3–1,5 ATA)</t>
  </si>
  <si>
    <t>OxyHealth Vitaeris 320, Hyperbaric Centrales OxyVita, Summit to Sea Dive</t>
  </si>
  <si>
    <t>Мягкокорпусная гипербарическая оксигенация для протоколов восстановления и долголетия.</t>
  </si>
  <si>
    <t>Прайс OxyHealth Vitaeris 320 $20–35 тыс.; типовая мягкокорпусная HBOT €25–45 тыс. Жёсткие медицинские камеры (2,0+ ATA) дороже в 5–10 раз.</t>
  </si>
  <si>
    <t>Объём ограничен мягкокорпусной HBOT (упрощённая регуляторика, без сжатого кислорода). Жёсткие камеры ,  отдельная категория, не учтены. По России: отечественные камеры BLKS и OxyHealth ,  параллельным импортом.</t>
  </si>
  <si>
    <t>ИГГТ</t>
  </si>
  <si>
    <t>Аппарат интервальной гипоксической-гипероксической тренировки</t>
  </si>
  <si>
    <t>Cellgym Pro / Lounge, Hypoxico Everest Summit II, GO2Altitude Biomedtech</t>
  </si>
  <si>
    <t>Интервальная гипоксия-гипероксия ,  митохондриальный тренинг, протокол долголетия.</t>
  </si>
  <si>
    <t>Cellgym у дилеров €30–45 тыс. за Pro/Lounge; цены дистрибьюторов Hypoxico; референсы установок Cellgym в Cocoon Medical Spa.</t>
  </si>
  <si>
    <t>Оценочно: публичная цена Cellgym отсутствует. Розничная сессия €50–80. Три аппарата покрывают 25–30 сеансов в день. По России: отечественная Bio-Nova MTI/IHT ,  альтернатива за €12–18 тыс.</t>
  </si>
  <si>
    <t>IV-зона</t>
  </si>
  <si>
    <t>Кресло-реклайнер для IV-капельниц</t>
  </si>
  <si>
    <t>Champion Manufacturing 56 series, Stance Healthcare Bari, Winco CareCliner</t>
  </si>
  <si>
    <t>Удобное кресло-реклайнер для капельниц, NAD+ и витаминотерапии.</t>
  </si>
  <si>
    <t>Champion / Stance / Winco ,  клинические реклайнеры $2 500–5 000; типовые предложения дилеров €3 000–4 500.</t>
  </si>
  <si>
    <t>6–8 кресел на резорт 80–100 номеров. По России: отечественный Med-Mos и поставки через Турцию одинаково жизнеспособны.</t>
  </si>
  <si>
    <t>Инфузионные насосы</t>
  </si>
  <si>
    <t>Умный инфузионный насос</t>
  </si>
  <si>
    <t>B.Braun Infusomat Space, Baxter Sigma Spectrum IQ, BD Alaris</t>
  </si>
  <si>
    <t>Умный инфузионный насос с DERS для витаминов, NAD+, хелатной терапии и пептидов.</t>
  </si>
  <si>
    <t>Outfront Medical / Coast Biomed Baxter Sigma Spectrum ,  восстановленные $1,5–2,5 тыс.; B.Braun ,  новый ~€3–4 тыс.</t>
  </si>
  <si>
    <t>8 насосов на 6 кресел плюс 2 резервных. По России: B.Braun (Германия) поставляется, но сроки увеличены; используются и российские насосы Yelatma.</t>
  </si>
  <si>
    <t>Озонотерапия</t>
  </si>
  <si>
    <t>Медицинский озонотерапевтический генератор</t>
  </si>
  <si>
    <t>Herrmann Apparatebau Hyper Medozon comfort, Zotzmann + Stahl OzonoSan, Humares Medozon</t>
  </si>
  <si>
    <t>Большая и малая аутогемотерапия, инсуффляция, озонированный физраствор.</t>
  </si>
  <si>
    <t>MedicalExpo Herrmann Hyper Medozon comfort; листинг HealthManagement.org; восстановленные на Medbidding €6–9 тыс.; новые €15–22 тыс. от немецких дилеров.</t>
  </si>
  <si>
    <t>Жёстко регулируется: запрещено/ограничено в США (FDA), разрешено в Германии, Австрии, Швейцарии, Испании, России под медицинским контролем. По России: озонотерапия имеет зарегистрированные показания Минздрава; отечественная альтернатива ,  Медозонс-БМ.</t>
  </si>
  <si>
    <t>Кухня и F&amp;B</t>
  </si>
  <si>
    <t>Хлебопекарная печь</t>
  </si>
  <si>
    <t>Подовая/конвекционная хлебопекарная печь</t>
  </si>
  <si>
    <t>MIWE Condo 3.0608, MIWE econo, Wachtel</t>
  </si>
  <si>
    <t>Собственный хлеб, выпечка, безглютеновая продукция.</t>
  </si>
  <si>
    <t>Ориентировочные цены MIWE/Wachtel (archiexpo, bakeryequipment.com) для трёхподовой модели.</t>
  </si>
  <si>
    <t>Органическая безглютеновая пекарня в стиле Lanserhof требует подовую печь с расстойкой.</t>
  </si>
  <si>
    <t>Холодный цех</t>
  </si>
  <si>
    <t>Станция холодной кухни (охлаждаемая зона подготовки и подачи)</t>
  </si>
  <si>
    <t>Inomak, True, Hoshizaki</t>
  </si>
  <si>
    <t>Салаты, raw-блюда, сашими, подача чистой кухни.</t>
  </si>
  <si>
    <t>Inomak/True (дилеры ЕС); линейная зона 6–8 м.</t>
  </si>
  <si>
    <t>Критично для raw- и clean-программ (стиль Chenot).</t>
  </si>
  <si>
    <t>Пароконвектомат</t>
  </si>
  <si>
    <t>Премиальный пароконвектомат (10×1/1 GN)</t>
  </si>
  <si>
    <t>Rational iCombi Pro 10-1/1, Convotherm 4 easyTouch</t>
  </si>
  <si>
    <t>Терапевтическая и ресторанная кухня; пар, конвекция, низкие температуры.</t>
  </si>
  <si>
    <t>Дилеры Rational (WebstaurantStore, Buzz Catering, Nella) 2025; российский дилер ~+25% к ЕС.</t>
  </si>
  <si>
    <t>Три аппарата покрывают терапевтическую, горячую и банкетную кухни.</t>
  </si>
  <si>
    <t>Гормезис, Гостевой опыт</t>
  </si>
  <si>
    <t>Пароконвектомат (компакт)</t>
  </si>
  <si>
    <t>Компактный пароконвектомат (6×1/1 GN)</t>
  </si>
  <si>
    <t>Rational iCombi Pro 6-1/1, UNOX ChefTop</t>
  </si>
  <si>
    <t>Кондитерский цех, рыба, диетическая зона, room-service.</t>
  </si>
  <si>
    <t>Прайс Rational; дилеры UNOX (ЕС) 2025.</t>
  </si>
  <si>
    <t>Используется в кондитерской и дополнительной диетической линии.</t>
  </si>
  <si>
    <t>Посудомоечная машина (конвейерная)</t>
  </si>
  <si>
    <t>Конвейерная/тоннельная посудомоечная машина</t>
  </si>
  <si>
    <t>Hobart FT1000e, Winterhalter MTF, Meiko M-iQ</t>
  </si>
  <si>
    <t>Основная линия моечной для банкетов и ресторана.</t>
  </si>
  <si>
    <t>Hobart, Winterhalter ,  дилеры ЕС 2025; hobartcorp.com.</t>
  </si>
  <si>
    <t>Обязательна для отеля 80–100 номеров с банкетной нагрузкой.</t>
  </si>
  <si>
    <t>Посудомоечные машины (фронтальные и подстольные)</t>
  </si>
  <si>
    <t>Подстольные и фронтальные стаканомойки и посудомойки (комплект)</t>
  </si>
  <si>
    <t>Hobart, Winterhalter UC-M, Meiko</t>
  </si>
  <si>
    <t>Бар, сокобар, станции подготовки.</t>
  </si>
  <si>
    <t>Hobart/Winterhalter ,  дилеры ЕС 2025.</t>
  </si>
  <si>
    <t>Комплект из 4 машин закрывает бар, сокобар, банкеты и сателлит.</t>
  </si>
  <si>
    <t>Зонты и вентиляция</t>
  </si>
  <si>
    <t>Зонты I типа, пожаротушение и приточно-вытяжная установка</t>
  </si>
  <si>
    <t>Halton, Captive Aire, Greenheck</t>
  </si>
  <si>
    <t>Обязательная по нормативам вытяжка над горячим цехом.</t>
  </si>
  <si>
    <t>Halton/Captive Aire; справочник по коммерческой кухне Avanti 2025 ($8–25 тыс. за зонт).</t>
  </si>
  <si>
    <t>Система вытяжки ,  крупная скрытая статья; обязательна для горячей линии.</t>
  </si>
  <si>
    <t>Промышленный холодный пресс</t>
  </si>
  <si>
    <t>Goodnature X-1 или серийный пресс для гостевых соков</t>
  </si>
  <si>
    <t>Goodnature X-1, Bucher Vaslin</t>
  </si>
  <si>
    <t>Производство 200+ бутылок в день для гостевых наборов.</t>
  </si>
  <si>
    <t>Goodnature X-1 ,  промышленный референс 2025.</t>
  </si>
  <si>
    <t>Опционально, если соковый протокол ,  фирменный элемент.</t>
  </si>
  <si>
    <t>Сокобар/жмыходавильная зона</t>
  </si>
  <si>
    <t>Коммерческий холодный пресс для соков</t>
  </si>
  <si>
    <t>Goodnature CT7 / X-1, Norwalk 290, Angel Pro</t>
  </si>
  <si>
    <t>Терапевтические соки, ежедневный соковый протокол, розничный розлив.</t>
  </si>
  <si>
    <t>Goodnature.com CT7; Surplus Marketplace 2025; Norwalk MSRP $2 495.</t>
  </si>
  <si>
    <t>Две машины ,  основной сокобар плюс станция в терапевтической кухне.</t>
  </si>
  <si>
    <t>Кулинарный модульный блок</t>
  </si>
  <si>
    <t>Модульный кулинарный блок на заказ (4 м)</t>
  </si>
  <si>
    <t>Molteni, Charvet, Athanor; alt: Vulcan Endurance</t>
  </si>
  <si>
    <t>Основная горячая линия à la minute.</t>
  </si>
  <si>
    <t>Дилерские оценки Molteni/Charvet; Vulcan как альтернатива на NA-уровне.</t>
  </si>
  <si>
    <t>Премиум обычно выбирает Molteni; средний сегмент укладывается в €35–50 тыс.</t>
  </si>
  <si>
    <t>Активация AMPK, Модуляция mTOR, Митохондриальная функция, Гормезис</t>
  </si>
  <si>
    <t>Smallwares и фарфор/стекло</t>
  </si>
  <si>
    <t>Пакет smallwares (ножи, посуда, фарфор, стекло, столовое серебро)</t>
  </si>
  <si>
    <t>Wusthof, Mauviel, Riedel, Schott Zwiesel</t>
  </si>
  <si>
    <t>Первичное оснащение всех станций и ресторанных кувертов.</t>
  </si>
  <si>
    <t>Бенчмарк FF&amp;E hospitality; ~€1,5–2 тыс. за куверт премиального фарфора и стекла со smallware.</t>
  </si>
  <si>
    <t>Премиальный сегмент использует Riedel/Schott. Высокая ежегодная замена (~15%).</t>
  </si>
  <si>
    <t>Активация AMPK, Митохондриальная функция, Гормезис</t>
  </si>
  <si>
    <t>Изготовление из нержавеющей стали</t>
  </si>
  <si>
    <t>Столы, мойки, стеллажи (полная нержавеющая обвязка кухни)</t>
  </si>
  <si>
    <t>Custom local fab; Eagle Group, Advance Tabco</t>
  </si>
  <si>
    <t>Прилавки, полки, рукомойники по всей кухне.</t>
  </si>
  <si>
    <t>Справочник Avanti по коммерческим кухням; обвязка кухни 250–350 кв. м.</t>
  </si>
  <si>
    <t>По России: локальное изготовление существенно дешевле.</t>
  </si>
  <si>
    <t>Активация AMPK, Модуляция mTOR, Гормезис</t>
  </si>
  <si>
    <t>Sous-vide и шок-фризер</t>
  </si>
  <si>
    <t>Шок-фризер, вакуумные упаковщики и термостаты sous-vide</t>
  </si>
  <si>
    <t>Irinox, Friginox; Henkelman vacuum; Polyscience circulators</t>
  </si>
  <si>
    <t>HACCP cook-chill, sous-vide для терапевтической кухни.</t>
  </si>
  <si>
    <t>Irinox ,  дилер ЕС 2025; комплект.</t>
  </si>
  <si>
    <t>Стандарт для терапевтических кухонь с длительными низкотемпературными режимами.</t>
  </si>
  <si>
    <t>Холодильные камеры walk-in</t>
  </si>
  <si>
    <t>Камера холодильная и морозильная (несколько зон)</t>
  </si>
  <si>
    <t>Foster, Friginox, Polar King; US: Barr</t>
  </si>
  <si>
    <t>Хранение органических продуктов, белков и кондитерки.</t>
  </si>
  <si>
    <t>Restaurant Warehouse 2025; Barr Commercial; 3–4 walk-in зоны.</t>
  </si>
  <si>
    <t>В состав входят холодильные и морозильные камеры с холодильным агрегатом.</t>
  </si>
  <si>
    <t>Лаборатория и биомаркеры</t>
  </si>
  <si>
    <t>Расширенные биомаркеры (аутсорс)</t>
  </si>
  <si>
    <t>Расширенная биомаркерная панель ,  аутсорс (LabCorp Whole Health / Quest Cardio IQ)</t>
  </si>
  <si>
    <t>LabCorp Whole Health (1000+ biomarkers), Quest Cardio IQ, Boston Heart Diagnostics</t>
  </si>
  <si>
    <t>ApoB, Lp(a), GlycA, oxLDL, индекс омега-3, расширенное фракционирование липидов, микронутриенты.</t>
  </si>
  <si>
    <t>Запуск LabCorp Whole Health Solutions; программы Blueprint ~$365 в год; обзор Healthcare Huddle.</t>
  </si>
  <si>
    <t>Pass-through OPEX, не CAPEX. На гостя €400–1200 за расширенную панель; учитывается с нулевым CAPEX для полноты картины. Российский эквивалент: Helix, Invitro, KDL ,  отечественные лаборатории закрывают большую часть панелей примерно на 30% дешевле.</t>
  </si>
  <si>
    <t>Активация AMPK, Митохондриальная функция, Гормезис, Гостевой опыт</t>
  </si>
  <si>
    <t>Биохимия</t>
  </si>
  <si>
    <t>Биохимический анализатор</t>
  </si>
  <si>
    <t>Roche cobas c311 / c503, Abbott Architect c4000, Beckman AU480</t>
  </si>
  <si>
    <t>Стандартная биохимия ,  печёночные и почечные показатели, липиды, глюкоза, электролиты.</t>
  </si>
  <si>
    <t>Block Scientific ,  листинги cobas; LabX Roche; отраслевой ориентир €60–90 тыс. за middle-throughput.</t>
  </si>
  <si>
    <t>Реагенты ,  основная статья OPEX. По России: поставки реагентов Roche/Abbott в основном сохраняются после 2022 года (медицинское исключение); локальная альтернатива ,  Mindray BS-2000M.</t>
  </si>
  <si>
    <t>Состав тела</t>
  </si>
  <si>
    <t>Биоимпедансный анализатор медицинского класса</t>
  </si>
  <si>
    <t>InBody 970 / 770, seca mBCA 555, Bodystat QuadScan 4000</t>
  </si>
  <si>
    <t>Сегментарный состав тела, ECW/ICW, фазовый угол ,  дополнение к DEXA.</t>
  </si>
  <si>
    <t>Южная Корея</t>
  </si>
  <si>
    <t>InBody 970 у дилеров $18–25 тыс. (США/ЕС); seca mBCA 555 €15–22 тыс.; рыночные данные клинических BCA.</t>
  </si>
  <si>
    <t>InBody 970 ,  отраслевой стандарт премиальных клиник. По России: InBody (Корея) широко представлен; Medass ,  отечественная альтернатива.</t>
  </si>
  <si>
    <t>CGM</t>
  </si>
  <si>
    <t>Комплекты непрерывного мониторинга глюкозы (расходные)</t>
  </si>
  <si>
    <t>Dexcom G7, Abbott FreeStyle Libre 3 Plus</t>
  </si>
  <si>
    <t>14-дневный мониторинг глюкозы в составе программ метаболической оптимизации.</t>
  </si>
  <si>
    <t>Diabetic Warehouse Dexcom G7 (3-pack $399.99); листинги Dexcom и Abbott $70–140 за сенсор; Healthline ,  анализ Dexcom vs Libre.</t>
  </si>
  <si>
    <t>Pass-through, €70–130 за сенсор. По России: параллельный импорт через Турцию даёт надбавку ~50%; российские глюкометры пока уступают Dexcom по точности.</t>
  </si>
  <si>
    <t>Коагулология / спецтесты</t>
  </si>
  <si>
    <t>Анализатор коагуляции с урианализом</t>
  </si>
  <si>
    <t>Sysmex CS-1600 / CS-2500, Roche cobas u 411, Stago STA Compact</t>
  </si>
  <si>
    <t>Коагулограмма (PT/INR/aPTT) и общий анализ мочи с осадком для executive-скрининга.</t>
  </si>
  <si>
    <t>Sysmex/Stago у дилеров; LabX ,  восстановленные коагулометры $10–25 тыс.; новые €30–50 тыс.</t>
  </si>
  <si>
    <t>Совмещённая линия коагулометра и анализатора мочи. По России: альтернативы ,  Mindray и отечественная Belspetsmedtekhnika.</t>
  </si>
  <si>
    <t>Эпигенетика</t>
  </si>
  <si>
    <t>Эпигенетические тесты возраста (аутсорс ,  TruDiagnostic / Clock Foundation)</t>
  </si>
  <si>
    <t>TruDiagnostic TruAge Complete, Clock Foundation GrimAge, Elysium Index</t>
  </si>
  <si>
    <t>Биологические часы Horvath, GrimAge, DunedinPACE ,  бенчмаркинг и повторное тестирование.</t>
  </si>
  <si>
    <t>TruDiagnostic shop ($499 за кит, $998 за 4 квартальных); LongevityAdvice 2024.</t>
  </si>
  <si>
    <t>Pass-through на гостя: $230–500 за кит. Аутсорс лабораториям TruDiagnostic / Clock Foundation. По России: отправка образцов в США частично заблокирована; альтернативы ,  GeroScience либо отправка через Казахстан/Армению.</t>
  </si>
  <si>
    <t>Модуляция mTOR, Инфраструктура</t>
  </si>
  <si>
    <t>Геномика</t>
  </si>
  <si>
    <t>Геномное и фармакогеномное тестирование (аутсорс)</t>
  </si>
  <si>
    <t>Nucleus Genomics, Illumina-network labs, 23andMe Plus, Color</t>
  </si>
  <si>
    <t>Полногеномный анализ, WES, фармакогеномное профилирование ,  однократный долголетческий базис.</t>
  </si>
  <si>
    <t>Nucleus Genomics $399–1000 за WGS; Color $250–500 за панель.</t>
  </si>
  <si>
    <t>Pass-through на гостя; on-site CAPEX отсутствует. По России: Atlas Biomed и Genotek проводят отечественный WES за 25–60 тыс. ₽.</t>
  </si>
  <si>
    <t>Гематология</t>
  </si>
  <si>
    <t>Гематологический анализатор (5-diff)</t>
  </si>
  <si>
    <t>Sysmex XN-1000, Sysmex XN-550, Mindray BC-6800Plus</t>
  </si>
  <si>
    <t>Общий анализ крови, 5-фракционная лейкоформула, ретикулоциты ,  рутинная ежедневная диагностика.</t>
  </si>
  <si>
    <t>Bimedis Sysmex XN-1000 (восстановленный $6,5–11,7 тыс.); LabX ,  новые цены; новый Sysmex обычно €40–60 тыс. Эквивалент Mindray дешевле примерно на 30%.</t>
  </si>
  <si>
    <t>Собственная лаборатория ,  отличительный признак. По России: Mindray BC-6800 ,  доминирующая альтернатива; Sysmex остаётся доступен через параллельный импорт без серьёзных ограничений.</t>
  </si>
  <si>
    <t>Гормоны / иммуноанализ</t>
  </si>
  <si>
    <t>Иммуноанализатор / гормональный анализатор</t>
  </si>
  <si>
    <t>Roche cobas e411 / e601, Abbott Architect i1000SR, Siemens ADVIA Centaur XP</t>
  </si>
  <si>
    <t>Гормональные панели (тиреоидные, кортизол, половые, IGF-1), кардиомаркеры, витамины (D, B12).</t>
  </si>
  <si>
    <t>Bimedis cobas e411 (восстановленный $1,3–21 тыс.); LabX ,  новый e411 ~$85 тыс.; коммерческий прайс Roche.</t>
  </si>
  <si>
    <t>Критично для гормонозаместительной терапии и протоколов долголетия. Привязка к реагентам. По России: реагенты Roche продолжают поступать; восстановленные аппараты всё чаще ввозятся из ЕС.</t>
  </si>
  <si>
    <t>Микробиом</t>
  </si>
  <si>
    <t>Киты микробиомного секвенирования (аутсорс)</t>
  </si>
  <si>
    <t>Viome Gut Intelligence, Zoe, DayTwo, BiomeSight</t>
  </si>
  <si>
    <t>Метагеномное секвенирование микробиоты кишечника ,  вход для персонализированной нутрициологии.</t>
  </si>
  <si>
    <t>InnerBuddies / Nucleus ,  сравнение; Viome $199–399; Zoe $354; DayTwo $499.</t>
  </si>
  <si>
    <t>Pass-through, €250–500 за кит. По России: отечественный Atlas Biomed предлагает микробиомную панель за 18–25 тыс. ₽; трансграничная доставка образцов рабочая.</t>
  </si>
  <si>
    <t>Медицинская инфраструктура</t>
  </si>
  <si>
    <t>HEPA-вентиляция медицинских зон</t>
  </si>
  <si>
    <t>HEPA-фильтрация для зон визуализации, операционных и чистых помещений</t>
  </si>
  <si>
    <t>Camfil HEPA, AAF Flanders; AHU: Daikin/Trane</t>
  </si>
  <si>
    <t>MERV 16 / HEPA по ASHRAE 170 для зоны визуализации и процедурных кабинетов.</t>
  </si>
  <si>
    <t>ASHRAE 170 / Camfil; консультанты по HVAC для медицины $50–150 тыс. за зону, 3–4 зоны.</t>
  </si>
  <si>
    <t>Замена фильтров ,  существенная статья OPEX. По России: СанПиН 2.1.3.2630 в целом эквивалентен.</t>
  </si>
  <si>
    <t>Аварийное питание ,  ИБП</t>
  </si>
  <si>
    <t>ИБП для медицинских и ИТ-зон (200 кВА, модульный)</t>
  </si>
  <si>
    <t>Schneider Galaxy VS, Eaton 93PM, Vertiv Liebert</t>
  </si>
  <si>
    <t>Резервное питание для операционных, визуализации и серверов МИС.</t>
  </si>
  <si>
    <t>CPP Sales ,  больничный ИБП; Backup Battery Power 200 кВА.</t>
  </si>
  <si>
    <t>Замена аккумуляторов через 5–7 лет добавляет существенные затраты.</t>
  </si>
  <si>
    <t>Аварийное питание ,  генератор</t>
  </si>
  <si>
    <t>Дизель-генератор 400–500 кВА с АВР</t>
  </si>
  <si>
    <t>Caterpillar C18, Cummins QSX15, Kohler; Russian: Energo, ЯМЗ</t>
  </si>
  <si>
    <t>Резервное питание всего курорта с приоритетом медицинских зон.</t>
  </si>
  <si>
    <t>Дилерские референсы; бенчмарки резервного питания для медицины (globalpwr.com); АВР и контейнер включены.</t>
  </si>
  <si>
    <t>Резервирование N+1 добавляет ~80%; Energo ,  более бюджетная российская опция.</t>
  </si>
  <si>
    <t>Медицинские газы</t>
  </si>
  <si>
    <t>Трубопровод медицинских газов (O2, вакуум, медицинский воздух, N2O)</t>
  </si>
  <si>
    <t>BeaconMedaes, Atlas Copco GA series, Amico</t>
  </si>
  <si>
    <t>Централизованная подача O2, вакуума и воздуха в кабинеты клиники, IV-зоны и зоны восстановления.</t>
  </si>
  <si>
    <t>BeaconMedaes / Atlas Copco; проектные бенчмарки для 10–15 точек.</t>
  </si>
  <si>
    <t>Стоимость зависит от количества точек (NFPA 99 / EN ISO 7396). Выше при наличии анестезиологических кабинетов.</t>
  </si>
  <si>
    <t>Медицинские отходы</t>
  </si>
  <si>
    <t>Автоклав и система сегрегации медицинских отходов</t>
  </si>
  <si>
    <t>Tuttnauer medical waste autoclave, Celitron, Sterilwave</t>
  </si>
  <si>
    <t>Локальная дезактивация биоопасных отходов.</t>
  </si>
  <si>
    <t>Tuttnauer ,  линейка для медотходов; экономическое исследование nature.com 2024.</t>
  </si>
  <si>
    <t>По России: чаще передаётся лицензированному подрядчику; для собственной обработки требуется соответствие СанПиН.</t>
  </si>
  <si>
    <t>Стерилизация ,  большой автоклав CSSD</t>
  </si>
  <si>
    <t>Госпитальный автоклав среднего размера (CSSD)</t>
  </si>
  <si>
    <t>Tuttnauer GS Series, Getinge 700HC-E, Steris Amsco</t>
  </si>
  <si>
    <t>Стерилизация хирургического и эстетического инструментария.</t>
  </si>
  <si>
    <t>Tuttnauer cost guide 2025 ($60–120 тыс. для среднего размера); medequipdepot.com.</t>
  </si>
  <si>
    <t>Горизонтальный автоклав среднего размера класса B подходит для CSSD клинического объёма.</t>
  </si>
  <si>
    <t>Стерилизация ,  настольный автоклав и УЗ-мойка</t>
  </si>
  <si>
    <t>Настольный автоклав и ультразвуковая мойка</t>
  </si>
  <si>
    <t>Tuttnauer EZ11Plus, Midmark M11; Bandelin/Branson ultrasonic</t>
  </si>
  <si>
    <t>Резервная и сателлитная стерилизация, предварительная очистка инструмента.</t>
  </si>
  <si>
    <t>Henry Schein, Tuttnauer 2025; комплект.</t>
  </si>
  <si>
    <t>Стоимость указана за комплект автоклав + УЗ-мойка.</t>
  </si>
  <si>
    <t>Движение и реабилитация</t>
  </si>
  <si>
    <t>Антигравитационная дорожка</t>
  </si>
  <si>
    <t>Антигравитационная беговая дорожка (DAP-технология)</t>
  </si>
  <si>
    <t>AlterG NEO+ / PRO</t>
  </si>
  <si>
    <t>Тренировка ходьбы со снижением веса, послеоперационная реабилитация, перформанс.</t>
  </si>
  <si>
    <t>AlterG (Lifeward) NEO+ у дилеров 2024; eBay б/у $30–45 тыс.</t>
  </si>
  <si>
    <t>Версия PRO ~$95 тыс. Производитель ,  США, поэтому в Россию идёт через параллельный импорт.</t>
  </si>
  <si>
    <t>Гиротоник</t>
  </si>
  <si>
    <t>Gyrotonic Pulley Tower (оригинальный, коммерческий)</t>
  </si>
  <si>
    <t>Gyrotonic Ultima XS / Reveal</t>
  </si>
  <si>
    <t>Gyrotonic ,  круговое движение, премиальное предложение.</t>
  </si>
  <si>
    <t>Gyrotonic.com Ultima series; trade-дилеры 2024.</t>
  </si>
  <si>
    <t>Оригинальное оборудование Gyrotonic лицензируется и стоит существенно дороже типовых «гиротоник-подобных» устройств с Alibaba. Требуется сертификация тренеров.</t>
  </si>
  <si>
    <t>Гидротерапевтический бассейн</t>
  </si>
  <si>
    <t>Подводная беговая дорожка / гидротерапевтический бассейн с переменной глубиной</t>
  </si>
  <si>
    <t>HydroWorx 2000 / SwimEx 800</t>
  </si>
  <si>
    <t>Аквареабилитация и тренировка походки ,  отличие элитной реабилитации.</t>
  </si>
  <si>
    <t>Оценки HydroWorx; цены The Recovery Club.</t>
  </si>
  <si>
    <t>HydroWorx 2000 с переменной глубиной и дорожкой ,  золотой стандарт. Корпус не входит. Бюджетная альтернатива SwimEx 800 ,  ~$180–220 тыс.</t>
  </si>
  <si>
    <t>Пилатес ,  реформеры</t>
  </si>
  <si>
    <t>Студия пилатес-реформеров (премиум, 8 единиц)</t>
  </si>
  <si>
    <t>Balanced Body Allegro 2 / STOTT V2 Max / Peak Fit</t>
  </si>
  <si>
    <t>Базовое оборудование студии пилатеса.</t>
  </si>
  <si>
    <t>Balanced Body Allegro 2 ~$5 200 MSRP; CAD-листинги $5 924; STOTT trade.</t>
  </si>
  <si>
    <t>Комплект из 8 Allegro 2 с аксессуарами (боксы, jumpboard). Альтернатива ,  STOTT V2 Max.</t>
  </si>
  <si>
    <t>Пилатес ,  кадиллак/тауэр</t>
  </si>
  <si>
    <t>Комплект Pilates Cadillac/tower</t>
  </si>
  <si>
    <t>Balanced Body Cadillac / STOTT Cadillac</t>
  </si>
  <si>
    <t>Полный пилатес-аппарат.</t>
  </si>
  <si>
    <t>Trade-цены Balanced Body.</t>
  </si>
  <si>
    <t>За единицу. Wunda Chair и Spine Corrector добавляют $2–3 тыс.</t>
  </si>
  <si>
    <t>Зона восстановления</t>
  </si>
  <si>
    <t>Recovery-комплект (компрессионные сапоги, перкуссия, cryo-cuff)</t>
  </si>
  <si>
    <t>Normatec 3 + Theragun Pro + Game Ready</t>
  </si>
  <si>
    <t>Спортивная зона восстановления.</t>
  </si>
  <si>
    <t>Hyperice/Normatec/Game Ready ,  коммерческие цены 2024.</t>
  </si>
  <si>
    <t>Комплект на одну recovery-комнату. Потребительское оборудование из США ,  параллельный импорт несложен.</t>
  </si>
  <si>
    <t>Роботизированная реабилитация походки</t>
  </si>
  <si>
    <t>Роботизированная система реабилитации походки</t>
  </si>
  <si>
    <t>Hocoma Lokomat Pro / Nanos</t>
  </si>
  <si>
    <t>Реабилитация при тяжёлых неврологических состояниях ,  фирменный продукт медицинского уровня.</t>
  </si>
  <si>
    <t>Hocoma ,  дилеры 2024; обзор экономической эффективности в PMC (€350 тыс. и выше); Lokomat Nanos $250 тыс.</t>
  </si>
  <si>
    <t>Опционально: оправдано лишь при истинном нейрореабилитационном направлении. Производитель ,  Швейцария, чистый канал в Россию. Lokomat Nanos ,  компактная бюджетная альтернатива.</t>
  </si>
  <si>
    <t>Инфраструктура, Гостевой опыт</t>
  </si>
  <si>
    <t>Подвесная система Redcord</t>
  </si>
  <si>
    <t>Потолочная подвесная тренировка Redcord (клинический класс)</t>
  </si>
  <si>
    <t>Redcord Trainer / Workstation Professional</t>
  </si>
  <si>
    <t>Нейромышечная активация, suspension-терапия.</t>
  </si>
  <si>
    <t>Trade-цены Redcord 2024.</t>
  </si>
  <si>
    <t>Производитель ,  Норвегия, чистый канал в Россию. В состав входит потолочная направляющая и аксессуары на станцию.</t>
  </si>
  <si>
    <t>Виброплатформа</t>
  </si>
  <si>
    <t>Платформа вибротренинга всего тела (коммерческого класса)</t>
  </si>
  <si>
    <t>Power Plate Pro7 / Pro8</t>
  </si>
  <si>
    <t>Виброподготовка, лимфодренаж, перформанс.</t>
  </si>
  <si>
    <t>Fitness Factory Pro7; Strength Warehouse.</t>
  </si>
  <si>
    <t>Производитель ,  Великобритания, чистый канал в Россию через реэкспорт.</t>
  </si>
  <si>
    <t>Йога/мат-студия</t>
  </si>
  <si>
    <t>Оснащение йога/мат-студии (зеркала, реквизит, аудио)</t>
  </si>
  <si>
    <t>Manduka commercial mats + sound + mirrors + storage</t>
  </si>
  <si>
    <t>Зал для занятий на матах (йога, пилатес).</t>
  </si>
  <si>
    <t>Оценки trade-каталогов.</t>
  </si>
  <si>
    <t>Зеркала, премиальное напольное покрытие, аудиосистема, хранение реквизита. Корпус не учтён.</t>
  </si>
  <si>
    <t>Нутрициология и ЖКТ-диагностика</t>
  </si>
  <si>
    <t>Колоногидротерапия</t>
  </si>
  <si>
    <t>Аппарат колоногидротерапии (открытая система FDA Class II)</t>
  </si>
  <si>
    <t>LIBBE / Angel of Water</t>
  </si>
  <si>
    <t>Колоногидротерапия ,  основа детокс-программ.</t>
  </si>
  <si>
    <t>LIBBE прайс ~$10 тыс. (libbecolonhydrotherapydevice.com); листинги Bimedis.</t>
  </si>
  <si>
    <t>Стандарт SHA, CLP и Lanserhof. Включает монтажный комплект; расходники ~$15 за процедуру.</t>
  </si>
  <si>
    <t>Дыхательный тест ЖКТ</t>
  </si>
  <si>
    <t>Анализатор водорода/метана (SIBO)</t>
  </si>
  <si>
    <t>QuinTron BreathTracker / Bedfont Gastro+</t>
  </si>
  <si>
    <t>Оценка SIBO/IBS ,  программы здоровья ЖКТ.</t>
  </si>
  <si>
    <t>QuinTron / Bedfont ,  оценки 2024.</t>
  </si>
  <si>
    <t>Расходники (тест-киты) ,  повторяющаяся статья затрат.</t>
  </si>
  <si>
    <t>Непрямая калориметрия</t>
  </si>
  <si>
    <t>Анализатор базального метаболизма</t>
  </si>
  <si>
    <t>Cosmed Fitmate Pro / Korr ReeVue</t>
  </si>
  <si>
    <t>RMR для расчёта диетических протоколов.</t>
  </si>
  <si>
    <t>Cosmed Fitmate Pro; Korr ReeVue 2024.</t>
  </si>
  <si>
    <t>Бюджетная альтернатива полноценному CPET, когда нужен только RMR.</t>
  </si>
  <si>
    <t>Эластография печени</t>
  </si>
  <si>
    <t>Эластография печени (FibroScan transient elastography)</t>
  </si>
  <si>
    <t>Echosens FibroScan 530 Compact / 630 Expert</t>
  </si>
  <si>
    <t>Неинвазивный скрининг фиброза и стеатоза печени ,  протокол долголетия.</t>
  </si>
  <si>
    <t>Bimedis FibroScan $17 108–45 871 (б/у); новый ~$70–85 тыс.; AuntMinnie 2024.</t>
  </si>
  <si>
    <t>Французский OEM (Echosens) ,  более чистый канал в Россию по сравнению с американскими устройствами.</t>
  </si>
  <si>
    <t>Сон и неврология</t>
  </si>
  <si>
    <t>Когнитивное тестирование</t>
  </si>
  <si>
    <t>Платформа когнитивного тестирования (подписка/лицензия)</t>
  </si>
  <si>
    <t>Cambridge Cognition CANTAB, Creyos (formerly Cambridge Brain Sciences), Cogstate Brief Battery</t>
  </si>
  <si>
    <t>Валидированная цифровая оценка памяти, исполнительных функций, внимания.</t>
  </si>
  <si>
    <t>Capterra CANTAB; клинические подписки Creyos; отраслевая оценка €8–20 тыс. в год за клиническую лицензию плюс планшеты и онбординг.</t>
  </si>
  <si>
    <t>Оценочно: цены поставщики предоставляют по запросу. Учитывается лицензия на год, 4 iPad и онбординг. Доля поддержки отражает продление подписки. По России: ограниченно; CANTAB на русском доступен; в остальном ,  отечественные нейропсихологические батареи.</t>
  </si>
  <si>
    <t>ЭЭГ</t>
  </si>
  <si>
    <t>ЭЭГ-система 32–64 канала</t>
  </si>
  <si>
    <t>Natus NicoletOne EEG 32ch, Compumedics Neuvo 64ch, Cadwell Arc</t>
  </si>
  <si>
    <t>Самостоятельная ЭЭГ ,  неврологический базис, мягкий когнитивный скрининг, подготовка к биообратной связи.</t>
  </si>
  <si>
    <t>Hospitalstore.com Natus NicoletOne (32 канала); Compumedics Neuvo; восстановленные на Relink Online $15–25 тыс.; новые €40–60 тыс.</t>
  </si>
  <si>
    <t>Опционально: оправдано на уровне Lanserhof и продвинутых неврологических программ. По России: Mitsar (Санкт-Петербург) ,  уважаемый отечественный производитель ЭЭГ за 50% от западной цены.</t>
  </si>
  <si>
    <t>HSAT</t>
  </si>
  <si>
    <t>Парк устройств домашнего скрининга апноэ сна (HSAT)</t>
  </si>
  <si>
    <t>ResMed ApneaLink Air, ZOLL Itamar WatchPAT One, Philips Alice NightOne</t>
  </si>
  <si>
    <t>Амбулаторный скрининг апноэ сна (Type III) ,  на дому либо в номере.</t>
  </si>
  <si>
    <t>MedGrade ,  обзор ApneaLink Air; Itamar WatchPAT; SleepWorks Medical $3–4 тыс. за регистратор ApneaLink Air; одноразовый WatchPAT ONE ~$200 за исследование.</t>
  </si>
  <si>
    <t>Парк из 5 регистраторов покрывает ~20 гостей в неделю. Расходники WatchPAT ONE ($150–200 за исследование) ,  pass-through. По России: ResMed ограничен после 2022 года; параллельный импорт работает.</t>
  </si>
  <si>
    <t>Лаборатория сна</t>
  </si>
  <si>
    <t>Полисомнография (PSG) ,  32 канала плюс палата</t>
  </si>
  <si>
    <t>Natus NicoletOne / Embla, Compumedics Grael, SOMNOmedics SOMNOscreen</t>
  </si>
  <si>
    <t>Полная PSG (ЭЭГ, EOG, ЭМГ, ЭКГ, оксиметрия, поток воздуха, усилие) ,  золотой стандарт сомнологии.</t>
  </si>
  <si>
    <t>Sleep Review 2024 ,  сравнение PSG; восстановленные Embla / NicoletOne на DotMed $20–40 тыс.; коммерческий прайс Natus / Compumedics €80–120 тыс. за 32 канала.</t>
  </si>
  <si>
    <t>Включает усилитель, электроды, видео, звукоизолированную палату (отделка ~€30 тыс. дополнительно). Для 80–100 номеров ,  1–2 койки.</t>
  </si>
  <si>
    <t>Носимые устройства</t>
  </si>
  <si>
    <t>Премиальные носимые устройства (Oura/WHOOP/Apple Watch)</t>
  </si>
  <si>
    <t>Oura Ring Gen 4, WHOOP 5.0, Apple Watch Ultra 2</t>
  </si>
  <si>
    <t>Стадии сна, ВСР, восстановление, тренировочная нагрузка ,  гостевой носимый гаджет в составе программы.</t>
  </si>
  <si>
    <t>Oura Ring $349–499; WHOOP $239 + $30 в месяц; Apple Watch Ultra 2 $799. Парк 25 единиц по средней цене €320.</t>
  </si>
  <si>
    <t>Парк выдаётся гостям на проживание. Подписки относятся к OPEX. По России: Apple Watch и Oura ,  параллельный импорт (надбавка 30%); WHOOP официально недоступен.</t>
  </si>
  <si>
    <t>Телемедицина и цифровое здоровье</t>
  </si>
  <si>
    <t>Интеграция данных CGM</t>
  </si>
  <si>
    <t>Интеграция платформы CGM (тип Levels)</t>
  </si>
  <si>
    <t>Levels Health API, Nutrisense, Veri</t>
  </si>
  <si>
    <t>Передача данных непрерывных глюкометров в платформу долголетия.</t>
  </si>
  <si>
    <t>Levels API B2B / Nutrisense; ориентировочная стоимость интеграции.</t>
  </si>
  <si>
    <t>Сенсоры тарифицируются отдельно по гостю. По России: Abbott Libre ,  параллельным импортом; портал ,  российская разработка.</t>
  </si>
  <si>
    <t>Инфраструктура, Диагностика</t>
  </si>
  <si>
    <t>Платформа постгостевого коучинга</t>
  </si>
  <si>
    <t>Приложение для коучинга и консьерж-сервиса (после выезда)</t>
  </si>
  <si>
    <t>MindBody Plus, Healthie, custom on Twilio</t>
  </si>
  <si>
    <t>Индивидуальный коучинг, контент и удержание клиента в течение 6–12 месяцев после визита.</t>
  </si>
  <si>
    <t>Healthie / индивидуальная разработка; референс модели Lanserhof@home.</t>
  </si>
  <si>
    <t>Критичный драйвер выручки и возврата гостей ,  формирует ARR через подписку. Штатный показатель ,  численность коучей.</t>
  </si>
  <si>
    <t>Платформа видеоконсультаций</t>
  </si>
  <si>
    <t>HIPAA/GDPR-совместимая телемедицинская платформа</t>
  </si>
  <si>
    <t>Doxy.me Enterprise, Teladoc B2B, Amwell</t>
  </si>
  <si>
    <t>Видеоконсультации с врачами долголетия после визита.</t>
  </si>
  <si>
    <t>Doxy.me Clinic $50 за пользователя в месяц; Enterprise ,  индивидуально; ~30–40 пользователей.</t>
  </si>
  <si>
    <t>По России: используются российские альтернативы (Mednote, Doctis) из-за GDPR/152-ФЗ и санкций.</t>
  </si>
  <si>
    <t>Носимые устройства ,  WHOOP/Garmin</t>
  </si>
  <si>
    <t>WHOOP Unite + Garmin Health (корпоративный пакет)</t>
  </si>
  <si>
    <t>WHOOP Unite, Garmin Health enterprise</t>
  </si>
  <si>
    <t>Учёт нагрузки и восстановления, коучинг по перформансу и долголетию.</t>
  </si>
  <si>
    <t>WHOOP Unite (200+ корпоративных клиентов, prnewswire 2022); Garmin Health B2B.</t>
  </si>
  <si>
    <t>Опционально как дополнение к Oura. По России: оборудование ,  параллельным импортом.</t>
  </si>
  <si>
    <t>Носимые устройства ,  кольца</t>
  </si>
  <si>
    <t>Корпоративное развёртывание Oura Ring</t>
  </si>
  <si>
    <t>Oura for Business, Ultrahuman Ring, RingConn</t>
  </si>
  <si>
    <t>Отслеживание сна, ВСР и восстановления; долгосрочный крючок вовлечения.</t>
  </si>
  <si>
    <t>Oura for Business B2B (sacra.com ,  23% выручки); ~200 колец по $300 плюс дашборд.</t>
  </si>
  <si>
    <t>Стартовый парк 150–250 колец и B2B-дашборд; ежегодное пополнение ~25%.</t>
  </si>
  <si>
    <t>СВОДКА CapEx ПО УРОВНЯМ</t>
  </si>
  <si>
    <t>Живой свод из реестра через SUMPRODUCT. Меняйте цены в реестре ,  итоги обновятся.</t>
  </si>
  <si>
    <t>keys_count</t>
  </si>
  <si>
    <t>← редактируемый параметр (середина диапазона 80–100 номеров)</t>
  </si>
  <si>
    <t>Курс RUB/EUR</t>
  </si>
  <si>
    <t>Курс RUB/USD</t>
  </si>
  <si>
    <t>РЕГИОН ,  Европа (€)</t>
  </si>
  <si>
    <t>Группа</t>
  </si>
  <si>
    <t>Итого медицинский CapEx</t>
  </si>
  <si>
    <t>Итого SPA и восстановление</t>
  </si>
  <si>
    <t>Итого фитнес и движение</t>
  </si>
  <si>
    <t>Итого ИТ и ПО (единовременный CapEx)</t>
  </si>
  <si>
    <t>Итого кухня и F&amp;B</t>
  </si>
  <si>
    <t>Итого медицинская инфраструктура</t>
  </si>
  <si>
    <t>ИТОГО CapEx</t>
  </si>
  <si>
    <t>CapEx на номер</t>
  </si>
  <si>
    <t>РЕГИОН ,  Северная Америка ($)</t>
  </si>
  <si>
    <t>РЕГИОН ,  Азия ($)</t>
  </si>
  <si>
    <t>РЕГИОН ,  Россия (₽)</t>
  </si>
  <si>
    <t>БЕНЧМАРКИ</t>
  </si>
  <si>
    <t>Люкс-отель: CapEx на номер (HVS, глобально)</t>
  </si>
  <si>
    <t>$400 000 – $1 100 000</t>
  </si>
  <si>
    <t>HVS Hotel Development Cost Survey, люкс-сегмент</t>
  </si>
  <si>
    <t>Премиальный longevity-резорт: общий CapEx на номер (оценка)</t>
  </si>
  <si>
    <t>$700 000 – $1 500 000</t>
  </si>
  <si>
    <t>Оборудование в этой книге показано как НАДБАВКА к базовой постройке отеля.</t>
  </si>
  <si>
    <t>CapEx на номер только по оборудованию по уровням (это исследование)</t>
  </si>
  <si>
    <t>Считается живой формулой из реестра по каждому региону выше.</t>
  </si>
  <si>
    <t>Меняйте цены в реестре ,  все своды обновятся.</t>
  </si>
  <si>
    <t>Примечание о цитировании</t>
  </si>
  <si>
    <t>Все ценовые ориентиры операторов (Lanserhof, SHA, CLP, Chenot) перекрёстно проверены за 2025–2026 годы.</t>
  </si>
  <si>
    <t>Полную библиографию см. на листе «Источники и методология».</t>
  </si>
  <si>
    <t>ОПЕРАЦИОННАЯ ЭКОНОМИКА</t>
  </si>
  <si>
    <t>Метрика</t>
  </si>
  <si>
    <t>Six Senses Place</t>
  </si>
  <si>
    <t>SHA / Chenot</t>
  </si>
  <si>
    <t>Lanserhof / CLP</t>
  </si>
  <si>
    <t>Годовой ФОТ клиники, EUR</t>
  </si>
  <si>
    <t>Годовой ФОТ клиники, RUB</t>
  </si>
  <si>
    <t>Выручка программ, год 5, EUR</t>
  </si>
  <si>
    <t>Выручка программ, год 5, RUB</t>
  </si>
  <si>
    <t>Контрибуционная маржа программ, EUR</t>
  </si>
  <si>
    <t>МОДЕЛЬ ОКУПАЕМОСТИ И ВЫРУЧКИ</t>
  </si>
  <si>
    <t>Окупаемость на уровне оборудования при российской рублёвой базе затрат; цены в EUR/USD приведены в реестре.</t>
  </si>
  <si>
    <t>ДОПУЩЕНИЯ</t>
  </si>
  <si>
    <t>Номера</t>
  </si>
  <si>
    <t>Загрузка на 5-й год</t>
  </si>
  <si>
    <t>Годовых ночей продаж на 5-й год</t>
  </si>
  <si>
    <t>Среднее число заездов в год (при 7 ночах)</t>
  </si>
  <si>
    <t>Рабочих дней в году</t>
  </si>
  <si>
    <t>Рабочих часов в день</t>
  </si>
  <si>
    <t>Рабочих часов в году</t>
  </si>
  <si>
    <t>БЛОКИ ОКУПАЕМОСТИ ОБОРУДОВАНИЯ (база Россия / RUB)</t>
  </si>
  <si>
    <t>Блок</t>
  </si>
  <si>
    <t>Уровень</t>
  </si>
  <si>
    <t>CapEx (₽)</t>
  </si>
  <si>
    <t>Годовые расходы (₽)</t>
  </si>
  <si>
    <t>Цена процедуры (₽)</t>
  </si>
  <si>
    <t>Годовое количество процедур</t>
  </si>
  <si>
    <t>Прямая выручка (₽)</t>
  </si>
  <si>
    <t>Годовой вклад (₽)</t>
  </si>
  <si>
    <t>Окупаемость (лет)</t>
  </si>
  <si>
    <t>Характер</t>
  </si>
  <si>
    <t>МРТ 3 Тл (премиальный скрининг)</t>
  </si>
  <si>
    <t>Прямая ,  оплата за процедуру</t>
  </si>
  <si>
    <t>Пропускная способность ограничена 2 200 сканов в год (~50% гостей плюс 30% внешних). Высокомаржинальный executive-скрининг при санкционно обусловленном CapEx. Бенчмарк ЕС €1 800–2 500; целевая цена в России 110 тыс. ₽ ≈ €1 200.</t>
  </si>
  <si>
    <t>МРТ 1,5 Тл (рабочая лошадка)</t>
  </si>
  <si>
    <t>Целевая нагрузка по опорно-двигательному аппарату, неврологии и кардиологии; премия ниже, чем у 3 Тл. Пропускная способность ограничена 1 800 сканами в год.</t>
  </si>
  <si>
    <t>КТ-сканер 128–256 срезов</t>
  </si>
  <si>
    <t>Кардио-CA scoring и низкодозный скрининг лёгких; ~30% гостей. Загрузка ниже МРТ при более высокой пропускной способности.</t>
  </si>
  <si>
    <t>DEXA-сканер (состав тела + плотность кости)</t>
  </si>
  <si>
    <t>Базовая позиция программ долголетия ,  назначается практически всем гостям. Цена в России 12 тыс. ₽ ≈ €130.</t>
  </si>
  <si>
    <t>Полный полисомнографический комплекс (PSG)</t>
  </si>
  <si>
    <t>Однокоечная PSG; пропускная способность ,  1 исследование за ночь × 320 ночей. Расширение до многокоечной возможно. Целевая цена 80 тыс. ₽ против €800–2500 в ЕС.</t>
  </si>
  <si>
    <t>CPET / VO2max ,  метаболическая платформа</t>
  </si>
  <si>
    <t>Lanserhof Classic Plus включает CPET в пакет; в России оценочно ~50% от европейских €350–500.</t>
  </si>
  <si>
    <t>Премиальный кардиологический УЗИ (эхо)</t>
  </si>
  <si>
    <t>Кардиологическая опорная позиция; включается в executive-панель плюс оплачивается отдельно за исследование.</t>
  </si>
  <si>
    <t>Гормональный/иммуноанализатор</t>
  </si>
  <si>
    <t>Высокая доля реагентов; включается в долголетческие панели. Пропускная способность ограничена 4 000 тестами в год (~1,3 на гостя).</t>
  </si>
  <si>
    <t>Стандартная составляющая executive-панели; ежедневное использование.</t>
  </si>
  <si>
    <t>Блок IV-кресел (NAD+/витаминно-инфузионная зона)</t>
  </si>
  <si>
    <t>Высокомаржинальный сервис (NAD+ €600–1200; «коктейль Майерса» €120–300). Шесть кресел дают 6 × 320 × 4 сеанса = 7 680 сеансов в год; реалистичная нагрузка ~30%.</t>
  </si>
  <si>
    <t>FibroScan</t>
  </si>
  <si>
    <t>Часть протоколов longevity и метаболического скрининга. Французский OEM ,  чистый канал в Россию.</t>
  </si>
  <si>
    <t>Криосауна (whole-body)</t>
  </si>
  <si>
    <t>ADR-recovered</t>
  </si>
  <si>
    <t>Цена за сеанс 3 тыс. ₽ ≈ €33 ,  ниже европейской, что соответствует позиционированию России как «доступной премиальной» аудитории.</t>
  </si>
  <si>
    <t>Премиальный комплекс банных и термальных зон</t>
  </si>
  <si>
    <t>ADR-recovered (niche neurorehab; consider deferring)</t>
  </si>
  <si>
    <t>ADR-надбавка / пакеты</t>
  </si>
  <si>
    <t>Выручка идёт через ADR и комплексные пакеты, а не через прямой биллинг. Якорь культурной идентичности резорта.</t>
  </si>
  <si>
    <t>Гидротерапевтический контур (Виши, душ-впечатления, Кнайпп, хаммам)</t>
  </si>
  <si>
    <t>Окупается через ADR-надбавку и SPA-пакеты. Прямой биллинг лишь для отдельных Виши-сеансов.</t>
  </si>
  <si>
    <t>Полный комплекс Pilates (8 реформеров + кадиллак)</t>
  </si>
  <si>
    <t>Источник выручки ,  групповые занятия и пакеты. Прямые сеансы ,  €40–80 за индивидуальный.</t>
  </si>
  <si>
    <t>Тренажёрный зал Technogym Artis (премиум-линейка)</t>
  </si>
  <si>
    <t>ADR-надбавка</t>
  </si>
  <si>
    <t>Не выставляется отдельным счётом; обеспечивает позиционирование курорта и ADR.</t>
  </si>
  <si>
    <t>PMS, гостевая инфраструктура и AV</t>
  </si>
  <si>
    <t>Обеспечивающая инфраструктура</t>
  </si>
  <si>
    <t>Окупается через ADR и операционную эффективность. ~5–7 млн ₽ в год ,  это OPEX по подпискам.</t>
  </si>
  <si>
    <t>Премиальный кухонный комплекс</t>
  </si>
  <si>
    <t>Enabling spend</t>
  </si>
  <si>
    <t>Терапевтическая и ресторанная кухня. Окупается через P&amp;L F&amp;B (контрибьюшн 25–35%).</t>
  </si>
  <si>
    <t>МИС среднего класса (тип Athenahealth)</t>
  </si>
  <si>
    <t>Обязательная инфраструктура; окупается через эффективность и комплаенс. Подписка 6 млн ₽ в год относится к OPEX.</t>
  </si>
  <si>
    <t>Полный стек PMS, бронирования SPA и гостевого приложения</t>
  </si>
  <si>
    <t>Стек hospitality и велнес-операций. Подписка 5–7 млн ₽ в год относится к OPEX.</t>
  </si>
  <si>
    <t>БЕНЧМАРКИ ЦЕН НА ПРОЦЕДУРЫ</t>
  </si>
  <si>
    <t>Процедура</t>
  </si>
  <si>
    <t>Lanserhof, якорь (€)</t>
  </si>
  <si>
    <t>SHA (€)</t>
  </si>
  <si>
    <t>CLP (€)</t>
  </si>
  <si>
    <t>Россия, цель (₽)</t>
  </si>
  <si>
    <t>Россия, эквивалент (€)</t>
  </si>
  <si>
    <t>МРТ всего тела (executive-скрининг, без контраста)</t>
  </si>
  <si>
    <t>Lanserhof, SHA и CLP не публикуют отдельных цен на МРТ всего тела ,  она входит в пакеты долголетия. Бенчмарк ЕС оценочно €1 800–2 500 за самостоятельное исследование (без контраста) в премиальной клинике. Российский эквивалент в премиальной частной клинике ,  €1 200–1 800.</t>
  </si>
  <si>
    <t>DEXA (состав тела и плотность кости)</t>
  </si>
  <si>
    <t>Lanserhof, CLP и Chenot включают DEXA в пакеты долголетия и не публикуют отдельной цены. Оценено по бенчмаркам прямой оплаты в США и Великобритании. Эквивалент в российской премиальной клинике ,  €80–150.</t>
  </si>
  <si>
    <t>VO2max / CPET (кардиопульмональный тест)</t>
  </si>
  <si>
    <t>Пакет Lanserhof Classic Plus на 7 ночей (от €4 046 без проживания) включает VO2max. Российский премиум-сегмент ,  €200–350.</t>
  </si>
  <si>
    <t>Полная полисомнография (стационарная ночная)</t>
  </si>
  <si>
    <t>Стационарная PSG; домашние тесты обычно €200–600. Российский премиум-сегмент ,  €300–800.</t>
  </si>
  <si>
    <t>Executive-диагностическая / longevity-панель (medical basis therapy + диагностика, без проживания, 7 ночей)</t>
  </si>
  <si>
    <t>Программное ценообразование ,  базовая медицинская терапия наиболее близка к самостоятельному executive-блоку.</t>
  </si>
  <si>
    <t>Программа здорового старения / расширенного долголетия (7 ночей, без проживания)</t>
  </si>
  <si>
    <t>Самый прямой отраслевой бенчмарк цены программы. CLP Revitalisation Premium до 48 520 CHF задаёт верхнюю границу.</t>
  </si>
  <si>
    <t>Тест биологического возраста / эпигенетика (биомаркерная панель)</t>
  </si>
  <si>
    <t>Бенчмарки розничного DTC. Премиальные клиники (CLP, SHA) включают тест в программу; самостоятельный ,  обычно €400–700. Российские аналоги (Atlas, Genotek) ,  €80–200 розницей.</t>
  </si>
  <si>
    <t>Тест микробиома (16S rRNA или метагеномика, отчёт)</t>
  </si>
  <si>
    <t>Розница DTC €100–450; администрирование в премиальной клинике (с консультацией) ,  €350–700. Российские аналоги (Atlas, Knomx) ,  €80–180.</t>
  </si>
  <si>
    <t>Пакет «Здоровый мозг» (Lanserhof Tegernsee, без проживания)</t>
  </si>
  <si>
    <t>Lanserhof не раскрывает точную цену надстройки; структура повторяет надстройку Longevity (€5 113). Учитывается как оценка.</t>
  </si>
  <si>
    <t>БЕНЧМАРКИ ЦЕН НА ПАКЕТЫ</t>
  </si>
  <si>
    <t>Оператор</t>
  </si>
  <si>
    <t>Пакет</t>
  </si>
  <si>
    <t>Цена (€)</t>
  </si>
  <si>
    <t>Включает проживание</t>
  </si>
  <si>
    <t>Что входит</t>
  </si>
  <si>
    <t>Lanserhof Tegernsee</t>
  </si>
  <si>
    <t>Lanserhof Cure Classic + Longevity (7 ночей, только программа, без проживания)</t>
  </si>
  <si>
    <t>Первичный и заключительный осмотры врача, промежуточные приёмы с мануальными абдоминальными процедурами, диагностика состава тела, ежедневные терапевтические групповые сессии, longevity-диагностика (эпигенетика и биомаркеры), питание по принципам Майра (полный пансион), доступ к SPA. Проживание ,  отдельно.</t>
  </si>
  <si>
    <t>https://lanserhof.com/en/lanserhof-tegernsee/treatments/package-longevity-tegernsee/ ; https://www.serenityways.com/clinics/lanserhof-tegernsee</t>
  </si>
  <si>
    <t>SHA Wellness Clinic Spain (Аликанте)</t>
  </si>
  <si>
    <t>Advanced Longevity (7 ночей, программа + Deluxe Suite с видом на море, на 2 гостей)</t>
  </si>
  <si>
    <t>Генетическое тестирование, биомаркерный анализ, биологический профиль из 88 показателей, гипоксическая тренировка, нейрокогнитивная оценка, фотобиомодуляция, NAD-терапия, гипербарическая оксигенация, индивидуальная нутрициология (полный пансион), холистические процедуры, проживание в Deluxe Suite с видом на море.</t>
  </si>
  <si>
    <t>https://shawellness.com/en/advanced-longevity/ ; https://www.serenityways.com/clinics/sha-spain</t>
  </si>
  <si>
    <t>Clinique La Prairie (Монтрё)</t>
  </si>
  <si>
    <t>Master Detox (6 ночей / 7 дней)</t>
  </si>
  <si>
    <t>Проживание, полный пансион (детокс-меню CLP), комплексные медицинские консультации и диагностика (кардиология, терапия), углублённые детокс-процедуры, лимфодренаж, IV-терапия, доступ к SPA, план дальнейшего наблюдения.</t>
  </si>
  <si>
    <t>https://www.cliniquelaprairie.com/programs/master-detox/ ; https://swissmedexpert.com/clinique-la-prairie-detox</t>
  </si>
  <si>
    <t>Revitalisation Premium / Legendary Premium (1 неделя, верхний уровень)</t>
  </si>
  <si>
    <t>Фирменная клеточная программа CLP, полный медицинский осмотр с визуализацией, расширенная диагностика, мультиспециализированные консультации, проживание в премиальном сьюте, полный пансион, SPA.</t>
  </si>
  <si>
    <t>https://serenityways.com/pages/clinique-la-prairie-prices ; https://swissmedexpert.com/clinic-la-prairie</t>
  </si>
  <si>
    <t>Chenot Palace Weggis</t>
  </si>
  <si>
    <t>Advanced Detox (7 ночей, без проживания)</t>
  </si>
  <si>
    <t>Метод Chenot, ежедневные медицинские консультации, энергетические и детокс-процедуры (hydro-jet, биоэнергетические, фитогрязи, массаж), комплексная диагностика, питание (диета Chenot, fasting-mimicking), доступ к фитнесу, бассейну и термальной зоне. Проживание ,  отдельно.</t>
  </si>
  <si>
    <t>https://www.chenot.com/chenot-palace/weggis/programmes/ ; https://www.serenityways.com/clinics/chenot-palace-weggis ; https://www.chenot.com/wp-content/uploads/2024/05/Chenot-Palace-Weggis-Brochure-EN.pdf</t>
  </si>
  <si>
    <t>VIVAMAYR Maria Wörth / Altaussee</t>
  </si>
  <si>
    <t>Modern Mayr Cure Classic (7 ночей, только программа)</t>
  </si>
  <si>
    <t>Первичная и заключительная консультации с врачом по Майру, ежедневные абдоминальные процедуры, полный пансион по диете Майра, процедуры пищеварения, базовая диагностика (лаборатория, состав тела), доступ к SPA. Проживание ,  отдельно (номера от €378 до €3 750 за ночь).</t>
  </si>
  <si>
    <t>https://www.vivamayr.com/en/downloads/ ; https://serenityways.com/pages/vivamayr-prices ; https://www.best-treatment.com/en/clinics/vivamayr-altaussee/packages/modern-mayr-cure-basic</t>
  </si>
  <si>
    <t>Buchinger Wilhelmi (Боденское озеро, Юберлинген)</t>
  </si>
  <si>
    <t>Классическая 10-дневная программа лечебного голодания</t>
  </si>
  <si>
    <t>Минимум 10 ночей: разгрузочный день, ~6 дней голодания, дни выхода. Две медицинские консультации на 7 ночей, расширенная лабораторная диагностика, ежедневный осмотр, печёночные обёртывания, кишечные процедуры через день, круглосуточный дежурный врач, ваучер €45 за ночь на процедуры. Проживание ,  отдельно (обычно от €218 за ночь).</t>
  </si>
  <si>
    <t>https://www.buchinger-wilhelmi.com/en/buchinger-wilhelmi-lake-constance/arrangements-packages/ ; https://www.buchinger-wilhelmi.com/wp-content/uploads/2024/11/What-we-offer-2025_web_V1.3.pdf ; https://luxury-rehabs.com/buchinger-wilhelmi/</t>
  </si>
  <si>
    <t>Six Senses (базовая программа долголетия в нескольких отелях)</t>
  </si>
  <si>
    <t>Six Senses Longevity (зависит от объекта; например Six Senses Ibiza, Douro Valley, Kaplankaya)</t>
  </si>
  <si>
    <t>Персонализированная программа с биомаркерной базой, интегративной медицинской консультацией, анализом сна, фитнес-оценкой, IV/пептидной терапией (там, где разрешено), индивидуальным питанием, холистическими процедурами, проживанием и полным пансионом.</t>
  </si>
  <si>
    <t>https://www.sixsenses.com/en/wellness-spa/personalized-wellness/longevity/ ; https://www.sixsenses.com/en/wellness-spa/retreats/ ; https://www.hotel-online.com/news/six-senses-2025-wellness-forecast</t>
  </si>
  <si>
    <t>ЭКОНОМИКА ПАКЕТА ,  премиум-программа долголетия 7 ночей по €15 000 на гостя</t>
  </si>
  <si>
    <t>Компонент</t>
  </si>
  <si>
    <t>Доля</t>
  </si>
  <si>
    <t>Стоимость (€)</t>
  </si>
  <si>
    <t>Проживание</t>
  </si>
  <si>
    <t>Сьют, тариф за номер на 7 ночей</t>
  </si>
  <si>
    <t>Медицинские процедуры (собственное оборудование)</t>
  </si>
  <si>
    <t>Аллокация МРТ/КТ/DEXA/PSG/CPET/лаборатории на пакет</t>
  </si>
  <si>
    <t>SPA и восстановление (собственное оборудование)</t>
  </si>
  <si>
    <t>Гидротерапия, криосауна, банный комплекс, хаммам, Виши, пилатес</t>
  </si>
  <si>
    <t>F&amp;B (терапевтическая и ресторанная)</t>
  </si>
  <si>
    <t>Терапевтическое меню и a la carte allowance</t>
  </si>
  <si>
    <t>Профильные консультации (труд)</t>
  </si>
  <si>
    <t>Время врача, нутрициолога, специалиста по сну, физиотерапевта</t>
  </si>
  <si>
    <t>Маржинальный вклад</t>
  </si>
  <si>
    <t>Контрибьюшн объекта после прямого OPEX</t>
  </si>
  <si>
    <t>Итого пакет</t>
  </si>
  <si>
    <t>ОБОРУДОВАНИЕ БЕЗ ПРЯМОГО БИЛЛИНГА ,  ЛОГИКА НАДБАВКИ К ADR</t>
  </si>
  <si>
    <t>Обоснование</t>
  </si>
  <si>
    <t>Высококлассный тренажёрный зал, гидротерапевтический бассейн, премиальный банный комплекс, полная пилатес-студия, снежная комната и хаммам не выставляются за процедуру, но обеспечивают значимую надбавку к ADR относительно сопоставимого люкс-отеля.</t>
  </si>
  <si>
    <t>Надбавка к ADR за ночь (€)</t>
  </si>
  <si>
    <t>Надбавка к ADR за ночь (₽)</t>
  </si>
  <si>
    <t>Годовая надбавка (₽)</t>
  </si>
  <si>
    <t>Годовая надбавка (€-эквивалент)</t>
  </si>
  <si>
    <t>Надбавка = 23 000 ₽ × 21 352 ночи (90 номеров × 365 × 65% загрузки). Отраслевое правило: премиальное SPA/велнес добавляет 15–30% к ADR; €250 за ночь ,  консервативная оценка при базе €1 000–1 500 за ночь.</t>
  </si>
  <si>
    <t>СВОДНЫЕ ДИАПАЗОНЫ ОКУПАЕМОСТИ</t>
  </si>
  <si>
    <t>Быстрая окупаемость (&lt; 1,5 года)</t>
  </si>
  <si>
    <t>Парк IV-кресел (~0,05 года), CPET (~0,5 года), DEXA, гормональный анализатор (~1 год) ,  небольшой CapEx и высокая маржинальность.</t>
  </si>
  <si>
    <t>Средняя окупаемость (1,5–6 лет)</t>
  </si>
  <si>
    <t>Гематологический анализатор, полная PSG (~1–1,5 года); МРТ 3 Тл (~3 года), МРТ 1,5 Тл (~3 года), КТ (~5–6 лет с поправкой на загрузку), кардио-УЗИ (~3 года).</t>
  </si>
  <si>
    <t>Долгая окупаемость (&gt; 6 лет напрямую)</t>
  </si>
  <si>
    <t>Криосауна (~4 года), банный комплекс (~6–8 лет смешанно), Виши/хаммам (~10–15 лет напрямую).</t>
  </si>
  <si>
    <t>Надбавка к ADR / обеспечивающая инфраструктура</t>
  </si>
  <si>
    <t>Гидротерапевтический бассейн, полный комплект Technogym, пилатес-студия, кухня и F&amp;B, МИС, полный стек PMS+ИТ ,  окупаются через ADR, цены пакетов, маржу F&amp;B либо обеспечивают инфраструктуру. Lokomat помечен как нишевый/маржинальный ,  целесообразно отложить.</t>
  </si>
  <si>
    <t>РЕГИОНАЛЬНЫЕ ФАКТОРЫ СТОИМОСТИ</t>
  </si>
  <si>
    <t>Справочный документ ,  основан на Phase 6 исследования. Российский раздел проработан наиболее детально с учётом санкционной сложности.</t>
  </si>
  <si>
    <t>1. ЗАПАДНАЯ ЕВРОПА</t>
  </si>
  <si>
    <t>Базовый прайс OEM</t>
  </si>
  <si>
    <t>Западная Европа (Германия, Швейцария, Австрия, Италия, Франция, Испания) фактически выступает базовой шкалой OEM-цен по основным производителям медицинского и SPA-оборудования для сегмента longevity-резортов: Siemens Healthineers, GE HealthCare (продажи в ЕС), Philips, Drägerwerk, Storz, Olympus, Hologic, Technogym, Klafs, Starpool, Iyashi Dôme, Cosmed, Schiller, Mindray-Europe. Прайс в EUR обычно служит ориентиром для трансграничных бенчмарков.</t>
  </si>
  <si>
    <t>Дистрибьюторская наценка</t>
  </si>
  <si>
    <t>Типичная наценка локального дистрибьютора над прайсом OEM ,  15–25%. Прямые контракты с OEM на крупные пакеты (от €1 млн) часто дают скидку 8–15% от прайса; единичные покупки оплачиваются по полному прайсу с дистрибьюторской наценкой.</t>
  </si>
  <si>
    <t>Уровень затрат на обслуживание</t>
  </si>
  <si>
    <t>Сервисные контракты в среднем составляют 6–10% CapEx для визуализации (МРТ, КТ, УЗИ) и 4–7% для SPA и оборудования восстановления. Многолетние пакеты (5–7 лет) обычно согласуются по эффективной ставке 5–7%.</t>
  </si>
  <si>
    <t>Рынок б/у и refurb</t>
  </si>
  <si>
    <t>Сильный вторичный рынок: восстановленные МРТ и КТ обычно стоят 40–60% от прайса нового, восстановленный ультразвук ,  35–50%, DEXA ,  50–65%. Block Imaging, Oxford Instruments, Soma Tech и Avante Health Solutions ,  основные брокеры с присутствием в ЕС. По SPA-оборудованию (криосауна, ИГГТ, гипербарика, Technogym) refurb-рынок тоньше: 60–80% от нового и ограниченное предложение.</t>
  </si>
  <si>
    <t>Ключевые замечания</t>
  </si>
  <si>
    <t>Возмещение НДС обычно доступно лицам с медицинской лицензией (Германия 19%, Австрия 20%, Швейцария 8,1%, Испания 21%, Италия 22%). Для медицинских изделий обязательна маркировка CE в рамках MDR (EU 2017/745); сроки перехода 2022–2024 годов привели к удорожанию изделий Class II/III на 5–8%. Энергетическая и трудовая инфляция 2022–2024 годов добавила примерно 10–15% к стоимости SPA-проектов.</t>
  </si>
  <si>
    <t>Замечания по валютам</t>
  </si>
  <si>
    <t>База ,  EUR; премия CHF к EUR обычно 10–15% для оборудования швейцарского производства.</t>
  </si>
  <si>
    <t>2. СЕВЕРНАЯ АМЕРИКА</t>
  </si>
  <si>
    <t>Цены относительно Европы</t>
  </si>
  <si>
    <t>Прайс в USD обычно на 10–20% выше европейского по визуализации и лабораторной технике (до перевода валют); для SPA и эстетики ,  на 5–15%. Связано с более высокой маржей дилеров, регуляторными издержками и премией за tort-litigation, заложенной в цены.</t>
  </si>
  <si>
    <t>Регуляторика FDA</t>
  </si>
  <si>
    <t>Требуется одобрение FDA 510(k) или PMA; срок вывода на рынок длиннее (обычно +6–18 месяцев против CE), и регуляторные издержки OEM включаются в американский прайс. Часть моделей, доступных в ЕС, недоступна в США, что приводит к выбору альтернативных SKU по более высокой цене. МРТ всего тела с одобрением FDA (Prenuvo, Ezra) развивается как сегмент прямой оплаты.</t>
  </si>
  <si>
    <t>Лизинговый рынок</t>
  </si>
  <si>
    <t>Сильно развитый рынок equipment finance и операционного лизинга; большинство премиальных велнес-операторов лизингует визуализацию (типичный срок 60 месяцев, эффективная ставка 4–7%). DLL, Siemens Financial Services и GE HealthCare Financial Services занимают доминирующие позиции. Доля лизинга по визуализации ,  около 50–60%, по SPA ,  25–35%.</t>
  </si>
  <si>
    <t>Сервисная сеть</t>
  </si>
  <si>
    <t>Плотное сервисное покрытие OEM; в крупных метрополиях доступен SLA с откликом 4 часа за ~10–12% CapEx в год.</t>
  </si>
  <si>
    <t>Налог с продаж по штатам ,  0–9,5%. Тарифные риски в 2024–2026 годах повышены (тарифы Section 301 на Китай затронули Mindray/Edan, отдельные SKU Technogym, собираемые в Азии). Соответствие HIPAA и интеграция МИС добавляют 5–10% к ИТ-CapEx.</t>
  </si>
  <si>
    <t>3. АЗИЯ</t>
  </si>
  <si>
    <t>Региональное производство</t>
  </si>
  <si>
    <t>Mindray (Китай, Шэньчжэнь) ,  №3 в мире по мониторам пациента и УЗИ; Edan (Китай) ,  ЭКГ, УЗИ, мониторы; Samsung Medison (Корея) ,  УЗИ, рентген; United Imaging (Китай) ,  МРТ/КТ, конкурентные с Siemens/GE/Philips, на 30–50% дешевле; Esaote (итальянская, производство в АТР) ,  УЗИ. Ниже стоимость по мониторингу, ЭКГ, УЗИ и базовой лаборатории; почти паритет по продвинутой визуализации.</t>
  </si>
  <si>
    <t>Импортные пошлины</t>
  </si>
  <si>
    <t>Сингапур: 0% на большинство медицинских изделий (HSA-перечень); Таиланд: 0–10% (большинство ,  освобождено по FDA-TH); ОАЭ: 0–5% (DHA/MOHAP); Япония: 0%; Корея: 0–8%; Китай: 0–4% при НДС 13% (медицина обычно по сниженной ставке 9% или освобождена); Гонконг: 0%.</t>
  </si>
  <si>
    <t>Сильная в Сингапуре, Гонконге, ОАЭ, Японии и Сеуле; слабее в Индонезии, Вьетнаме и второстепенных городах Китая. Mindray заявляет о сервисной сети в более чем 190 странах с региональными хабами.</t>
  </si>
  <si>
    <t>Оборудование азиатского производства (УЗИ Mindray и Samsung, диагностика сна BMC) после 2022 года всё чаще выступает заменителем в России. ОАЭ стали хабом параллельного реэкспорта. Индия предлагает оборудование Wipro GE с дисконтом 10–25% к европейскому прайсу.</t>
  </si>
  <si>
    <t>4. РОССИЯ ,  наиболее детальная глубина: санкции, параллельный импорт, отечественные альтернативы</t>
  </si>
  <si>
    <t>Таможенные пошлины</t>
  </si>
  <si>
    <t>Медицинское оборудование по ТН ВЭД 9018–9022 ,  обычно 0–5% (большая часть визуализации, ЭКГ, УЗИ и хирургический инструмент 0–5%); отдельные категории 5–10%. Постановление №1042 (2008, с поправками) перечисляет конкретное медицинское оборудование, освобождаемое от пошлины. Статус необходимо перепроверять по коду ТН ВЭД при таможенной декларации.</t>
  </si>
  <si>
    <t>НДС</t>
  </si>
  <si>
    <t>Стандартная ставка НДС ,  20%; многие медицинские изделия из правительственного перечня (Постановление №1042 / перечень жизненно необходимых) освобождены от НДС либо облагаются по сниженной ставке 10%. Оператору следует подтверждать освобождение по каждому изделию через российского таможенного брокера.</t>
  </si>
  <si>
    <t>Волатильность RUB</t>
  </si>
  <si>
    <t>RUB ослаб с ~89/USD на конец 2023 года до ~110/USD на конец 2024 года (~23%). Модели CapEx должны учитывать запас 15–25% на ослабление RUB на горизонте 5 лет ,  с FX-хеджированием либо контрактами в USD/EUR, где это возможно. Многотраншевая закупка по этапам строительства снижает FX-шок.</t>
  </si>
  <si>
    <t>Категории, затронутые санкциями</t>
  </si>
  <si>
    <t>Ограничено (EU 833/2014 и US BIS): высокотехнологичная визуализация при стоимости свыше $750 тыс. либо с компонентами двойного назначения (продвинутые МРТ от 3 Тл и выше, ПЭТ-КТ, отдельные КТ, ИИ-диагностические платформы, зависящие от облака на западных серверах). Допущено по лицензиям/исключениям: стандартные УЗИ, ЭКГ, мониторы пациента, базовые лабораторные анализаторы, диагностика сна, большая часть SPA и оборудования восстановления. Лицензионное исключение US BIS MED (апрель 2024, 15 CFR 740.23) разрешает экспорт медицинских устройств класса EAR99 в Россию без лицензии. EU 833/2014 содержит медицинское исключение для лекарств и большинства медицинских изделий.</t>
  </si>
  <si>
    <t>Механика параллельного импорта</t>
  </si>
  <si>
    <t>Постановление Правительства №506 (29 марта 2022) и приказ Минпромторга №1532 (апрель 2022, с изменениями в 2024–2025 годах) разрешают параллельный импорт по многим категориям медицинской техники без согласия правообладателя. Механизм продлён до 2025 года и далее. Побочные эффекты: гарантия OEM аннулируется, заводской сервисный контракт отсутствует, обновления ПО и удалённая диагностика часто отключены, сроки поставки запчастей через серый канал ,  3–6 месяцев.</t>
  </si>
  <si>
    <t>Сервис OEM после 2022 года</t>
  </si>
  <si>
    <t>Siemens Healthineers, GE HealthCare и Philips приостановили новые продажи и большую часть сервисных контрактов в России после февраля 2022 года. Сервис установленной базы ведётся частично (по гуманитарным/жизненно необходимым исключениям). Российские системные интеграторы (например, Medtech-M, Medrobotics, ММЦ, Intelmed, R-Pharm) поставляют запчасти и оказывают сторонний сервис. Сроки поставки запчастей ,  8–24 недели; поддержка ПО и прошивок ненадёжна.</t>
  </si>
  <si>
    <t>Б/у и refurb по России</t>
  </si>
  <si>
    <t>Активный отечественный и параллельный refurb-рынок: типично 40–60% от европейского прайса по визуализации и 50–70% по SPA. Предложение по западным брендам сокращается; растёт предложение новых и восстановленных китайских изделий. Контроль качества затруднён без сервиса OEM.</t>
  </si>
  <si>
    <t>Отечественные альтернативы и заменители</t>
  </si>
  <si>
    <t>ЭКГ/Холтер: Aktiv-Med, Medical Computer Systems (Нейрософт), Schiller-Реомед (СП). УЗИ: ограниченные отечественные мощности; параллельный импорт замещают Mindray (Китай) и Samsung (Корея). Мониторы пациента: «Тритон Электронные Системы», «Квазар». Стерилизаторы и автоклавы: «Озон-Мед», «КАСИМОВ-МЕДИН», Tuttnauer (параллельный). Лабораторные анализаторы: АО «ЭЙЛИТОН», «Реамед»; в премиум-сегменте доминируют Mindray и Roche-cobas (параллельный). Гипербарика и кислород: производители на базе Хруничевского, аффилированные с Сеченовским университетом. Криотерапия: отечественных мало; CryoBuilt и Mecotec ,  параллельный импорт. SPA и восстановление (сауны, ИК, соляные комнаты): сильные отечественные мощности (лицензионная сборка TyloHelo, аналоги Helo, KLAFS ,  параллельный). Российские лаборатории биомаркеров и долголетия: Atlas, Genotek, MyGenetics ,  эпигенетика и микробиом по цене 30–50% от европейской розницы.</t>
  </si>
  <si>
    <t>МЕТОДОЛОГИЧЕСКАЯ ЗАМЕТКА</t>
  </si>
  <si>
    <t>Кросс-региональная корректировка</t>
  </si>
  <si>
    <t>Региональные корректировки к базовому EUR-прайсу OEM применяются следующим образом. (1) Стартовая точка ,  EUR-прайс (база Западной Европы). (2) Применяется категорийная российская надбавка: визуализация ,  +25–40% к EUR-прайсу (параллельный импорт, логистика, FX-буфер, премия серого канала); SPA и восстановление ,  +15–25%; лаборатория и ИТ ,  +10–20%; локально закупаемое FF&amp;E ,  −10…−25% к ЕС. (3) Добавляется FX-буфер 15–25% на CapEx, распределённый на 24–36 месяцев строительства. (4) Добавляется 8–12% премии за монтаж и пусконаладку для санкционного оборудования, требующего стороннего сервисного развёртывания. (5) Для международных бенчмарков уровня Tier-1 (Lanserhof, CLP, Chenot) используется база Западной Европы напрямую ,  эти операторы закупают по прайсу OEM с европейскими сервисными контрактами. (6) Годовое обслуживание (OPEX): 8–12% CapEx для базы в России (против 6–10% в ЕС) с учётом стоимости запчастей через серый канал. (7) Для аудиторского следа методологии каждая позиция документируется по источнику: прайс OEM, котировка дистрибьютора, котировка refurb-брокера, сопоставимая цена peer, либо триангулированная оценка по (а) глобальному прайсу, (б) российскому коэффициенту надбавки, (в) FX-предположению.</t>
  </si>
  <si>
    <t>СВОДКА РИСКОВ ПО РОССИИ</t>
  </si>
  <si>
    <t>Таможня и НДС</t>
  </si>
  <si>
    <t>Пошлина 0–5% по ТН ВЭД 9018–9022 с исключениями по Постановлению №1042; стандартный НДС 20%, сниженная ставка 10% или освобождение для многих медицинских изделий из правительственного перечня. Оператор обязан проверять освобождение по каждому коду ТН ВЭД через российского таможенного брокера.</t>
  </si>
  <si>
    <t>Затронуто санкциями</t>
  </si>
  <si>
    <t>ОГРАНИЧЕНО (EU 833/2014 и US BIS): премиальные МРТ от 3 Тл, ПЭТ-КТ, продвинутая КТ, ИИ-диагностические платформы, зависящие от облака. РАЗРЕШЕНО по лицензии/исключению: стандартные УЗИ, ЭКГ, мониторы пациента, базовые лабораторные анализаторы, диагностика сна, большая часть SPA и оборудования восстановления. Лицензионное исключение US BIS MED разрешает медицинские устройства класса EAR99 с апреля 2024 года.</t>
  </si>
  <si>
    <t>Параллельный импорт и сервисный риск</t>
  </si>
  <si>
    <t>Постановление №506 (2022) разрешает параллельный импорт без согласия правообладателя до 2025 года и далее. Побочные эффекты: гарантия OEM аннулируется, заводской сервисный контракт отсутствует, обновления ПО и удалённая диагностика часто отключены, запчасти через серый канал ,  3–6 месяцев (8–24 недели). По визуализации ,  премия 25–40%.</t>
  </si>
  <si>
    <t>Отечественные альтернативы</t>
  </si>
  <si>
    <t>Mindray / United Imaging / Samsung Medison (УЗИ, КТ, МРТ через параллельный импорт); Нейрософт / Aktiv-Med / Schiller-Реомед СП (ЭКГ, Холтер); TyloHelo / KLAFS-сборка (сауна); «Тритон» / «Квазар» (мониторы); Atlas / Genotek / MyGenetics (эпигенетика, микробиом, биомаркеры по цене 30–50% от европейской розницы).</t>
  </si>
  <si>
    <t>ИСТОЧНИКИ И МЕТОДОЛОГИЯ</t>
  </si>
  <si>
    <t>Библиография из 56 цитируемых источников, оценка достоверности и рекомендации по верификации.</t>
  </si>
  <si>
    <t>Название</t>
  </si>
  <si>
    <t>Тип</t>
  </si>
  <si>
    <t>Использовано для</t>
  </si>
  <si>
    <t>URL</t>
  </si>
  <si>
    <t>Дата обращения</t>
  </si>
  <si>
    <t>Lanserhof Tegernsee ,  Package Longevity</t>
  </si>
  <si>
    <t>Публикация цен оператором</t>
  </si>
  <si>
    <t>Цена надстройки Longevity (€5 113), базовая Classic-терапия (€2 940), пакет «Здоровый мозг»</t>
  </si>
  <si>
    <t>https://lanserhof.com/en/lanserhof-tegernsee/treatments/package-longevity-tegernsee/</t>
  </si>
  <si>
    <t>Lanserhof Lans ,  Package Longevity</t>
  </si>
  <si>
    <t>Lanserhof Longevity отдельно ,  €6 618 без проживания</t>
  </si>
  <si>
    <t>https://lanserhof.com/en/lanserhof-lans/treatments/package-longevity-lans/</t>
  </si>
  <si>
    <t>SerenityWays ,  Lanserhof Tegernsee profile</t>
  </si>
  <si>
    <t>Отраслевой агрегатор</t>
  </si>
  <si>
    <t>Перекрёстная проверка цен программ и итогов (€8 175 ,  стартовая стоимость 7 ночей)</t>
  </si>
  <si>
    <t>https://www.serenityways.com/clinics/lanserhof-tegernsee</t>
  </si>
  <si>
    <t>SHA Wellness Clinic ,  Advanced Longevity programme page</t>
  </si>
  <si>
    <t>Advanced Longevity 7 ночей ,  €7 500; 10 ночей ,  €9 500; 14 ночей ,  €12 000</t>
  </si>
  <si>
    <t>https://shawellness.com/en/advanced-longevity/</t>
  </si>
  <si>
    <t>SerenityWays ,  SHA Spain prices</t>
  </si>
  <si>
    <t>Полная стоимость пребывания SHA с проживанием (€12 520 за 7 ночей на 2 гостей в Deluxe Suite)</t>
  </si>
  <si>
    <t>https://www.serenityways.com/clinics/sha-spain</t>
  </si>
  <si>
    <t>Clinique La Prairie ,  Master Detox programme</t>
  </si>
  <si>
    <t>Master Detox: 20 950 CHF за 7 дней / 6 ночей</t>
  </si>
  <si>
    <t>https://www.cliniquelaprairie.com/programs/master-detox/</t>
  </si>
  <si>
    <t>SwissMedExpert ,  Clinique La Prairie pricing summary</t>
  </si>
  <si>
    <t>Программный диапазон CLP: 5 000–48 520 CHF (от Detox до Legendary Premium Revitalisation)</t>
  </si>
  <si>
    <t>https://swissmedexpert.com/clinic-la-prairie</t>
  </si>
  <si>
    <t>Chenot Palace Weggis ,  Programmes &amp; brochure</t>
  </si>
  <si>
    <t>Advanced Detox 5 500 CHF за 7 ночей только программа; Nest Room 410 CHF за ночь; общий старт 8 370 CHF</t>
  </si>
  <si>
    <t>https://www.chenot.com/chenot-palace/weggis/programmes/</t>
  </si>
  <si>
    <t>Chenot Palace Weggis ,  2024 Brochure (PDF)</t>
  </si>
  <si>
    <t>Публикация оператора</t>
  </si>
  <si>
    <t>Структура программы и состав</t>
  </si>
  <si>
    <t>https://www.chenot.com/wp-content/uploads/2024/05/Chenot-Palace-Weggis-Brochure-EN.pdf</t>
  </si>
  <si>
    <t>VIVAMAYR ,  Downloads (price lists)</t>
  </si>
  <si>
    <t>Modern Mayr Cure Classic: Maria Wörth ,  €3 825; Altaussee ,  €4 385; уровни проживания</t>
  </si>
  <si>
    <t>https://www.vivamayr.com/en/downloads/</t>
  </si>
  <si>
    <t>VIVAMAYR Maria Worth pricelist (PDF, Jan 2024)</t>
  </si>
  <si>
    <t>Цены программ и проживания в EUR</t>
  </si>
  <si>
    <t>https://www.vivamayr.com/app/uploads/2025/01/VIVAMAYR_MW_Preisliste_E_inkl.-Programme_15.01.2024.pdf</t>
  </si>
  <si>
    <t>Buchinger Wilhelmi Lake Constance ,  Arrangements &amp; Packages</t>
  </si>
  <si>
    <t>10-дневная программа голодания, состав; ваучер €45 за ночь</t>
  </si>
  <si>
    <t>https://www.buchinger-wilhelmi.com/en/buchinger-wilhelmi-lake-constance/arrangements-packages/</t>
  </si>
  <si>
    <t>Buchinger Wilhelmi ,  What we offer 2025 Lake Constance (PDF)</t>
  </si>
  <si>
    <t>Каталог услуг и цен 2025 ,  Боденское озеро</t>
  </si>
  <si>
    <t>https://www.buchinger-wilhelmi.com/wp-content/uploads/2024/11/What-we-offer-2025_web_V1.3.pdf</t>
  </si>
  <si>
    <t>Buchinger Wilhelmi ,  What we offer 2025 Marbella (PDF)</t>
  </si>
  <si>
    <t>Каталог услуг и цен 2025 ,  Марбелья</t>
  </si>
  <si>
    <t>https://www.buchinger-wilhelmi.com/wp-content/uploads/2024/11/What-we-offer-2025_web_V1.0.pdf</t>
  </si>
  <si>
    <t>Six Senses ,  Wellness &amp; Longevity</t>
  </si>
  <si>
    <t>Структура программ долголетия в отелях Six Senses</t>
  </si>
  <si>
    <t>https://www.sixsenses.com/en/wellness-spa/personalized-wellness/longevity/</t>
  </si>
  <si>
    <t>Six Senses 2025 Wellness Forecast (Hotel Online)</t>
  </si>
  <si>
    <t>Отраслевое освещение</t>
  </si>
  <si>
    <t>Контекст Six Senses Place, запуск женской велнес-программы</t>
  </si>
  <si>
    <t>https://www.hotel-online.com/news/six-senses-2025-wellness-forecast</t>
  </si>
  <si>
    <t>Anova IRM Germany ,  Diagnostic Work-Up</t>
  </si>
  <si>
    <t>Старт МРТ всего тела ,  €2 490</t>
  </si>
  <si>
    <t>https://anova-irm.com/en/diagnostics/diagnostic-work-up</t>
  </si>
  <si>
    <t>Radiologie Dr Jung ,  MRI cost overview</t>
  </si>
  <si>
    <t>МРТ всего тела при прямой оплате в Германии ,  €1 200–1 500</t>
  </si>
  <si>
    <t>https://www.radiologie-dr-jung.de/en/mri-cost-overview/</t>
  </si>
  <si>
    <t>Prenuvo ,  Pricing</t>
  </si>
  <si>
    <t>МРТ всего тела ,  $2 499 (бенчмарк США)</t>
  </si>
  <si>
    <t>https://prenuvo.com/pricing</t>
  </si>
  <si>
    <t>Ezra ,  MRI Pricing</t>
  </si>
  <si>
    <t>МРТ всего тела ,  $1 995 (бенчмарк США)</t>
  </si>
  <si>
    <t>https://www.ezra.com/pricing</t>
  </si>
  <si>
    <t>Sleep Foundation ,  Sleep Study Cost</t>
  </si>
  <si>
    <t>Отраслевой справочник</t>
  </si>
  <si>
    <t>Диапазон стоимости полисомнографии в США/ЕС</t>
  </si>
  <si>
    <t>https://www.sleepfoundation.org/sleep-studies/how-much-does-a-sleep-study-cost</t>
  </si>
  <si>
    <t>TruDiagnostic ,  TruAge</t>
  </si>
  <si>
    <t>Цена производителя/оператора</t>
  </si>
  <si>
    <t>Эпигенетический тест биологического возраста: $499; в Великобритании ,  £380</t>
  </si>
  <si>
    <t>https://shop.trudiagnostic.com/products/truage-complete-epigenetic-collection</t>
  </si>
  <si>
    <t>Longevity Advice ,  11 Best Biological Age Tests 2024</t>
  </si>
  <si>
    <t>Отраслевое сравнение</t>
  </si>
  <si>
    <t>Розничные цены тестов биологического возраста (TruDiagnostic, GlycanAge, TruMe, EpiAging, Muhdo)</t>
  </si>
  <si>
    <t>https://www.longevityadvice.com/best-biological-age-tests/</t>
  </si>
  <si>
    <t>Viome ,  Microbiome test</t>
  </si>
  <si>
    <t>Базовая цена Viome ,  $119</t>
  </si>
  <si>
    <t>https://www.viome.com/</t>
  </si>
  <si>
    <t>InnerBody ,  Viome review</t>
  </si>
  <si>
    <t>Отраслевой обзор</t>
  </si>
  <si>
    <t>Контекст розничных цен Viome и микробиома</t>
  </si>
  <si>
    <t>https://www.innerbody.com/viome-review</t>
  </si>
  <si>
    <t>HVS ,  U.S. Hotel Development Cost Survey 2024</t>
  </si>
  <si>
    <t>Бенчмарк гостиничного рынка</t>
  </si>
  <si>
    <t>CapEx на номер: люкс ,  медиана выше $1 млн; полный сервис ,  выше $400 тыс.; midscale ,  $160–170 тыс.</t>
  </si>
  <si>
    <t>https://www.hvs.com/article/9999-HVS-US-Hotel-Development-Cost-Survey-2024</t>
  </si>
  <si>
    <t>HVS ,  U.S. Hotel Development Cost Survey 2025</t>
  </si>
  <si>
    <t>Перекрёстная проверка стоимости номеров класса люкс и full-service</t>
  </si>
  <si>
    <t>https://www.hvs.com/article/10219-hvs-us-hotel-development-cost-survey-2025</t>
  </si>
  <si>
    <t>Cushman &amp; Wakefield ,  Hotel Investor Compass 2024</t>
  </si>
  <si>
    <t>Отраслевой отчёт</t>
  </si>
  <si>
    <t>Спрос инвесторов в люксовом сегменте Европы и контекст размещения капитала</t>
  </si>
  <si>
    <t>https://www.cushmanwakefield.com/en/insights/hotel-investor-compass</t>
  </si>
  <si>
    <t>Cushman &amp; Wakefield ,  Hotel Investor Compass 2024 Spain</t>
  </si>
  <si>
    <t>Настроение иберийских инвесторов в люкс-отелях ,  4,3 из 5</t>
  </si>
  <si>
    <t>https://www.cushmanwakefield.com/en/spain/news/2024/05/hotel-investor-campass-2024</t>
  </si>
  <si>
    <t>Statista ,  European hotel construction costs by city 2024</t>
  </si>
  <si>
    <t>Отраслевые данные</t>
  </si>
  <si>
    <t>Вариативность стоимости строительства отелей по европейским городам</t>
  </si>
  <si>
    <t>https://www.statista.com/statistics/1380696/hotel-construction-costs-european-cities/</t>
  </si>
  <si>
    <t>Global Wellness Institute ,  Wellness Real Estate 2024 (PDF)</t>
  </si>
  <si>
    <t>Велнес-недвижимость: $548 млрд в 2024 году с ростом до $1,1 трлн к 2029 году; тенденции интеграции долголетия</t>
  </si>
  <si>
    <t>https://globalwellnessinstitute.org/wp-content/uploads/2024/05/GWI-Wellness-Real-Estate-2024.pdf</t>
  </si>
  <si>
    <t>Global Wellness Institute ,  Build Well to Live Well 2025</t>
  </si>
  <si>
    <t>Статистика роста рынка велнес-недвижимости</t>
  </si>
  <si>
    <t>https://globalwellnessinstitute.org/press-room/press-releases/build-well-to-live-well-2025/</t>
  </si>
  <si>
    <t>Federal Register ,  License Exception MED, 89 FR (Apr 29 2024)</t>
  </si>
  <si>
    <t>Первичный регуляторный источник</t>
  </si>
  <si>
    <t>Санкционная рамка US BIS для медицинских устройств в Россию, Беларусь и оккупированные территории Украины</t>
  </si>
  <si>
    <t>https://www.federalregister.gov/documents/2024/04/29/2024-09076/amendment-to-existing-controls-on-russia-and-belarus-under-the-export-administration-regulations-ear</t>
  </si>
  <si>
    <t>BIS ,  License Exception Medical Devices (PDF)</t>
  </si>
  <si>
    <t>Допустимые позиции, охват EAR99, требования к учёту</t>
  </si>
  <si>
    <t>https://www.bis.gov/media/961</t>
  </si>
  <si>
    <t>European Commission ,  Sanctions FAQ Medicines and Medical Devices (PDF)</t>
  </si>
  <si>
    <t>Уточнения медицинского исключения EU 833/2014</t>
  </si>
  <si>
    <t>https://finance.ec.europa.eu/system/files/2023-02/faqs-sanctions-russia-medical_en.pdf</t>
  </si>
  <si>
    <t>EUR-Lex ,  Regulation 833/2014 (consolidated)</t>
  </si>
  <si>
    <t>База санкций ЕС, включая медицинские исключения</t>
  </si>
  <si>
    <t>https://eur-lex.europa.eu/eli/reg/2014/833/oj/eng</t>
  </si>
  <si>
    <t>Brace Law Firm ,  Parallel Import in Russia: Medicines &amp; Medical Devices</t>
  </si>
  <si>
    <t>Юридический анализ</t>
  </si>
  <si>
    <t>Постановление №506 (март 2022) и приказ №1532 ,  параллельный импорт медицинских изделий</t>
  </si>
  <si>
    <t>https://brace-lf.com/en/analytics/pharmaceutical-and-medical-law/parallel-import-russia-medicines-medical-devices</t>
  </si>
  <si>
    <t>Morgan Lewis ,  Update: Russia Legalizes Parallel Import of Certain Goods</t>
  </si>
  <si>
    <t>Перечень №506 из 55 категорий, включая фармацию и медицинские изделия</t>
  </si>
  <si>
    <t>https://www.morganlewis.com/pubs/2022/04/update-russia-legalizes-parallel-import-of-certain-goods</t>
  </si>
  <si>
    <t>Denuo ,  Regulation of parallel imports in 2024</t>
  </si>
  <si>
    <t>Продление механизма параллельного импорта до 2025 года</t>
  </si>
  <si>
    <t>https://denuo.legal/en/insights/news/240711/</t>
  </si>
  <si>
    <t>US ITA ,  Country Commercial Guide: Russia Medical Equipment</t>
  </si>
  <si>
    <t>Государственный коммерческий справочник</t>
  </si>
  <si>
    <t>Структура российского рынка медицинской техники, картина импортёров</t>
  </si>
  <si>
    <t>https://www.trade.gov/country-commercial-guides/russia-medical-equipment</t>
  </si>
  <si>
    <t>Securiti ,  Russian Federal Law No. 152-FZ explainer</t>
  </si>
  <si>
    <t>Справочник по комплаенсу</t>
  </si>
  <si>
    <t>Требования 152-ФЗ к локализации персональных и медицинских данных</t>
  </si>
  <si>
    <t>https://securiti.ai/russian-federal-law-no-152-fz/</t>
  </si>
  <si>
    <t>Konsu ,  New requirements for localization of personal data in Russia (July 2025)</t>
  </si>
  <si>
    <t>Обновления 152-ФЗ: 420-ФЗ (ноябрь 2024) ,  рост штрафов до 18 млн ₽; 23-ФЗ (февраль 2025)</t>
  </si>
  <si>
    <t>https://konsugroup.com/en/news/new-requirements-personal-data-protection-russia-2025-07/</t>
  </si>
  <si>
    <t>WTO ,  Russian Federation Tariff Profile (PDF)</t>
  </si>
  <si>
    <t>Базовая структура российского таможенного тарифа</t>
  </si>
  <si>
    <t>https://www.wto.org/english/res_e/statis_e/daily_update_e/tariff_profiles/RU_E.pdf</t>
  </si>
  <si>
    <t>Tonlexing ,  Customs Clearance in Russia 2025 guide</t>
  </si>
  <si>
    <t>Стандартный НДС 20% и сниженная ставка 10% для жизненно важных товаров (медицина)</t>
  </si>
  <si>
    <t>https://www.tonlexing.com/customs-clearance-in-russia/</t>
  </si>
  <si>
    <t>Mindray ,  Unlimited Potentials: Mindray's Story in Russia</t>
  </si>
  <si>
    <t>Публикация производителя</t>
  </si>
  <si>
    <t>Позиция Mindray на российском рынке (топ-3 импортируемой медтехники с 2007 года)</t>
  </si>
  <si>
    <t>https://www.mindray.com/en/media-center/blogs/unlimited-potentials-mindray-s-story-in-russia</t>
  </si>
  <si>
    <t>TAdviser ,  Medical Equipment (Russian Market)</t>
  </si>
  <si>
    <t>Объём рынка медтехники в России ,  129,2 млрд ₽; доли брендов; динамика замещения</t>
  </si>
  <si>
    <t>https://tadviser.com/index.php/Article:Medical_Equipment_(Russian_Market)</t>
  </si>
  <si>
    <t>Schmidt &amp; Schmidt ,  New Rules for Medical Device Registration in Russia (Mar 2025)</t>
  </si>
  <si>
    <t>Регуляторный анализ</t>
  </si>
  <si>
    <t>Изменения регистрации медицинских изделий ЕАЭС/России и их влияние на сроки</t>
  </si>
  <si>
    <t>https://schmidt-export.com/news/new-rules-registration-medical-devices-starting-march-1-2025-russia</t>
  </si>
  <si>
    <t>FocusEconomics ,  Russia Exchange Rate Forecast</t>
  </si>
  <si>
    <t>Макроэкономические данные</t>
  </si>
  <si>
    <t>Курс RUB/USD в 2024 году (109,8 на конец 2024 против 89,4 на конец 2023)</t>
  </si>
  <si>
    <t>https://www.focus-economics.com/country-indicator/russia/exchange-rate/</t>
  </si>
  <si>
    <t>Asia Times ,  Ruble volatility exposes Russia's emerging economic crisis (Dec 2024)</t>
  </si>
  <si>
    <t>Макроэкономический анализ</t>
  </si>
  <si>
    <t>Контекст ослабления рубля для FX-методологии</t>
  </si>
  <si>
    <t>https://asiatimes.com/2024/12/ruble-volatility-exposes-russias-emerging-economic-crisis/</t>
  </si>
  <si>
    <t>Cooley ,  New License Exception Authorizes Medical Device Exports to Russia</t>
  </si>
  <si>
    <t>Практический комплаенс по лицензионному исключению MED</t>
  </si>
  <si>
    <t>https://www.cooley.com/news/insight/2024/2024-05-06-new-license-exception-authorizes-exports-of-previously-restricted-medical-devices-and-related-items</t>
  </si>
  <si>
    <t>Curtis ,  EU 14th Sanctions Package (Regulation 2024/1745)</t>
  </si>
  <si>
    <t>Поправки EU 833/2014 в 2024 году</t>
  </si>
  <si>
    <t>https://www.curtis.com/our-firm/news/the-eu-adopts-its-14th-sanctions-package-against-russia</t>
  </si>
  <si>
    <t>Hospitality Net ,  Six Senses 2025 Wellness Forecast</t>
  </si>
  <si>
    <t>Структура и контекст цен ретритов Six Senses</t>
  </si>
  <si>
    <t>https://www.hospitalitynet.org/news/4125285.html</t>
  </si>
  <si>
    <t>BodySpec ,  DEXA scan cost in major cities</t>
  </si>
  <si>
    <t>Розничные бенчмарки DEXA в США/Великобритании</t>
  </si>
  <si>
    <t>https://www.bodyspec.com/blog/post/how_much_does_a_dexa_scan_cost_in_major_cities</t>
  </si>
  <si>
    <t>Block Imaging ,  Bone Densitometer Price Guide</t>
  </si>
  <si>
    <t>Цены брокера refurb-оборудования</t>
  </si>
  <si>
    <t>Аппаратные и refurb-цены DEXA</t>
  </si>
  <si>
    <t>https://www.blockimaging.com/ge-and-hologic-bone-densitometer-price-cost-guide</t>
  </si>
  <si>
    <t>Healing Holidays ,  Lanserhof Tegernsee accommodation</t>
  </si>
  <si>
    <t>Публикация оператора/дистрибьютора</t>
  </si>
  <si>
    <t>Перекрёстная проверка цен номеров и итогов пакетов</t>
  </si>
  <si>
    <t>https://www.healingholidays.com/accommodation/germany/lanserhof-tegernsee</t>
  </si>
  <si>
    <t>Globetrender ,  Six Senses to open three urban wellness resorts in 2026</t>
  </si>
  <si>
    <t>Six Senses London (Whiteley) ,  мощность 109 номеров и 14 резиденций; открытие в 2026 году</t>
  </si>
  <si>
    <t>https://globetrender.com/2025/12/02/four-new-six-senses-resorts-2026/</t>
  </si>
  <si>
    <t>ОЦЕНКА ДОСТОВЕРНОСТИ</t>
  </si>
  <si>
    <t>Наиболее надёжно</t>
  </si>
  <si>
    <t>Цены по Западной Европе (€) и Северной Америке (USD) для кухни, спортзала, SPA и ИТ/PMS ,  взяты с актуальных страниц дилеров и из прайсов OEM (Rational, Technogym, Pilates, Klafs, Mews, Salesforce). Расхождение с фактической котировкой обычно ±10%.</t>
  </si>
  <si>
    <t>Умеренно надёжно</t>
  </si>
  <si>
    <t>Визуализация (МРТ, КТ, DEXA), лабораторные анализаторы и медицинская инфраструктура для ЕС и Северной Америки ,  взяты из прайсов refurb-брокеров (Block Imaging, Avante, Soma Tech) и публичных котировок OEM. По новому оборудованию расхождение составляет ±15%; refurb-предложения точнее.</t>
  </si>
  <si>
    <t>Самая слабая колонка ,  Россия (₽)</t>
  </si>
  <si>
    <t>Российские цены ТРИАНГУЛИРОВАНЫ, а не получены прямой котировкой. Метод: европейский прайс EUR + надбавка 25–40% по визуализации (премия параллельного импорта плюс FX-буфер) + 15–25% по SPA и восстановлению + 10–20% по лаборатории и ИТ; минус 10–25% на локально закупаемом FF&amp;E. Достоверность: средняя для SPA/ИТ, низкая для санкционной визуализации. Расхождение с фактической котировкой ±25–40%.</t>
  </si>
  <si>
    <t>Pass-through позиции</t>
  </si>
  <si>
    <t>Расширенные биомаркерные панели, киты CGM, киты микробиома, эпигенетические тесты возраста ,  это позиции с нулевым CapEx (расходники, оплачиваемые на гостя), учитываются как pass-through. Объёмы влияют на маржу, а не на CapEx.</t>
  </si>
  <si>
    <t>РЕКОМЕНДАЦИИ ПО ВЕРИФИКАЦИИ ПЕРЕД ФИКСАЦИЕЙ CapEx</t>
  </si>
  <si>
    <t>Российская визуализация ,  ОБЯЗАТЕЛЬНО</t>
  </si>
  <si>
    <t>Запросить котировку у российского брокера медицинской техники до фиксации CapEx. Рекомендованы: M-Equipment (Москва), MedTechMarket, Medtech-M либо консультант по закупкам, аффилированный с Сеченовским университетом. Особенно по позициям: МРТ 3 Тл, КТ 128 срезов, DEXA, маммография. Расхождение с оценками этой книги составит 25–40%.</t>
  </si>
  <si>
    <t>Российские SPA и баня ,  РЕКОМЕНДУЕТСЯ</t>
  </si>
  <si>
    <t>Подтвердить с российским SPA-генподрядчиком (Termopark, «Русская баня», Banya Project), поскольку цена банного комплекса варьируется в 2–3 раза в зависимости от технологии и породы (кедр, липа, дуб). Оценки в RUB предполагают поставку «под ключ» из бруса и могут занижать стоимость премиального кедра на 15–30%.</t>
  </si>
  <si>
    <t>Визуализация в Западной Европе ,  ОПЦИОНАЛЬНО</t>
  </si>
  <si>
    <t>Сверить с Block Imaging, Avante или Soma Tech по refurb-аналогам того же класса; прайс OEM обычно даёт скидку 10–15% на пакеты от €1 млн.</t>
  </si>
  <si>
    <t>ИТ / ПО ,  ОПЦИОНАЛЬНО</t>
  </si>
  <si>
    <t>Цены Mews, Salesforce и Athenahealth масштабируются количеством номеров и числом специалистов. Подтвердить котировкой поставщика на момент подписания. Подписочный рост обычно 5–8% в год.</t>
  </si>
  <si>
    <t>Цены процедур и пакетов ,  ОПЦИОНАЛЬНО</t>
  </si>
  <si>
    <t>Цены процедур привязаны к публичным данным Lanserhof, CLP и SHA, а также к самостоятельным европейским клиникам (Anova IRM, Radiologie Dr Jung, Prenuvo, Ezra). Российские целевые цены ,  позиционные оценки; следует свериться с публичными прайсами Сеченовского центра и клиники «Рассвет».</t>
  </si>
  <si>
    <t>ПАКЕТЫ БИОМАРКЕРОВ</t>
  </si>
  <si>
    <t>Цена ЕС, EUR</t>
  </si>
  <si>
    <t>Цена в РФ, EUR</t>
  </si>
  <si>
    <t>Цена в РФ, RUB</t>
  </si>
  <si>
    <t>Кейс применения</t>
  </si>
  <si>
    <t>Маркеры</t>
  </si>
  <si>
    <t>Foundation Longevity Panel</t>
  </si>
  <si>
    <t>Базовая оценка при поступлении на любую программу долголетия, повтор ежегодно. Диагностическая основа, обосновывающая каждый последующий протокол.</t>
  </si>
  <si>
    <t>TruAge Complete (Horvath, GrimAge2, DunedinPACE, OMICmAge, SYMPHONYAge); Glycan age; PhenoAge (расчётный); hsCRP, IL-6, фибриноген; Глюкоза натощак, инсулин натощак, HOMA-IR, HbA1c; Полная липидограмма, ApoB, Lp(a); Тестостерон общий и свободный, SHBG, estradiol, DHEA-S; TSH, free T3, free T4; IGF-1; Cortisol AM/PM; 25-OH vitamin D, holotranscobalamin B12, RBC folate; Омега-3 индекс; Liver and kidney panels; Heavy metals (4-metal whole blood); APOE, MTHFR (однократно)</t>
  </si>
  <si>
    <t>Inflammaging Panel</t>
  </si>
  <si>
    <t>Контроль программы Inflammaging Reversal на 90-й и 180-й день; повтор ежегодно.</t>
  </si>
  <si>
    <t>Glycan age; hsCRP, IL-6, TNF-alpha, IL-1beta, фибриноген; GDF15 (суррогат SASP); oxLDL; Омега-3 индекс</t>
  </si>
  <si>
    <t>Mitochondrial / NAD+ Panel</t>
  </si>
  <si>
    <t>Программа Mitochondrial Reset; измерение до и после инфузии NAD+; повтор на 30-й и 90-й день.</t>
  </si>
  <si>
    <t>Внутриклеточный NAD+ (Jinfiniti); Лактат (натощак, после нагрузки); Пируват; Органические кислоты в моче (Genova или локальный эквивалент); Убихинон (CoQ10) в плазме; Carnitine free and total</t>
  </si>
  <si>
    <t>Metabolic / Time-Restricted Eating Panel</t>
  </si>
  <si>
    <t>Программы Metabolic Renewal и TRE; CGM при поступлении и на 90-й день.</t>
  </si>
  <si>
    <t>Глюкоза натощак, инсулин натощак, HOMA-IR, HbA1c; ПГТТ 75 г с инсулином (3 часа); ApoB, Lp(a), small dense LDL, oxLDL; CGM на 14 дней (FreeStyle Libre 2); Печёночная панель (ALT, AST, GGT); Адипонектин и лептин</t>
  </si>
  <si>
    <t>Hormone and HPA Axis Panel</t>
  </si>
  <si>
    <t>Кандидатура на ЗГТ, программа Stress and Sleep, Adrenal Reset; повтор через 90 дней после начала ЗГТ.</t>
  </si>
  <si>
    <t>Тестостерон общий и свободный, SHBG; Эстрадиол, прогестерон, DHEA-S; Кортизол 4 точки в слюне (Genova или DUTCH); IGF-1; TSH, свободный T3, свободный T4, reverse T3; Прегненолон, 17-OH прогестерон</t>
  </si>
  <si>
    <t>Premium Cellular Renewal Panel (top tier)</t>
  </si>
  <si>
    <t>Ежегодное углублённое обследование для членов с высоким уровнем дохода во флагманской программе Cellular Renewal. Маркетинг-уровень комплексной панели, сопоставимой с Lanserhof Lans Med Concept и Clinique La Prairie Master Diagnosis.</t>
  </si>
  <si>
    <t>Полная Foundation Longevity Panel; Длина теломер (Life Length TAT); SASP / Olink Inflammation 96; LDL-P NMR LipoProfile; Микробиом shotgun (Viome или Genova GI Effects); Heavy metals 8-metal extended; Pharmacogenomics CYP panel; Дополнительные маркеры исследования сенесценции</t>
  </si>
  <si>
    <t>ПОЛНЫЙ РЕЕСТР 54 МАРКЕРОВ</t>
  </si>
  <si>
    <t>Маркер</t>
  </si>
  <si>
    <t>Биологический путь</t>
  </si>
  <si>
    <t>Метод</t>
  </si>
  <si>
    <t>Вендор</t>
  </si>
  <si>
    <t>Цена РФ landed, RUB</t>
  </si>
  <si>
    <t>Доступность РФ</t>
  </si>
  <si>
    <t>Evidence</t>
  </si>
  <si>
    <t>Использовано в программах</t>
  </si>
  <si>
    <t>Epigenetic age, Horvath multi-tissue clock</t>
  </si>
  <si>
    <t>DNA methylation drift, cellular senescence accumulation, mortality risk</t>
  </si>
  <si>
    <t>Whole blood or buccal swab, Illumina EPIC methylation array (850K CpG sites)</t>
  </si>
  <si>
    <t>TruDiagnostic (Lexington KY) TruAge Complete; alternative myDNAge (Epimorphy/Zymo)</t>
  </si>
  <si>
    <t>No domestic provider with validated Horvath clock. Sample (DBS card or EDTA whole blood) must ship out. Workflow: kit imported via Astana, sample drawn at resort, return courier via DHL Medical Express ex-Almaty or Istanbul.</t>
  </si>
  <si>
    <t>B (mechanistic strong; intervention reversibility growing)</t>
  </si>
  <si>
    <t>Cellular Renewal; Epigenetic Age Reduction; Intake baseline</t>
  </si>
  <si>
    <t>Epigenetic age, GrimAge2</t>
  </si>
  <si>
    <t>Mortality and morbidity prediction via DNAm surrogates of plasma proteins (GDF15, PAI-1, B2M, leptin) and smoking pack-years</t>
  </si>
  <si>
    <t>Bundled in TruAge Complete, same EPIC array</t>
  </si>
  <si>
    <t>TruDiagnostic (licensed by Lu and Horvath); also Elysium Index</t>
  </si>
  <si>
    <t>Bundled in TruAge Complete, see Horvath row</t>
  </si>
  <si>
    <t>A (most predictive of all-cause mortality among published clocks)</t>
  </si>
  <si>
    <t>Cellular Renewal; Epigenetic Age Reduction</t>
  </si>
  <si>
    <t>DunedinPACE pace-of-aging</t>
  </si>
  <si>
    <t>Pace of biological aging per chronological year, derived from Dunedin birth cohort</t>
  </si>
  <si>
    <t>Bundled in TruAge Complete</t>
  </si>
  <si>
    <t>TruDiagnostic (exclusive license); also Elysium Index</t>
  </si>
  <si>
    <t>Bundled, see Horvath row</t>
  </si>
  <si>
    <t>A (most responsive clock to lifestyle intervention in CALERIE trial)</t>
  </si>
  <si>
    <t>Cellular Renewal; Epigenetic Age Reduction; follow-up at 12 months</t>
  </si>
  <si>
    <t>PhenoAge (Levine)</t>
  </si>
  <si>
    <t>Composite of 9 routine clinical biomarkers (albumin, creatinine, glucose, hsCRP, lymphocyte percent, MCV, RDW, alkaline phosphatase, WBC) plus chronological age, mapped to a methylation clock</t>
  </si>
  <si>
    <t>Phenotypic version: standard chemistry (in Russia via INVITRO or KDL). DNAm version: Illumina EPIC.</t>
  </si>
  <si>
    <t>Calculated in-house from standard chemistry; methylation version bundled in TruAge</t>
  </si>
  <si>
    <t>Phenotypic version fully calculable from Russian lab data at zero incremental cost. Marketing-grade win.</t>
  </si>
  <si>
    <t>A (validated against NHANES mortality)</t>
  </si>
  <si>
    <t>all programs (free add-on)</t>
  </si>
  <si>
    <t>Glycan age (IgG glycosylation)</t>
  </si>
  <si>
    <t>IgG N-glycan profile (galactosylation, sialylation, bisecting GlcNAc) reflects systemic chronic low-grade inflammation</t>
  </si>
  <si>
    <t>Dried blood spot, UPLC analysis of released IgG N-glycans</t>
  </si>
  <si>
    <t>GlycanAge Ltd (UK)</t>
  </si>
  <si>
    <t>Sample export required. DBS card friendly to courier. Route via Istanbul or Yerevan. GlycanAge accepts samples globally.</t>
  </si>
  <si>
    <t>B (mechanistic strong, reversible with intervention)</t>
  </si>
  <si>
    <t>Inflammaging Reversal; Cellular Renewal</t>
  </si>
  <si>
    <t>Telomere length (median and percent critically short)</t>
  </si>
  <si>
    <t>Replicative senescence; telomere attrition is a primary hallmark of aging</t>
  </si>
  <si>
    <t>EDTA whole blood, high-throughput Q-FISH at single-cell resolution</t>
  </si>
  <si>
    <t>Life Length S.L. (Madrid, TAT high-throughput Q-FISH); alternative TeloYears qPCR</t>
  </si>
  <si>
    <t>Whole blood ships to Madrid via DHL Medical Express ex-Istanbul or Almaty. Stability requires 5 day cold chain. Risk of sample rejection if transit is delayed; build 24-hour pickup-to-courier SLA.</t>
  </si>
  <si>
    <t>B (associated with mortality; intervention-responsive in some studies)</t>
  </si>
  <si>
    <t>Cellular Renewal; annual repeat</t>
  </si>
  <si>
    <t>Intracellular NAD+ level</t>
  </si>
  <si>
    <t>NAD+ is co-substrate for sirtuins, PARPs, CD38; declines roughly 50 percent from age 30 to 70 and is rate-limiting for mitochondrial and DNA-repair function</t>
  </si>
  <si>
    <t>Capillary blood DBS, LC-MS/MS quantification of intracellular NAD+</t>
  </si>
  <si>
    <t>Jinfiniti Precision Medicine (CLIA, Augusta GA); ChromaDex Niagen+ (HCP-only); Vibrant America Methylation/NAD profile</t>
  </si>
  <si>
    <t>DBS card is courier-tolerant (room-temp stable 14 days). Ship via EMS or DHL ex-Almaty. Jinfiniti accepts international samples.</t>
  </si>
  <si>
    <t>B (NAD+ decline well documented; supplementation response measurable)</t>
  </si>
  <si>
    <t>Mitochondrial Reset; NAD+ infusion program follow-up</t>
  </si>
  <si>
    <t>Senescence-associated secretory phenotype (SASP) panel</t>
  </si>
  <si>
    <t>Senescent cells secrete pro-inflammatory cytokines and proteases (IL-6, IL-8, MMP-3, MCP-1, GDF15, PAI-1) that drive inflammaging and tissue dysfunction</t>
  </si>
  <si>
    <t>Plasma, multiplex immunoassay (Luminex, Olink) or aptamer (SomaScan)</t>
  </si>
  <si>
    <t>Quest Cardio IQ plus GDF15 add-on (US); SomaLogic SomaScan (research-grade, 7000 proteins); Olink Target 96 Inflammation</t>
  </si>
  <si>
    <t>Plasma must ship frozen on dry ice. Logistically the hardest marker class to deliver from Russia. Two-temperature courier via Astana possible but cost is high. Alternative: surrogate panel (IL-6, hsCRP, GDF15, fibrinogen) measured in Russia at INVITRO or KDL with SASP interpretation overlay.</t>
  </si>
  <si>
    <t>C (panel composition not standardized; clinical thresholds emerging)</t>
  </si>
  <si>
    <t>Inflammaging Reversal; Senolytic protocol monitoring</t>
  </si>
  <si>
    <t>p16INK4a expression (CDKN2A)</t>
  </si>
  <si>
    <t>Cyclin-dependent kinase inhibitor; canonical senescence marker, upregulated in T cells with age</t>
  </si>
  <si>
    <t>PBMC isolation, qPCR for CDKN2A mRNA</t>
  </si>
  <si>
    <t>Research-only (UNC Lineberger, SiRNAxiome); not a routine commercial CLIA test in 2026</t>
  </si>
  <si>
    <t>Not commercially routinely available. Flag as research-grade only.</t>
  </si>
  <si>
    <t>C (research only)</t>
  </si>
  <si>
    <t>future research collaboration</t>
  </si>
  <si>
    <t>hsCRP (high-sensitivity C-reactive protein)</t>
  </si>
  <si>
    <t>Acute-phase reactant; tracks chronic low-grade inflammation and CV risk</t>
  </si>
  <si>
    <t>Immunoturbidimetric, serum</t>
  </si>
  <si>
    <t>INVITRO, KDL, Helix, CMD (all Russia); Quest, Labcorp (US)</t>
  </si>
  <si>
    <t>Routine in every Russian lab. INVITRO Moscow approx 750 RUB consumer (about EUR 8).</t>
  </si>
  <si>
    <t>Inflammaging Reversal; Cellular Renewal; Metabolic; all baselines</t>
  </si>
  <si>
    <t>Interleukin-6 (IL-6)</t>
  </si>
  <si>
    <t>Pro-inflammatory cytokine; key SASP component; mortality predictor in elderly</t>
  </si>
  <si>
    <t>ECLIA or chemiluminescence, serum</t>
  </si>
  <si>
    <t>INVITRO, KDL, Helix (Russia); Quest, Labcorp (US)</t>
  </si>
  <si>
    <t>Routine in major Russian labs. INVITRO catalog approx 2200 RUB (about EUR 24).</t>
  </si>
  <si>
    <t>Inflammaging Reversal; Senolytic monitoring</t>
  </si>
  <si>
    <t>TNF-alpha</t>
  </si>
  <si>
    <t>Pro-inflammatory cytokine; SASP component</t>
  </si>
  <si>
    <t>ELISA or chemiluminescence, serum</t>
  </si>
  <si>
    <t>INVITRO, KDL (Russia); Quest, Labcorp (US)</t>
  </si>
  <si>
    <t>Available at INVITRO, KDL. Approx 2400 RUB.</t>
  </si>
  <si>
    <t>Inflammaging Reversal</t>
  </si>
  <si>
    <t>IL-1beta</t>
  </si>
  <si>
    <t>Inflammasome activation; SASP component</t>
  </si>
  <si>
    <t>ELISA, serum</t>
  </si>
  <si>
    <t>INVITRO, specialty labs (Russia); Quest (US)</t>
  </si>
  <si>
    <t>Available at INVITRO and academic labs. Approx 2600 RUB.</t>
  </si>
  <si>
    <t>Fibrinogen</t>
  </si>
  <si>
    <t>Acute-phase reactant; CV thrombotic risk</t>
  </si>
  <si>
    <t>Clauss method, citrated plasma</t>
  </si>
  <si>
    <t>INVITRO, KDL, Helix (Russia)</t>
  </si>
  <si>
    <t>Routine. Approx 600 RUB.</t>
  </si>
  <si>
    <t>Inflammaging Reversal; Cardiometabolic baseline</t>
  </si>
  <si>
    <t>Fasting glucose</t>
  </si>
  <si>
    <t>Glucose homeostasis</t>
  </si>
  <si>
    <t>Hexokinase, plasma</t>
  </si>
  <si>
    <t>Russia: any (INVITRO, KDL, Helix, CMD)</t>
  </si>
  <si>
    <t>Universal.</t>
  </si>
  <si>
    <t>all metabolic programs</t>
  </si>
  <si>
    <t>Fasting insulin</t>
  </si>
  <si>
    <t>Pancreatic beta-cell output, surrogate for hepatic insulin sensitivity</t>
  </si>
  <si>
    <t>ECLIA, serum</t>
  </si>
  <si>
    <t>INVITRO, KDL, Helix</t>
  </si>
  <si>
    <t>Routine. INVITRO approx 950 RUB.</t>
  </si>
  <si>
    <t>all metabolic programs; TRE follow-up</t>
  </si>
  <si>
    <t>HOMA-IR (calculated)</t>
  </si>
  <si>
    <t>Insulin resistance index</t>
  </si>
  <si>
    <t>Calculation: (glucose mmol/L x insulin mU/L) divided by 22.5</t>
  </si>
  <si>
    <t>Calculated from glucose and insulin</t>
  </si>
  <si>
    <t>Free derived metric.</t>
  </si>
  <si>
    <t>HbA1c</t>
  </si>
  <si>
    <t>90-day glycation average</t>
  </si>
  <si>
    <t>HPLC NGSP-aligned, EDTA whole blood</t>
  </si>
  <si>
    <t>Universal. Approx 800 RUB.</t>
  </si>
  <si>
    <t>Oral glucose tolerance test (OGTT, 75g, 2h with insulin)</t>
  </si>
  <si>
    <t>Dynamic glucose and insulin response, detects early insulin resistance missed by fasting markers</t>
  </si>
  <si>
    <t>75g glucose load, glucose and insulin at 0, 30, 60, 120 min</t>
  </si>
  <si>
    <t>INVITRO, KDL, in-house resort phlebotomy</t>
  </si>
  <si>
    <t>Standard service in Russian labs and resort medical units.</t>
  </si>
  <si>
    <t>Metabolic Renewal intake</t>
  </si>
  <si>
    <t>Continuous glucose monitor 14-day</t>
  </si>
  <si>
    <t>Glycemic variability, postprandial response, dawn phenomenon, food-personalized response</t>
  </si>
  <si>
    <t>Subcutaneous interstitial glucose sensor, 14 days</t>
  </si>
  <si>
    <t>Abbott FreeStyle Libre 2 / Libre 3 (available in Russia via parallel import); Dexcom G7 (limited Russia availability)</t>
  </si>
  <si>
    <t>FreeStyle Libre 2 available in Russia, retail approx 6500 to 8000 RUB per sensor. 14 days continuous.</t>
  </si>
  <si>
    <t>Metabolic Renewal; TRE program; weight-loss program</t>
  </si>
  <si>
    <t>Apolipoprotein B (ApoB)</t>
  </si>
  <si>
    <t>Atherogenic particle count; preferred over LDL-C for ASCVD risk</t>
  </si>
  <si>
    <t>Routine. INVITRO approx 1500 RUB.</t>
  </si>
  <si>
    <t>all baselines</t>
  </si>
  <si>
    <t>LDL-P (NMR LipoProfile)</t>
  </si>
  <si>
    <t>LDL particle number by NMR spectroscopy</t>
  </si>
  <si>
    <t>NMR spectroscopy, serum, frozen ship</t>
  </si>
  <si>
    <t>Labcorp (Burlington NC, NMR LipoProfile, ex-LipoScience)</t>
  </si>
  <si>
    <t>No Russian provider. Frozen serum must ship on dry ice via Astana or Istanbul. Logistics premium 30 percent.</t>
  </si>
  <si>
    <t>B (correlates with ApoB; incremental value modest)</t>
  </si>
  <si>
    <t>Premium cardiometabolic</t>
  </si>
  <si>
    <t>Lipoprotein(a) (Lp(a))</t>
  </si>
  <si>
    <t>Genetically determined atherogenic particle; lifetime CV risk multiplier</t>
  </si>
  <si>
    <t>Available at INVITRO. Approx 1900 RUB.</t>
  </si>
  <si>
    <t>intake one-time, lifetime relevant</t>
  </si>
  <si>
    <t>Small dense LDL (sdLDL-C)</t>
  </si>
  <si>
    <t>Most atherogenic LDL subfraction</t>
  </si>
  <si>
    <t>Direct measurement (Randox, Denka), serum</t>
  </si>
  <si>
    <t>INVITRO (sdLDL-C), Quest (Cardio IQ ion mobility)</t>
  </si>
  <si>
    <t>Available at INVITRO. Approx 3200 RUB.</t>
  </si>
  <si>
    <t>Oxidized LDL (oxLDL)</t>
  </si>
  <si>
    <t>Oxidative modification of LDL, drives foam-cell formation in atherosclerosis</t>
  </si>
  <si>
    <t>ELISA (Mercodia), serum</t>
  </si>
  <si>
    <t>Mercodia ELISA, Genova, specialty labs (Russia: Lytech, INVITRO via send-out)</t>
  </si>
  <si>
    <t>Available via send-out at INVITRO and Lytech. Approx 4500 RUB.</t>
  </si>
  <si>
    <t>Inflammaging Reversal; Premium cardiometabolic</t>
  </si>
  <si>
    <t>Total testosterone</t>
  </si>
  <si>
    <t>Gonadal steroid; muscle, libido, energy, cognition</t>
  </si>
  <si>
    <t>ECLIA (acceptable for adult males); LC-MS/MS preferred for women</t>
  </si>
  <si>
    <t>Universal. Approx 850 RUB.</t>
  </si>
  <si>
    <t>Free testosterone (calculated, Vermeulen)</t>
  </si>
  <si>
    <t>Bioavailable testosterone fraction</t>
  </si>
  <si>
    <t>Vermeulen equation</t>
  </si>
  <si>
    <t>Calculated from total T, SHBG, albumin</t>
  </si>
  <si>
    <t>SHBG (sex hormone binding globulin)</t>
  </si>
  <si>
    <t>Carrier protein, modulates bioavailable testosterone and estradiol</t>
  </si>
  <si>
    <t>INVITRO, KDL</t>
  </si>
  <si>
    <t>Universal. Approx 1100 RUB.</t>
  </si>
  <si>
    <t>Estradiol (E2)</t>
  </si>
  <si>
    <t>Primary estrogen; bone, cognition, vasomotor</t>
  </si>
  <si>
    <t>ECLIA (women); LC-MS/MS preferred for men and post-menopausal</t>
  </si>
  <si>
    <t>Universal. Approx 950 RUB.</t>
  </si>
  <si>
    <t>all baselines, especially HRT candidates</t>
  </si>
  <si>
    <t>Progesterone</t>
  </si>
  <si>
    <t>Luteal phase; bioidentical HRT monitoring</t>
  </si>
  <si>
    <t>Universal. Approx 900 RUB.</t>
  </si>
  <si>
    <t>female HRT; fertility</t>
  </si>
  <si>
    <t>DHEA-sulfate</t>
  </si>
  <si>
    <t>Adrenal androgen precursor; declines with age (adrenopause)</t>
  </si>
  <si>
    <t>Universal. Approx 1000 RUB.</t>
  </si>
  <si>
    <t>Cortisol AM and PM (or 4-point salivary diurnal)</t>
  </si>
  <si>
    <t>HPA axis tone, stress, sleep architecture</t>
  </si>
  <si>
    <t>ECLIA serum (8am and 4pm) or 4-point saliva LC-MS/MS</t>
  </si>
  <si>
    <t>INVITRO (serum); Genova or DUTCH for 4-point salivary or urinary diurnal</t>
  </si>
  <si>
    <t>Serum AM/PM routine. 4-point saliva via Genova requires export, route via Almaty.</t>
  </si>
  <si>
    <t>A (serum); B (salivary diurnal)</t>
  </si>
  <si>
    <t>Stress and Sleep program; Adrenal Reset</t>
  </si>
  <si>
    <t>IGF-1 (insulin-like growth factor 1)</t>
  </si>
  <si>
    <t>GH axis; growth and longevity tradeoff (low IGF-1 associated with longer lifespan but with sarcopenia risk)</t>
  </si>
  <si>
    <t>Universal. Approx 2100 RUB.</t>
  </si>
  <si>
    <t>TSH</t>
  </si>
  <si>
    <t>Pituitary thyroid axis</t>
  </si>
  <si>
    <t>Universal. Approx 550 RUB.</t>
  </si>
  <si>
    <t>Free T4</t>
  </si>
  <si>
    <t>Active thyroid hormone, mostly converted to T3 peripherally</t>
  </si>
  <si>
    <t>Universal. Approx 600 RUB.</t>
  </si>
  <si>
    <t>Free T3</t>
  </si>
  <si>
    <t>Most active thyroid hormone</t>
  </si>
  <si>
    <t>Universal. Approx 650 RUB.</t>
  </si>
  <si>
    <t>Reverse T3</t>
  </si>
  <si>
    <t>Inactive metabolite; elevated in caloric restriction, illness, stress</t>
  </si>
  <si>
    <t>RIA or LC-MS/MS, serum</t>
  </si>
  <si>
    <t>INVITRO (send-out), Lytech</t>
  </si>
  <si>
    <t>Available via INVITRO send-out, longer turnaround. Approx 2900 RUB.</t>
  </si>
  <si>
    <t>Stress and Sleep program; Caloric restriction monitoring</t>
  </si>
  <si>
    <t>25-hydroxy vitamin D</t>
  </si>
  <si>
    <t>Bone, immune, cardiovascular</t>
  </si>
  <si>
    <t>ECLIA or LC-MS/MS, serum</t>
  </si>
  <si>
    <t>Universal. Approx 1500 RUB.</t>
  </si>
  <si>
    <t>Holotranscobalamin (active B12)</t>
  </si>
  <si>
    <t>Bioavailable B12 fraction (only 10 to 30 percent of total B12)</t>
  </si>
  <si>
    <t>Available via INVITRO. Approx 2500 RUB.</t>
  </si>
  <si>
    <t>A (more sensitive than total B12)</t>
  </si>
  <si>
    <t>RBC folate</t>
  </si>
  <si>
    <t>Cellular folate stores (3-month average), methylation cofactor</t>
  </si>
  <si>
    <t>ECLIA, EDTA whole blood</t>
  </si>
  <si>
    <t>Available. Approx 1500 RUB.</t>
  </si>
  <si>
    <t>all baselines, methylation programs</t>
  </si>
  <si>
    <t>Omega-3 index (EPA + DHA in red cell membrane)</t>
  </si>
  <si>
    <t>Membrane fatty acid composition, CV and cognitive risk; target above 8 percent</t>
  </si>
  <si>
    <t>GC-FID on dried blood spot</t>
  </si>
  <si>
    <t>OmegaQuant (Sioux Falls SD); Genova</t>
  </si>
  <si>
    <t>DBS card courier-friendly, room-temp stable. Ship via Astana or Istanbul. OmegaQuant accepts samples globally.</t>
  </si>
  <si>
    <t>Cardiometabolic; Cognitive; all baselines</t>
  </si>
  <si>
    <t>Zinc (plasma or RBC)</t>
  </si>
  <si>
    <t>Cofactor for 300+ enzymes, immune function</t>
  </si>
  <si>
    <t>ICP-MS, plasma</t>
  </si>
  <si>
    <t>Available. Approx 1200 RUB.</t>
  </si>
  <si>
    <t>Copper</t>
  </si>
  <si>
    <t>Cofactor for cytochrome c oxidase, ceruloplasmin</t>
  </si>
  <si>
    <t>Selenium</t>
  </si>
  <si>
    <t>Glutathione peroxidase cofactor, thyroid hormone deiodinase</t>
  </si>
  <si>
    <t>ICP-MS, plasma or whole blood</t>
  </si>
  <si>
    <t>Available. Approx 1400 RUB.</t>
  </si>
  <si>
    <t>all baselines, thyroid programs</t>
  </si>
  <si>
    <t>Magnesium RBC</t>
  </si>
  <si>
    <t>Intracellular magnesium status (more reliable than serum magnesium)</t>
  </si>
  <si>
    <t>Atomic absorption, EDTA whole blood</t>
  </si>
  <si>
    <t>INVITRO (send-out)</t>
  </si>
  <si>
    <t>Available via INVITRO send-out. Approx 2000 RUB.</t>
  </si>
  <si>
    <t>Heavy metals panel: mercury, lead, arsenic, cadmium (whole blood)</t>
  </si>
  <si>
    <t>Toxic metal body burden, oxidative stress driver</t>
  </si>
  <si>
    <t>ICP-MS, EDTA whole blood</t>
  </si>
  <si>
    <t>INVITRO, KDL, Lytech</t>
  </si>
  <si>
    <t>Available at INVITRO and Lytech. Approx 6500 RUB for 4-metal panel.</t>
  </si>
  <si>
    <t>Detoxification program; Cellular Renewal baseline</t>
  </si>
  <si>
    <t>High-sensitivity troponin T or I</t>
  </si>
  <si>
    <t>Subclinical cardiomyocyte injury; predicts CV events at very low levels</t>
  </si>
  <si>
    <t>ECLIA hs-TnT (Roche) or hs-TnI (Abbott), serum</t>
  </si>
  <si>
    <t>all baselines age 50+</t>
  </si>
  <si>
    <t>NT-proBNP</t>
  </si>
  <si>
    <t>Ventricular wall stress; HF screening</t>
  </si>
  <si>
    <t>Universal. Approx 2700 RUB.</t>
  </si>
  <si>
    <t>Liver panel: ALT, AST, GGT, ALP, total bilirubin</t>
  </si>
  <si>
    <t>Hepatocellular and cholestatic function</t>
  </si>
  <si>
    <t>Spectrophotometric, serum</t>
  </si>
  <si>
    <t>Universal, often bundled. Approx 1300 RUB for the 5-marker bundle.</t>
  </si>
  <si>
    <t>Kidney panel: creatinine, cystatin C, eGFR, ACR (urine albumin:creatinine ratio)</t>
  </si>
  <si>
    <t>Glomerular filtration, early albuminuria</t>
  </si>
  <si>
    <t>Creatinine: enzymatic IDMS-traceable. Cystatin C: immunoturbidimetric. ACR: spot urine.</t>
  </si>
  <si>
    <t>All available at INVITRO. Cystatin C approx 1400 RUB; ACR approx 700 RUB.</t>
  </si>
  <si>
    <t>Microbiome (gut, 16S or shotgun metagenomic)</t>
  </si>
  <si>
    <t>Gut bacterial composition, diversity, dysbiosis index, SCFA producers</t>
  </si>
  <si>
    <t>Stool, 16S rRNA (Atlas) or shotgun metagenomic (Viome). Genova uses PCR and stool culture plus inflammation markers.</t>
  </si>
  <si>
    <t>Atlas Biomed (Russia, ships in Russia); Viome (US, shotgun); Genova GI Effects (US, comprehensive)</t>
  </si>
  <si>
    <t>Atlas Biomed has Russian operations and ships within Russia, retail approx 12500 RUB. Genova GI Effects requires international export of stool, more complex; route via Astana.</t>
  </si>
  <si>
    <t>Gut Reset; Inflammaging Reversal; Cellular Renewal</t>
  </si>
  <si>
    <t>APOE genotype</t>
  </si>
  <si>
    <t>ApoE isoform (e2, e3, e4); e4 carriers have increased Alzheimer and CV risk</t>
  </si>
  <si>
    <t>PCR or sequencing, EDTA whole blood or buccal swab</t>
  </si>
  <si>
    <t>INVITRO, KDL, MyGenetics (Novosibirsk)</t>
  </si>
  <si>
    <t>Available domestically at INVITRO and MyGenetics. Approx 5500 RUB.</t>
  </si>
  <si>
    <t>MTHFR C677T and A1298C</t>
  </si>
  <si>
    <t>Folate cycle enzyme polymorphisms; methylation efficiency</t>
  </si>
  <si>
    <t>PCR, EDTA whole blood</t>
  </si>
  <si>
    <t>INVITRO, MyGenetics</t>
  </si>
  <si>
    <t>Routine. Approx 3000 RUB.</t>
  </si>
  <si>
    <t>B (clinical significance debated)</t>
  </si>
  <si>
    <t>Methylation program; all baselines</t>
  </si>
  <si>
    <t>Pharmacogenomics basic panel (CYP2D6, CYP2C19, CYP3A4, VKORC1)</t>
  </si>
  <si>
    <t>Drug metabolism polymorphisms; relevant for HRT, statins, anticoagulants, antidepressants</t>
  </si>
  <si>
    <t>PCR or array genotyping, buccal swab or whole blood</t>
  </si>
  <si>
    <t>MyGenetics (Russia), Atlas Biomed, INVITRO partnerships</t>
  </si>
  <si>
    <t>Available at MyGenetics and INVITRO. Approx 17000 RUB.</t>
  </si>
  <si>
    <t>Pre-pharmacotherapy; HRT programs</t>
  </si>
  <si>
    <t>ПРОДУКТОВЫЙ СЛОЙ, 4 ПРОГРАММЫ</t>
  </si>
  <si>
    <t>Поле</t>
  </si>
  <si>
    <t>Cellular Renewal</t>
  </si>
  <si>
    <t>Mitochondrial Reset</t>
  </si>
  <si>
    <t>Epigenetic Age Reduction</t>
  </si>
  <si>
    <t>Слоган</t>
  </si>
  <si>
    <t>Активация аутофагии, перезагрузка метаболической гибкости, формирование измеримой базовой линии долголетия.</t>
  </si>
  <si>
    <t>Восстановление клеточной энергии, рост VO2 max, обратимое преодоление функционального спада, ощутимое физически.</t>
  </si>
  <si>
    <t>Усмирение хронического воспаления, разгоняющего старение, восстановление кишечно-иммунной устойчивости за 14 ночей.</t>
  </si>
  <si>
    <t>12-недельный протокол с 7-ночным курортным интенсивом плюс ежеквартальные чек-ины, разработанный для смещения ваших эпигенетических часов.</t>
  </si>
  <si>
    <t>Длительность</t>
  </si>
  <si>
    <t>10 ночей</t>
  </si>
  <si>
    <t>7 ночей</t>
  </si>
  <si>
    <t>14 ночей</t>
  </si>
  <si>
    <t>7 ночей курортного интенсива плюс 12-недельный домашний протокол с 2 ежеквартальными чек-инами (3-й месяц и 6-й месяц, телемед-перетестирование панели)</t>
  </si>
  <si>
    <t>Целевой гость</t>
  </si>
  <si>
    <t>Руководитель 45-65 лет, метаболически здоровый, но ощущающий замедление; хочет получить защищённую биологическую перезагрузку и чистую базовую линию, которую можно отслеживать годами.</t>
  </si>
  <si>
    <t>Руководитель 50-70 лет с жалобами на утомляемость, постковидный или постбёрнаут-спад, снижение спортивной формы, туман в голове. Подходит для high-performer, упёршегося в плато.</t>
  </si>
  <si>
    <t>Гость 50-75 лет с повышенным hsCRP или IL-6, признаками метаболического синдрома, симптомами со стороны ЖКТ, скованностью суставов или поствоспалительным шлейфом после инфекции. Пациент с ощущением «постарел», у которого скрининг показывает измеримое инфламэйджинг.</t>
  </si>
  <si>
    <t>Трекер, чаще 40-60 лет. Уже тестировал эпигенетический возраст (TruDiagnostic, Elysium, GlycanAge), готов к структурированной 12-недельной интервенции и хочет получить измеримое снижение DunedinPACE или GrimAge2. Готов соблюдать удалённые протоколы и делиться данными с носимых устройств.</t>
  </si>
  <si>
    <t>Биологическая логика</t>
  </si>
  <si>
    <t>Сочетает временные окна питания (TRE) с 5-дневным протоколом диеты, имитирующей голодание (FMD), ежедневным гормезис-стеком (финская сауна, ледяная купель, ИГГТ) и силовыми тренировками. Активирует аутофагию и AMPK, подавляет mTOR, смещает утилизацию субстратов в сторону окисления жиров и запускает биогенез митохондрий. Подкреплено исследованиями Longo по FMD, когортой Laukkanen по сауне и литературой по аутофагии.</t>
  </si>
  <si>
    <t>Протокол, центрированный на NAD+, в стеке с гипербарической оксигенацией, ИГГТ и аэробной нагрузкой по CPET в Зоне 2 плюс поляризованные тренировки. Нацелен на биогенез митохондрий, ёмкость электронно-транспортной цепи и сигнальный путь PGC-1 alpha. Инфузия NAD+ обеспечивает доступность субстрата для сиртуинов (SIRT1, SIRT3) и поддерживает репарацию ДНК (PARP). Аэробное предписание привязано к индивидуальным вентиляционным порогам, полученным по CPET. HBOT рекрутирует ангиогенез и мобилизует стволовые клетки согласно протоколу Efrati.</t>
  </si>
  <si>
    <t>Двухнедельная интенсивная программа, нацеленная на ось инфламэйджинга: хроническое низкоинтенсивное воспаление, накопление сенесцентных клеток, дисфункция кишечного барьера и нагрузка цитокинов SASP. Стек включает противовоспалительное питание (средиземноморская диета плюс целевые полифенолы), восстановление микробиома кишечника, тренировку вагального тонуса (HRV-биообратная связь, медитация, сауна), лёгкую аэробную нагрузку и сенолитически осведомлённую нутрицевтику. Сильная опора на Inflammaging Panel (hsCRP, IL-6, TNF-alpha, фибриноген, GlycA) для демонстрации измеримой обратной динамики на выходе и повторно через 90 дней.</t>
  </si>
  <si>
    <t>Смоделирован по дизайну Younger Trial Fitzgerald 2021 (снижение DNAm-PhenoAge за 8 недель за счёт питания с метильными донорами, оптимизации сна, тренировок и снижения стресса), расширен до 12 недель и привязан к TruAge Complete (Horvath, GrimAge2, DunedinPACE, OMICmAge). Курортный интенсив фронт-загружает соблюдение (CGM, носимые устройства, входная панель, калибровка протокола). Удалённый слой обеспечивает консистентность по переменным, которые двигают метилирование: сон, устойчивая умеренная аэробная нагрузка, поступление метильных доноров (фолат, B12, бетаин, холин), полифенолы и снижение стресса. Перетестирование на 12-й неделе через TruAge плюс вторичные панели.</t>
  </si>
  <si>
    <t>Часы практиков</t>
  </si>
  <si>
    <t>{'Врач превентивной медицины (старший)': 4.5, 'Нутрициолог (с подготовкой по долголетию)': 5.0, 'Врач-физиолог нагрузок (интерпретация CPET)': 3.5, 'Медсестра внутривенной терапии (с подготовкой по NAD+)': 3.0, 'Специалист по поведенческим изменениям / health-коуч': 6.0, 'СПА-терапевт (продвинутая мануальная терапия)': 4.0, 'Флеботомист / диагностическая медсестра': 1.5, 'Тренер по силовой и общефизической подготовке': 3.0, 'Коуч по протоколам голодания': 5.0}</t>
  </si>
  <si>
    <t>{'Врач превентивной медицины (старший)': 3.5, 'Кардиолог (сертифицирован по CPET)': 1.5, 'Врач-физиолог нагрузок (интерпретация CPET)': 4.5, 'Медсестра внутривенной терапии (с подготовкой по NAD+)': 8.0, 'Врач anti-aging / регенеративной медицины': 1.5, 'Техник по гипербарической оксигенации': 3.0, 'Тренер по силовой и общефизической подготовке': 3.0, 'Нутрициолог (с подготовкой по долголетию)': 2.5, 'Специалист по поведенческим изменениям / health-коуч': 3.0, 'СПА-терапевт (продвинутая мануальная терапия)': 2.5, 'Флеботомист / диагностическая медсестра': 1.5}</t>
  </si>
  <si>
    <t>{'Врач превентивной медицины (старший)': 5.5, 'Врач функциональной медицины': 4.0, 'Эндокринолог (гормональная оптимизация)': 1.5, 'Врач anti-aging / регенеративной медицины': 2.0, 'Нутрициолог (с подготовкой по долголетию)': 7.0, 'Клинический диетолог': 2.0, 'Специалист по поведенческим изменениям / health-коуч': 8.0, 'СПА-терапевт (продвинутая мануальная терапия)': 8.0, 'Преподаватель mindfulness / медитации': 4.0, 'Специалист по сну (сертифицирован по PSG)': 1.5, 'Техник по сну': 4.0, 'Тренер по силовой и общефизической подготовке': 4.5, 'Терапевт по пилатесу / движению': 4.0, 'Флеботомист / диагностическая медсестра': 2.0, 'Медсестра внутривенной терапии (с подготовкой по NAD+)': 2.5, 'Психолог / специалист по ментальной производительности': 2.0}</t>
  </si>
  <si>
    <t>{'Медицинский директор по долголетию': 1.5, 'Врач превентивной медицины (старший)': 4.5, 'Врач функциональной медицины': 1.5, 'Эндокринолог (гормональная оптимизация)': 1.5, 'Нутрициолог (с подготовкой по долголетию)': 5.0, 'Врач-физиолог нагрузок (интерпретация CPET)': 3.0, 'Тренер по силовой и общефизической подготовке': 2.5, 'Специалист по поведенческим изменениям / health-коуч': 12.0, 'Преподаватель mindfulness / медитации': 2.0, 'СПА-терапевт (продвинутая мануальная терапия)': 3.0, 'Медсестра внутривенной терапии (с подготовкой по NAD+)': 3.0, 'Флеботомист / диагностическая медсестра': 2.0, 'Медицинский патиент-координатор': 6.0, 'Специалист по сну (сертифицирован по PSG)': 0.5, 'Техник по сну': 1.0}</t>
  </si>
  <si>
    <t>F&amp;B стоимость</t>
  </si>
  <si>
    <t>{'type': 'Терапевтическая кухня, меню в соответствии с FMD (рецепты, выровненные с ProLon, приготовление на месте), сок-бар, протоколы электролитов', 'protein_targeting': '0,8-1,0 г на кг тощей массы в дни TRE и рефида; ограничение калорий до приблизительно 750 ккал в дни FMD 4-8', 'supplements_dispensed': ['NMN 500 мг ежедневно', 'спермидин 5 мг', 'берберин 500 мг', 'магния глицинат 400 мг', 'омега-3 EPA/DHA 2 г', 'электролитная смесь в дни FMD']}</t>
  </si>
  <si>
    <t>{'type': 'Средиземноморско-митохондриальное меню, насыщенное полифенолами, акцент на омега-3, умеренные углеводы, периодизированные вокруг тренировок', 'protein_targeting': '1,4-1,6 г на кг массы тела, распределённые на 3-4 приёма пищи для поддержки тренировочной адаптации', 'supplements_dispensed': ['NMN 1 г ежедневно', 'CoQ10 убихинол 200 мг', 'PQQ 20 мг', 'L-карнитин 2 г', 'креатин моногидрат 5 г', 'магния глицинат 400 мг', 'омега-3 EPA/DHA 3 г']}</t>
  </si>
  <si>
    <t>{'type': 'Средиземноморский противовоспалительный рацион плюс опциональный low-FODMAP трек, насыщенный полифенолами (оливковое масло extra virgin, ягоды, крестоцветные), реинтродукция ферментированных продуктов на 2-й неделе, без алкоголя, низкогликемический', 'protein_targeting': '1,2-1,4 г на кг массы тела, с акцентом на растительные источники, рыба 3 раза в неделю, яйца и птица по переносимости', 'supplements_dispensed': ['фисетин 1500 мг пульс на 8-й и 15-й день', 'кверцетин 500 мг ежедневно на 2-й неделе', 'куркумин (фитосомы) 500 мг дважды в день', 'омега-3 с высоким EPA 3 г', 'витамин D3 + K2 (доза до 25-OH-D 40-60 нг/мл)', 'споровый пробиотик', 'L-глутамин 5 г (для ЖКТ)', 'NMN 500 мг']}</t>
  </si>
  <si>
    <t>{'type': 'Средиземноморская диета плюс акцент на метильные доноры (яйца, листовая зелень, свёкла, рыба), насыщенная полифенолами, временное окно питания 14:10 по умолчанию. Пакет рецептов и список покупок на каждую неделю с собой.', 'protein_targeting': '1,2-1,4 г на кг массы тела, распределённые', 'supplements_dispensed': ['NMN 1 г ежедневно', 'метилированный B-комплекс (5-MTHF, метилкобаламин)', 'TMG (бетаин) 1 г', 'холин 500 мг', 'спермидин 5 мг', 'омега-3 с высоким EPA 3 г', 'полифенольный комплекс (ресвератрол 250 мг, фисетин 100 мг, птеростильбен)', 'витамин D3+K2', 'магния глицинат']}</t>
  </si>
  <si>
    <t>Прайс EUR</t>
  </si>
  <si>
    <t>Прайс RUB</t>
  </si>
  <si>
    <t>COGS EUR (suma)</t>
  </si>
  <si>
    <t>Контрибуционная маржа EUR</t>
  </si>
  <si>
    <t>Контрибуционная маржа %</t>
  </si>
  <si>
    <t>Биомаркер пакет</t>
  </si>
  <si>
    <t>Foundation на входе + Inflammaging / Mitochondrial / Hormone в зависимости от программы; контроль через 8, 12 недель</t>
  </si>
  <si>
    <t>Оборудование (ключевые точки)</t>
  </si>
  <si>
    <t>{'Премиум финская сауна (коммерческая, на 8-12 персон, Klafs/Tylo)': 9, 'Бассейн с ледяной купелью (с охлаждением, 4-10 °C, на 2-3 персоны)': 9, 'Премиум селекторная силовая линия (15 единиц)': 5, 'Функциональный риг + кабельные системы': 3, 'Студийный комплект Pilates Reformer': 3, 'DEXA-сканер состава тела и плотности костей': 1, 'Анализатор состава тела медицинского класса (BIA)': 3, 'Метаболическая тележка CPET / VO2 max': 1, '12-канальная ЭКГ покоя': 1, 'Аппарат интервальной гипоксически-гипероксической тренировки (ИГГТ)': 4, 'Кресло-реклайнер для внутривенной терапии (клиническое)': 2, 'Комплекты непрерывного мониторинга глюкозы (расходники)': 1, 'Премиум кухня, заготовка FMD (порции и блюда)': 30, 'Премиум массажные столы СПА (электрические, с подогревом)': 4, 'Анализ пульсовой волны / артериальная жёсткость': 2, 'Анализатор базального уровня метаболизма': 1}</t>
  </si>
  <si>
    <t>{'Кресло-реклайнер для внутривенной терапии (клиническое)': 5, 'Умный инфузионный насос': 5, 'Барокамера гипербарической оксигенации (мягкая, 1,3-2,0 ATA)': 5, 'Аппарат интервальной гипоксически-гипероксической тренировки (ИГГТ)': 3, 'Метаболическая тележка CPET / VO2 max': 2, 'Стресс-ЭКГ с беговой дорожкой': 1, '12-канальная ЭКГ покоя': 2, 'Премиум кардиолиния (беговые дорожки/велотренажёры/эллипсоиды)': 5, 'Премиум селекторная силовая линия (15 единиц)': 3, 'Премиум финская сауна': 5, 'Бассейн с ледяной купелью': 5, 'Анализ пульсовой волны / артериальная жёсткость': 2, 'Анализатор состава тела медицинского класса (BIA)': 2, 'Премиум массажные столы СПА (электрические, с подогревом)': 3, 'Премиум кухня, блюда': 21}</t>
  </si>
  <si>
    <t>{'Премиум финская сауна (коммерческая)': 12, 'Бассейн с ледяной купелью': 12, 'Премиум инфракрасная сауна (полный спектр)': 4, 'Премиум русская банная парная': 2, 'Галотерапевтическая соляная комната / пещера': 3, 'Флоатинг-капсула': 2, 'Гидротерапевтический стол Vichy (мультиджет)': 3, 'Контур Кнейпп (горячие/холодные ножные ванны)': 5, 'Хаммам, паровая комната': 3, 'Камера общей криотерапии': 4, 'Студийный комплект Pilates Reformer': 5, 'Премиум селекторная силовая линия (15 единиц)': 5, 'Функциональный риг + кабельные системы': 4, 'Премиум кардиолиния': 6, 'DEXA-сканер состава тела и плотности костей': 1, 'Эластография печени (FibroScan)': 1, 'Кабинет полисомнографии (PSG)': 1, 'Анализатор водородно-метанового дыхательного теста (СИБР)': 1, 'Визуализация сетчатки / OCT': 1, 'Анализ пульсовой волны / артериальная жёсткость': 2, 'Кресло-реклайнер для внутривенной терапии (клиническое)': 2, 'Генератор медицинской озонотерапии': 1, 'Аппарат гидроколонотерапии': 2, 'Премиум массажные столы СПА (электрические, с подогревом)': 8, 'Кровать / панель LED-светотерапии (медицинская)': 4, 'Премиум кухня, блюда': 42}</t>
  </si>
  <si>
    <t>{'DEXA-сканер состава тела и плотности костей': 2, 'Метаболическая тележка CPET / VO2 max': 1, 'Анализ пульсовой волны / артериальная жёсткость': 2, 'Визуализация сетчатки / OCT': 1, 'Анализатор состава тела медицинского класса (BIA)': 3, 'Комплекты непрерывного мониторинга глюкозы (расходники)': 4, 'Премиум парк носимых устройств (Oura / Whoop / Apple Watch)': 1, 'Премиум финская сауна': 6, 'Бассейн с ледяной купелью': 6, 'Премиум селекторная силовая линия (15 единиц)': 3, 'Функциональный риг + кабельные системы': 2, 'Премиум кардиолиния': 4, 'Студийный комплект Pilates Reformer': 2, 'Кресло-реклайнер для внутривенной терапии (клиническое)': 2, 'Умный инфузионный насос': 2, 'Кабинет полисомнографии (PSG)': 1, 'Премиум кухня, блюда': 21, 'Премиум массажные столы СПА (электрические, с подогревом)': 3}</t>
  </si>
  <si>
    <t>ГОДОВОЙ ПРОГНОЗ ВЫРУЧКИ ПРОГРАММ, ГОД 5</t>
  </si>
  <si>
    <t>Гостей программ в год</t>
  </si>
  <si>
    <t>Средневзвешенная цена, EUR</t>
  </si>
  <si>
    <t>Выручка программ, EUR</t>
  </si>
  <si>
    <t>Выручка программ, RUB</t>
  </si>
  <si>
    <t>Доля от общей выручки резорта</t>
  </si>
  <si>
    <t>Допущения</t>
  </si>
  <si>
    <t>90 ключей, 65% загрузки на 5-й год, средняя длительность пребывания 10 ночей, 60% гостевых пребываний на программе долголетия (против только лечебно-оздоровительных). Курс 92 RUB/EUR.</t>
  </si>
  <si>
    <t>КЛИНИЧЕСКИЙ ПЕРСОНАЛ, 28 РОЛЕЙ</t>
  </si>
  <si>
    <t>Роль</t>
  </si>
  <si>
    <t>Квалификации</t>
  </si>
  <si>
    <t>FTE Lanserhof / CLP</t>
  </si>
  <si>
    <t>FTE SHA / Chenot</t>
  </si>
  <si>
    <t>FTE Six Senses</t>
  </si>
  <si>
    <t>Годовая ЗП ЕС, EUR</t>
  </si>
  <si>
    <t>Годовая ЗП РФ, RUB</t>
  </si>
  <si>
    <t>Доступность кадров</t>
  </si>
  <si>
    <t>Longevity Medical Director</t>
  </si>
  <si>
    <t>Диплом врача со специализацией в регенеративной медицине, anti-aging медицине или терапии; предпочтительна сертификация A4M (American Academy of Anti-Aging Medicine) или IFM (Institute for Functional Medicine); клинический стаж от 15 лет; свободное владение клеточной биологией, включая сигнальные пути mTOR, AMPK, NAD+ и механизмы клеточного старения; приветствуются научные публикации.</t>
  </si>
  <si>
    <t>Кадровый ресурс крайне ограничен. Источники кандидатов: ведущие врачи Сеченовского Первого МГМУ, медицинского факультета МГИМО, РНИМУ им. Пирогова; частные клиники Lechu, K+31, EMC, GMS Clinic, AtlasBiomed. Настоятельно рекомендуется привлечение экспатов из Израиля, Германии, ОАЭ, с Кипра и из Сербии. Найм экспатов после 2022 года затруднён; целесообразно рассматривать кандидатов с двойным гражданством (российско-израильское, российско-немецкое).</t>
  </si>
  <si>
    <t>Longevity Physician (Senior)</t>
  </si>
  <si>
    <t>Диплом врача, сертификат специалиста по терапии или гериатрии; сертификация A4M или IFM; клинический стаж от 8 лет; уверенная интерпретация панелей биомаркеров (GlycanAge, TruDiagnostic, Galleri, орган-специфические эпигенетические часы старения).</t>
  </si>
  <si>
    <t>Дефицитная позиция. Лучшие кандидаты, по нашим оценкам, доступны в EMC, GMS, Lechu (Москва) и в Скандинавия Клиник (Санкт-Петербург). Реалистично закрыть 1-2 позиции в течение 12 месяцев; для дополнительной нагрузки целесообразна работа по locum-модели или приглашение приезжающих специалистов.</t>
  </si>
  <si>
    <t>Anti-aging / Regenerative Medicine Physician</t>
  </si>
  <si>
    <t>Диплом врача со специализацией в регенеративной медицине, экзосомной терапии и PRP, гормональной оптимизации; предпочтительна сертификация ISSAM или WOSAAM.</t>
  </si>
  <si>
    <t>Умеренный кадровый пул в эстетической медицине; глубокие знания клеточной биологии встречаются редко. Потребуется переподготовка. Источники: Estelab, Frau Klinik, RHANA в Москве.</t>
  </si>
  <si>
    <t>Cardiologist (CPET-certified)</t>
  </si>
  <si>
    <t>Диплом врача, сертификат специалиста по кардиологии; предпочтительна сертификация ESC; опыт интерпретации CPET (кардиопульмонального нагрузочного тестирования); понимание показателей VO2max, лактатного порога и вентиляторных порогов.</t>
  </si>
  <si>
    <t>Достаточный кадровый пул кардиологов из НМИЦ им. Бакулева, НМИЦ им. Алмазова (Санкт-Петербург), НМИЦ кардиологии им. Чазова. Кардиологи с подготовкой по CPET встречаются реже; субспециализация по спортивной кардиологии развита слабо. Целесообразна переподготовка в рамках программ ESC по спортивной кардиологии.</t>
  </si>
  <si>
    <t>Endocrinologist (Hormone Optimisation)</t>
  </si>
  <si>
    <t>Диплом врача, сертификат специалиста по эндокринологии; опыт оптимизации функции щитовидной железы, надпочечников, половых гормонов; знакомство с пептидной терапией, протоколами агонистов GLP-1, осью IGF-1 / гормон роста.</t>
  </si>
  <si>
    <t>Уверенный кадровый пул из НМИЦ эндокринологии (Москва), Сеченовского университета. Российская практика гормональной оптимизации (HRT, TRT) более консервативна; требуется врач, владеющий международными протоколами.</t>
  </si>
  <si>
    <t>Sports Medicine Physician</t>
  </si>
  <si>
    <t>Диплом врача, специализация в спортивной медицине; предпочтительна подготовка по программам FIMS или ECSS; глубокие знания опорно-двигательного аппарата и физиологии физических нагрузок.</t>
  </si>
  <si>
    <t>Кадровый ресурс приемлемый. Источники: РУСАДА, сеть спортивной медицины ФМБА, выпускники медицинских служб олимпийских сборных. Близость Сысерти к Екатеринбургу даёт преимущество (региональный центр спортивной медицины).</t>
  </si>
  <si>
    <t>Functional Medicine Physician</t>
  </si>
  <si>
    <t>Диплом врача с сертификацией IFM или эквивалентной; компетенции в области микробиоты кишечника, пищевой непереносимости, экологической медицины, митохондриальной дисфункции.</t>
  </si>
  <si>
    <t>Кадровый ресурс крайне ограничен. Функциональная медицина в России формально не признана. Поиск через частные клиники, в которых работают врачи с подготовкой IFM (по нашим оценкам, менее 50 человек по стране). Предпочтительно привлечение экспатов.</t>
  </si>
  <si>
    <t>IV Therapy Specialist Nurse (NAD+ trained)</t>
  </si>
  <si>
    <t>Диплом медсестры со стажем работы от 5 лет; сертификат на проведение внутривенных инфузий; специализированная подготовка по инфузиям NAD+ (титрование дозы, купирование побочных эффектов); опыт работы с высокодозной инфузионной терапией витамином C, глутатионом, NAD+, а также с приготовлением пептидных растворов.</t>
  </si>
  <si>
    <t>Уверенный пул медсестёр, однако специализированная подготовка по NAD+ в России практически отсутствует. Необходимо запланировать внешнее обучение продолжительностью 4-6 недель (через партнёрства с Drip Hydration USA, Reviv Global, Get A Drip UK); обязательно наличие внутреннего протокола работы.</t>
  </si>
  <si>
    <t>Phlebotomist / Diagnostic Nurse</t>
  </si>
  <si>
    <t>Среднее медицинское образование или диплом медсестры со стажем флеботомии от 3 лет; опыт расширенных заборов (50+ пробирок за сессию для лонжевити-панелей); навыки соблюдения холодовой цепи.</t>
  </si>
  <si>
    <t>Кадровый ресурс достаточный. Опора на выпускников Свердловского областного медицинского колледжа. Самая простая для локального найма позиция.</t>
  </si>
  <si>
    <t>Exercise Physiologist (CPET interpretation)</t>
  </si>
  <si>
    <t>Магистр (MSc) физиологии физических нагрузок или спортивной науки; аккредитация ACSM-EP-C или BASES; опыт интерпретации CPET, включая VO2max, вентиляторные пороги, анализ RER; компетенции в тестировании лактатного порога.</t>
  </si>
  <si>
    <t>Кадровый ресурс крайне ограничен. Сильная академическая база в спортивной науке (РГУФК, НГУ им. Лесгафта в Санкт-Петербурге), но мало практиков с опытом CPET в частном секторе. Источники: выпускники ФМБА и центров олимпийской подготовки; возможно дополнение ресурсами контрактных специалистов из ЕС.</t>
  </si>
  <si>
    <t>Strength and Conditioning Coach</t>
  </si>
  <si>
    <t>Бакалавр (BSc) спортивной науки или кинезиологии; аккредитация NSCA-CSCS или UKSCA; опыт работы с детренированным контингентом и с программами лонжевити-направленности (Zone 2, интервалы для развития VO2max, силовая работа для профилактики саркопении).</t>
  </si>
  <si>
    <t>Сильный кадровый пул в России (наследие советской спортивной науки); зрелый частный фитнес-сектор в Москве и Санкт-Петербурге. В Екатеринбурге также имеется приличная база специалистов.</t>
  </si>
  <si>
    <t>Pilates / Movement Therapist</t>
  </si>
  <si>
    <t>Сертифицированный инструктор по пилатесу (Polestar, Stott, BASI) с дополнительным сертификатом по скринингу движения (FMS, SFMA); предпочтителен опыт реабилитации.</t>
  </si>
  <si>
    <t>Сильный кадровый пул в Москве и Санкт-Петербурге; в Екатеринбурге кадры найти сложнее. Целесообразен ввоз 1-2 старших инструкторов и развитие местных специалистов.</t>
  </si>
  <si>
    <t>Sleep Specialist (PSG-certified)</t>
  </si>
  <si>
    <t>Диплом врача или PhD с подготовкой в сомнологии; сертификат на интерпретацию полисомнографии (PSG); владение методиками когнитивно-поведенческой терапии бессонницы (CBT-I).</t>
  </si>
  <si>
    <t>Кадровый ресурс ограничен. Основные источники подготовки: Федеральный центр сомнологии (Иваново) и Центр медицины сна Бузунова (Москва). Национальный пул, по оценкам, около 150 сертифицированных сомнологов.</t>
  </si>
  <si>
    <t>Sleep Technician</t>
  </si>
  <si>
    <t>Сертификат медицинского техника; подготовка по подключению и мониторингу PSG (предпочтителен сертификат RPSGT или эквивалент BRPT).</t>
  </si>
  <si>
    <t>Возможна подготовка из числа выпускников региональных медицинских колледжей; целесообразно партнёрство с Центром Бузунова для отработки протоколов.</t>
  </si>
  <si>
    <t>Nutritionist (Longevity-trained)</t>
  </si>
  <si>
    <t>Магистр (MSc) в области нутрициологии или диетологии; подготовка по лонжевити-направлению (ZOE, Levels, Valter Longo Foundation, протокол Bredesen ReCODE); опыт интерпретации CGM (непрерывного мониторинга глюкозы); опыт построения персонализированного питания на основе геномных данных и данных о микробиоте.</t>
  </si>
  <si>
    <t>В России есть кадровый пул в диетологии (программы РУДН, РНИМУ), однако подспециализация по лонжевити развита слабо. В большинстве случаев потребуется переподготовка; целесообразно партнёрство с Valter Longo Foundation или ZOE.</t>
  </si>
  <si>
    <t>Clinical Dietitian</t>
  </si>
  <si>
    <t>Сертифицированный диетолог; клинический опыт работы с заболеваниями ЖКТ, диабетом, аутоиммунными заболеваниями; действующая лицензия Roszdravnadzor.</t>
  </si>
  <si>
    <t>Кадровый ресурс достаточный. Местный пул из УГМУ (Уральский государственный медицинский университет, Екатеринбург).</t>
  </si>
  <si>
    <t>Fasting Protocol Coach</t>
  </si>
  <si>
    <t>Диплом врача или сертифицированного диетолога с подготовкой в клиниках лечебного голодания (методики Buchinger Wilhelmi, ProLon, TrueNorth, школа доктора Goldhamer); компетенция медицинского сопровождения длительных голоданий.</t>
  </si>
  <si>
    <t>Нишевая позиция. Российские клиники в традиции Buchinger (наследие санаториев Горячего Ключа) дают частичный кадровый ресурс. Целесообразно направить 2 сотрудников в Buchinger Wilhelmi (Марбелья) на обучение продолжительностью 6-8 недель.</t>
  </si>
  <si>
    <t>Behavioural Change Specialist / Health Coach</t>
  </si>
  <si>
    <t>Сертификация NBHWC (National Board for Health and Wellness Coaching) или аккредитация ICF; образование в области психологии или поведенческих наук; подготовка по мотивационному интервьюированию.</t>
  </si>
  <si>
    <t>Российский рынок коучинга зрелый в части бизнес-коучинга, однако подспециализация по health-коучингу развита слабо. Присутствие NBHWC в России практически отсутствует. Целесообразно партнёрство с игроками уровня Atlas Biomed либо найм коучей с аккредитацией ICF и их последующая переподготовка.</t>
  </si>
  <si>
    <t>Mindfulness / Meditation Teacher</t>
  </si>
  <si>
    <t>Сертификация MBSR (Mindfulness-Based Stress Reduction) или эквивалентная (UMass CFM, Oxford Mindfulness Centre); опыт преподавания от 5 лет; подготовка по травма-чувствительной практике.</t>
  </si>
  <si>
    <t>Приличный кадровый пул в Москве и Санкт-Петербурге (преподаватели йоги и медитативных студий); сертификация MBSR встречается редко. Целесообразно пригласить 1 старшего преподавателя из ЕС и развивать младший состав.</t>
  </si>
  <si>
    <t>Spa Therapist (Advanced Manual Therapy)</t>
  </si>
  <si>
    <t>Диплом массажиста с дополнительными сертификатами по лимфодренажу (по методу Vodder), миофасциальному релизу, мануальному лимфодренажу, спортивному массажу.</t>
  </si>
  <si>
    <t>Сильная база по всей России. Кадровый пул Сысерти и Екатеринбурга достаточен; старших терапевтов с подготовкой по методу Vodder, возможно, придётся приглашать со стороны.</t>
  </si>
  <si>
    <t>Aesthetic Practitioner</t>
  </si>
  <si>
    <t>Диплом врача или медсестры с сертификацией по эстетической медицине; опыт инъекционных процедур (ботулотоксин, дермальные филлеры), лазерных и RF-микронидлинг-процедур; владение протоколами SkinPen, Morpheus8, экзосомных косметических процедур.</t>
  </si>
  <si>
    <t>Сильный пул. Российский рынок эстетической медицины высокоразвит (Frau Klinik, RHANA, Estelab). Самая простая для найма позиция уровня старшего клинического персонала.</t>
  </si>
  <si>
    <t>Patient Coordinator (Medical-trained)</t>
  </si>
  <si>
    <t>Среднее медицинское образование (медсестра или фельдшер) с дополнительной подготовкой в индустрии гостеприимства; владение языками (минимум русский и английский, желательно немецкий или китайский); уверенная работа с CRM и EHR-системами.</t>
  </si>
  <si>
    <t>Кадровый ресурс достаточный. Найм из числа выпускников Свердловского медицинского колледжа в сочетании с выпускниками школ гостеприимства; ограничивающий фактор, скорее, владение английским языком, а не медицинская подготовка.</t>
  </si>
  <si>
    <t>Lab Technician</t>
  </si>
  <si>
    <t>Высшее образование в области медицинской лабораторной диагностики; опыт работы с тестами высокой сложности; знакомство с лонжевити-панелями (аналоги Quest, Boston Heart, Cleveland Heart Lab); знание стандартов контроля качества и ISO 15189.</t>
  </si>
  <si>
    <t>Кадровый ресурс достаточный из регионального пула; для тестов высокой сложности целесообразно партнёрство с референс-лабораториями Invitro, Helix, KDL (Москва) и аутсорс наиболее специализированных исследований.</t>
  </si>
  <si>
    <t>Imaging Technologist (MRI / CT)</t>
  </si>
  <si>
    <t>Высшее образование по специальности рентгенология / лучевая диагностика; продвинутая сертификация по МРТ (1.5T / 3T) и КТ, включая коронарный кальциевый скрининг и низкодозную КТ лёгких; владение принципами ALARA по контролю дозовой нагрузки.</t>
  </si>
  <si>
    <t>Кадровый ресурс приемлемый, учитывая сильную региональную базу лучевой диагностики в Екатеринбурге (УГМУ, Свердловский областной онкодиспансер). Опыт работы с МРТ 7Т в России практически отсутствует; в случае установки аппарата 7Т необходимо запланировать обучение силами OEM-производителей (Siemens, GE).</t>
  </si>
  <si>
    <t>Radiologist (Reporting)</t>
  </si>
  <si>
    <t>Диплом врача, сертификат специалиста по рентгенологии; продвинутые компетенции в интерпретации кардио-МРТ, МРТ всего тела, низкодозной КТ лёгких; предпочтительно прохождение фелловшипа ESR или RSNA.</t>
  </si>
  <si>
    <t>Уверенный кадровый пул, однако расширенная отчётность по лонжевити-протоколам (МРТ всего тела в формате Prenuvo / Ezra) требует переподготовки. Рекомендуется использование телерадиологии в формате партнёрства по второму чтению снимков с ЕС и США.</t>
  </si>
  <si>
    <t>Pharmacist (Compounding-trained)</t>
  </si>
  <si>
    <t>Высшее фармацевтическое образование; сертификат по стерильному изготовлению лекарственных форм (USP 797 / 800 или эквивалент); опыт приготовления инфузионных растворов, пептидных препаратов, BHRT-формуляций; действующая фармацевтическая лицензия Roszdravnadzor.</t>
  </si>
  <si>
    <t>Сегмент рецептурного изготовления (производственные аптеки) в России сокращается под давлением Roszdravnadzor; специализированный регуляторный путь существует, но громоздок. Целесообразен найм из санкт-петербургских производственных аптек либо оформление собственной лицензии (срок реализации 12-18 месяцев).</t>
  </si>
  <si>
    <t>Psychologist / Mental Performance Specialist</t>
  </si>
  <si>
    <t>PhD или магистр (MSc) клинической психологии; подготовка по КПТ и ACT; знание психологии сна и физиологии стресса; компетенции в травма-информированном подходе.</t>
  </si>
  <si>
    <t>Сильный кадровый пул клинической психологии в Москве и Санкт-Петербурге; в Екатеринбурге доступна программа УрФУ. Практикующие специалисты со свободным английским встречаются редко.</t>
  </si>
  <si>
    <t>Hyperbaric Oxygen Therapy Technician</t>
  </si>
  <si>
    <t>Среднее медицинское образование (медицинский техник) с сертификацией по эксплуатации барокамеры HBOT (UHMS или эквивалент); подготовка по технике безопасности.</t>
  </si>
  <si>
    <t>Нишевая позиция. Источники подготовки: военная и водолазная медицина (выпускники ФМБА, ВМФ). Кадровый ресурс достаточный.</t>
  </si>
  <si>
    <t>ИТОГО</t>
  </si>
  <si>
    <t>ФОТ: SHA EUR 2 953 000; Six Senses EUR 1 061 000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</si>
</sst>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0" formatCode="0.0%"/>
    <numFmt numFmtId="171" formatCode="\€#,##0;\(\€#,##0\);&quot;—&quot;"/>
    <numFmt numFmtId="172" formatCode="&quot;£&quot;#,##0;\(&quot;£&quot;#,##0\);&quot;—&quot;"/>
    <numFmt numFmtId="173" formatCode="#,##0&quot; ₽&quot;;\(#,##0&quot; ₽&quot;\);&quot;—&quot;"/>
    <numFmt numFmtId="174" formatCode="#,##0;\(#,##0\);&quot;—&quot;"/>
    <numFmt numFmtId="175" formatCode="0.00;\(0.00\);&quot;—&quot;"/>
    <numFmt numFmtId="176" formatCode="0.0%;\(0.0%\);&quot;—&quot;"/>
    <numFmt numFmtId="177" formatCode="0.0;\(0.0\);&quot;—&quot;"/>
    <numFmt numFmtId="180" formatCode="_-[$$-409]* #,##0_ ;_-[$$-409]* \-#,##0\ ;_-[$$-409]* &quot;-&quot;??_ ;_-@_ "/>
    <numFmt numFmtId="183" formatCode="_-[$€-2]\ * #,##0_-;\-[$€-2]\ * #,##0_-;_-[$€-2]\ * &quot;-&quot;??_-;_-@_-"/>
  </numFmts>
  <fonts count="19" x14ac:knownFonts="1">
    <font>
      <sz val="11"/>
      <color theme="1"/>
      <name val="Calibri"/>
      <family val="2"/>
      <charset val="1"/>
    </font>
    <font>
      <b/>
      <sz val="10"/>
      <color rgb="FFF6F1E7"/>
      <name val="Calibri"/>
      <charset val="1"/>
    </font>
    <font>
      <sz val="10"/>
      <color rgb="FF1A1A1A"/>
      <name val="Calibri"/>
      <charset val="1"/>
    </font>
    <font>
      <b/>
      <sz val="10"/>
      <name val="Cambria"/>
      <charset val="1"/>
    </font>
    <font>
      <sz val="10"/>
      <color rgb="FF1A1A1A"/>
      <name val="Calibri"/>
    </font>
    <font>
      <i/>
      <sz val="11"/>
      <color rgb="FF595959"/>
      <name val="Calibri"/>
    </font>
    <font>
      <b/>
      <sz val="10"/>
      <color rgb="FF1A1A1A"/>
      <name val="Calibri"/>
    </font>
    <font>
      <b/>
      <sz val="11"/>
      <color rgb="FFF6F1E7"/>
      <name val="Calibri"/>
    </font>
    <font>
      <b/>
      <sz val="10"/>
      <color rgb="FFF6F1E7"/>
      <name val="Calibri"/>
    </font>
    <font>
      <sz val="10"/>
      <color rgb="FF0000FF"/>
      <name val="Calibri"/>
    </font>
    <font>
      <i/>
      <sz val="10"/>
      <color rgb="FF1A1A1A"/>
      <name val="Calibri"/>
    </font>
    <font>
      <i/>
      <sz val="9"/>
      <color rgb="FF888888"/>
      <name val="Calibri"/>
    </font>
    <font>
      <u/>
      <sz val="10"/>
      <color rgb="FF0563C1"/>
      <name val="Calibri"/>
    </font>
    <font>
      <b/>
      <sz val="14"/>
      <color rgb="FF1B4332"/>
      <name val="Cambria"/>
    </font>
    <font>
      <b/>
      <sz val="10"/>
      <color rgb="FF1B4332"/>
      <name val="Calibri"/>
    </font>
    <font>
      <b/>
      <sz val="14"/>
      <color rgb="FF1B4332"/>
      <name val="Cambria"/>
      <charset val="1"/>
    </font>
    <font>
      <b/>
      <sz val="10"/>
      <color rgb="FF1B4332"/>
      <name val="Cambria"/>
      <charset val="1"/>
    </font>
    <font>
      <b/>
      <sz val="12"/>
      <color rgb="FF1B4332"/>
      <name val="Cambria"/>
      <charset val="1"/>
    </font>
    <font>
      <b/>
      <sz val="11"/>
      <color rgb="FF1B4332"/>
      <name val="Cambria"/>
      <charset val="1"/>
    </font>
  </fonts>
  <fills count="7">
    <fill>
      <patternFill patternType="none"/>
    </fill>
    <fill>
      <patternFill patternType="gray125"/>
    </fill>
    <fill>
      <patternFill patternType="solid">
        <fgColor rgb="FFB78E4C"/>
        <bgColor rgb="FF808080"/>
      </patternFill>
    </fill>
    <fill>
      <patternFill patternType="solid">
        <fgColor rgb="FFFFFFFF"/>
        <bgColor indexed="64"/>
      </patternFill>
    </fill>
    <fill>
      <patternFill patternType="solid">
        <fgColor rgb="FFF7F7F2"/>
        <bgColor indexed="64"/>
      </patternFill>
    </fill>
    <fill>
      <patternFill patternType="solid">
        <fgColor rgb="FF1B4332"/>
        <bgColor indexed="64"/>
      </patternFill>
    </fill>
    <fill>
      <patternFill patternType="solid">
        <fgColor rgb="FFFDFBF5"/>
        <bgColor indexed="64"/>
      </patternFill>
    </fill>
  </fills>
  <borders count="8">
    <border>
      <left/>
      <right/>
      <top/>
      <bottom/>
      <diagonal/>
    </border>
    <border>
      <left style="thin">
        <color rgb="FFD8D2C2"/>
      </left>
      <right style="thin">
        <color rgb="FFD8D2C2"/>
      </right>
      <top style="thin">
        <color rgb="FFD8D2C2"/>
      </top>
      <bottom style="thin">
        <color rgb="FFD8D2C2"/>
      </bottom>
      <diagonal/>
    </border>
    <border>
      <left style="thin">
        <color rgb="FFD4C89A"/>
      </left>
      <right style="thin">
        <color rgb="FFD4C89A"/>
      </right>
      <top style="thin">
        <color rgb="FFD4C89A"/>
      </top>
      <bottom style="thin">
        <color rgb="FFD4C89A"/>
      </bottom>
      <diagonal/>
    </border>
    <border>
      <left style="thin">
        <color rgb="FFD4C89A"/>
      </left>
      <right style="thin">
        <color rgb="FFD4C89A"/>
      </right>
      <top style="thin">
        <color rgb="FFD4C89A"/>
      </top>
      <bottom/>
      <diagonal/>
    </border>
    <border>
      <left style="thin">
        <color rgb="FFD4C89A"/>
      </left>
      <right style="thin">
        <color rgb="FFD4C89A"/>
      </right>
      <top/>
      <bottom/>
      <diagonal/>
    </border>
    <border>
      <left style="thin">
        <color rgb="FFD4C89A"/>
      </left>
      <right style="thin">
        <color rgb="FFD4C89A"/>
      </right>
      <top/>
      <bottom style="thin">
        <color rgb="FFD4C89A"/>
      </bottom>
      <diagonal/>
    </border>
    <border>
      <left style="thin">
        <color rgb="FFD8D2C2"/>
      </left>
      <right style="thin">
        <color rgb="FFD8D2C2"/>
      </right>
      <top style="thin">
        <color rgb="FFD8D2C2"/>
      </top>
      <bottom/>
      <diagonal/>
    </border>
    <border>
      <left style="thin">
        <color rgb="FFD8D2C2"/>
      </left>
      <right style="thin">
        <color rgb="FFD8D2C2"/>
      </right>
      <top style="thin">
        <color rgb="FFD8D2C2"/>
      </top>
      <bottom style="thin">
        <color rgb="FF0E1F2C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4" fillId="3" borderId="0" xfId="0" applyFont="1" applyFill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 wrapText="1"/>
    </xf>
    <xf numFmtId="180" fontId="4" fillId="3" borderId="1" xfId="0" applyNumberFormat="1" applyFont="1" applyFill="1" applyBorder="1" applyAlignment="1">
      <alignment vertical="top" wrapText="1"/>
    </xf>
    <xf numFmtId="180" fontId="0" fillId="0" borderId="0" xfId="0" applyNumberFormat="1"/>
    <xf numFmtId="183" fontId="4" fillId="3" borderId="1" xfId="0" applyNumberFormat="1" applyFont="1" applyFill="1" applyBorder="1" applyAlignment="1">
      <alignment vertical="top" wrapText="1"/>
    </xf>
    <xf numFmtId="183" fontId="0" fillId="0" borderId="0" xfId="0" applyNumberFormat="1"/>
    <xf numFmtId="0" fontId="4" fillId="6" borderId="1" xfId="0" applyFont="1" applyFill="1" applyBorder="1" applyAlignment="1">
      <alignment vertical="top" wrapText="1"/>
    </xf>
    <xf numFmtId="183" fontId="4" fillId="6" borderId="1" xfId="0" applyNumberFormat="1" applyFont="1" applyFill="1" applyBorder="1" applyAlignment="1">
      <alignment vertical="top" wrapText="1"/>
    </xf>
    <xf numFmtId="180" fontId="4" fillId="6" borderId="1" xfId="0" applyNumberFormat="1" applyFont="1" applyFill="1" applyBorder="1" applyAlignment="1">
      <alignment vertical="top" wrapText="1"/>
    </xf>
    <xf numFmtId="0" fontId="4" fillId="6" borderId="0" xfId="0" applyFont="1" applyFill="1" applyAlignment="1">
      <alignment horizontal="left" vertical="top" wrapText="1"/>
    </xf>
    <xf numFmtId="171" fontId="4" fillId="6" borderId="0" xfId="0" applyNumberFormat="1" applyFont="1" applyFill="1" applyAlignment="1">
      <alignment horizontal="left" vertical="top" wrapText="1"/>
    </xf>
    <xf numFmtId="173" fontId="4" fillId="6" borderId="0" xfId="0" applyNumberFormat="1" applyFont="1" applyFill="1" applyAlignment="1">
      <alignment horizontal="left" vertical="top" wrapText="1"/>
    </xf>
    <xf numFmtId="174" fontId="4" fillId="6" borderId="0" xfId="0" applyNumberFormat="1" applyFont="1" applyFill="1" applyAlignment="1">
      <alignment horizontal="left" vertical="top" wrapText="1"/>
    </xf>
    <xf numFmtId="0" fontId="1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vertical="top" wrapText="1"/>
    </xf>
    <xf numFmtId="0" fontId="7" fillId="5" borderId="0" xfId="0" applyFont="1" applyFill="1" applyAlignment="1">
      <alignment horizontal="left" vertical="top" wrapText="1"/>
    </xf>
    <xf numFmtId="0" fontId="14" fillId="3" borderId="0" xfId="0" applyFont="1" applyFill="1" applyAlignment="1">
      <alignment vertical="top" wrapText="1"/>
    </xf>
    <xf numFmtId="0" fontId="9" fillId="4" borderId="2" xfId="0" applyFont="1" applyFill="1" applyBorder="1" applyAlignment="1">
      <alignment horizontal="right" vertical="top" wrapText="1"/>
    </xf>
    <xf numFmtId="174" fontId="9" fillId="4" borderId="2" xfId="0" applyNumberFormat="1" applyFont="1" applyFill="1" applyBorder="1" applyAlignment="1">
      <alignment horizontal="right" vertical="top" wrapText="1"/>
    </xf>
    <xf numFmtId="177" fontId="9" fillId="4" borderId="2" xfId="0" applyNumberFormat="1" applyFont="1" applyFill="1" applyBorder="1" applyAlignment="1">
      <alignment horizontal="right" vertical="top" wrapText="1"/>
    </xf>
    <xf numFmtId="173" fontId="4" fillId="6" borderId="1" xfId="0" applyNumberFormat="1" applyFont="1" applyFill="1" applyBorder="1" applyAlignment="1">
      <alignment vertical="top" wrapText="1"/>
    </xf>
    <xf numFmtId="174" fontId="4" fillId="6" borderId="1" xfId="0" applyNumberFormat="1" applyFont="1" applyFill="1" applyBorder="1" applyAlignment="1">
      <alignment vertical="top" wrapText="1"/>
    </xf>
    <xf numFmtId="175" fontId="4" fillId="6" borderId="1" xfId="0" applyNumberFormat="1" applyFont="1" applyFill="1" applyBorder="1" applyAlignment="1">
      <alignment vertical="top" wrapText="1"/>
    </xf>
    <xf numFmtId="173" fontId="4" fillId="3" borderId="1" xfId="0" applyNumberFormat="1" applyFont="1" applyFill="1" applyBorder="1" applyAlignment="1">
      <alignment vertical="top" wrapText="1"/>
    </xf>
    <xf numFmtId="174" fontId="4" fillId="3" borderId="1" xfId="0" applyNumberFormat="1" applyFont="1" applyFill="1" applyBorder="1" applyAlignment="1">
      <alignment vertical="top" wrapText="1"/>
    </xf>
    <xf numFmtId="175" fontId="4" fillId="3" borderId="1" xfId="0" applyNumberFormat="1" applyFont="1" applyFill="1" applyBorder="1" applyAlignment="1">
      <alignment vertical="top" wrapText="1"/>
    </xf>
    <xf numFmtId="171" fontId="4" fillId="6" borderId="1" xfId="0" applyNumberFormat="1" applyFont="1" applyFill="1" applyBorder="1" applyAlignment="1">
      <alignment vertical="top" wrapText="1"/>
    </xf>
    <xf numFmtId="171" fontId="4" fillId="3" borderId="1" xfId="0" applyNumberFormat="1" applyFont="1" applyFill="1" applyBorder="1" applyAlignment="1">
      <alignment vertical="top" wrapText="1"/>
    </xf>
    <xf numFmtId="176" fontId="4" fillId="6" borderId="1" xfId="0" applyNumberFormat="1" applyFont="1" applyFill="1" applyBorder="1" applyAlignment="1">
      <alignment vertical="top" wrapText="1"/>
    </xf>
    <xf numFmtId="176" fontId="4" fillId="3" borderId="1" xfId="0" applyNumberFormat="1" applyFont="1" applyFill="1" applyBorder="1" applyAlignment="1">
      <alignment vertical="top" wrapText="1"/>
    </xf>
    <xf numFmtId="0" fontId="4" fillId="3" borderId="6" xfId="0" applyFont="1" applyFill="1" applyBorder="1" applyAlignment="1">
      <alignment vertical="top" wrapText="1"/>
    </xf>
    <xf numFmtId="176" fontId="4" fillId="3" borderId="6" xfId="0" applyNumberFormat="1" applyFont="1" applyFill="1" applyBorder="1" applyAlignment="1">
      <alignment vertical="top" wrapText="1"/>
    </xf>
    <xf numFmtId="171" fontId="4" fillId="3" borderId="6" xfId="0" applyNumberFormat="1" applyFont="1" applyFill="1" applyBorder="1" applyAlignment="1">
      <alignment vertical="top" wrapText="1"/>
    </xf>
    <xf numFmtId="0" fontId="6" fillId="6" borderId="7" xfId="0" applyFont="1" applyFill="1" applyBorder="1" applyAlignment="1">
      <alignment vertical="top" wrapText="1"/>
    </xf>
    <xf numFmtId="176" fontId="6" fillId="6" borderId="7" xfId="0" applyNumberFormat="1" applyFont="1" applyFill="1" applyBorder="1" applyAlignment="1">
      <alignment vertical="top" wrapText="1"/>
    </xf>
    <xf numFmtId="171" fontId="6" fillId="6" borderId="7" xfId="0" applyNumberFormat="1" applyFont="1" applyFill="1" applyBorder="1" applyAlignment="1">
      <alignment vertical="top" wrapText="1"/>
    </xf>
    <xf numFmtId="0" fontId="13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3" fillId="3" borderId="0" xfId="0" applyFont="1" applyFill="1" applyAlignment="1">
      <alignment horizontal="left" vertical="top" wrapText="1"/>
    </xf>
    <xf numFmtId="0" fontId="9" fillId="4" borderId="3" xfId="0" applyFont="1" applyFill="1" applyBorder="1" applyAlignment="1">
      <alignment horizontal="right" vertical="top" wrapText="1"/>
    </xf>
    <xf numFmtId="0" fontId="11" fillId="3" borderId="0" xfId="0" applyFont="1" applyFill="1" applyAlignment="1">
      <alignment vertical="top" wrapText="1"/>
    </xf>
    <xf numFmtId="0" fontId="9" fillId="4" borderId="4" xfId="0" applyFont="1" applyFill="1" applyBorder="1" applyAlignment="1">
      <alignment horizontal="right" vertical="top" wrapText="1"/>
    </xf>
    <xf numFmtId="0" fontId="9" fillId="4" borderId="5" xfId="0" applyFont="1" applyFill="1" applyBorder="1" applyAlignment="1">
      <alignment horizontal="right" vertical="top" wrapText="1"/>
    </xf>
    <xf numFmtId="171" fontId="4" fillId="6" borderId="1" xfId="0" applyNumberFormat="1" applyFont="1" applyFill="1" applyBorder="1" applyAlignment="1">
      <alignment horizontal="right" vertical="top" wrapText="1"/>
    </xf>
    <xf numFmtId="171" fontId="4" fillId="3" borderId="1" xfId="0" applyNumberFormat="1" applyFont="1" applyFill="1" applyBorder="1" applyAlignment="1">
      <alignment horizontal="right" vertical="top" wrapText="1"/>
    </xf>
    <xf numFmtId="0" fontId="6" fillId="6" borderId="1" xfId="0" applyFont="1" applyFill="1" applyBorder="1" applyAlignment="1">
      <alignment vertical="top" wrapText="1"/>
    </xf>
    <xf numFmtId="171" fontId="6" fillId="6" borderId="1" xfId="0" applyNumberFormat="1" applyFont="1" applyFill="1" applyBorder="1" applyAlignment="1">
      <alignment horizontal="right" vertical="top" wrapText="1"/>
    </xf>
    <xf numFmtId="0" fontId="10" fillId="3" borderId="1" xfId="0" applyFont="1" applyFill="1" applyBorder="1" applyAlignment="1">
      <alignment vertical="top" wrapText="1"/>
    </xf>
    <xf numFmtId="171" fontId="10" fillId="3" borderId="1" xfId="0" applyNumberFormat="1" applyFont="1" applyFill="1" applyBorder="1" applyAlignment="1">
      <alignment horizontal="right" vertical="top" wrapText="1"/>
    </xf>
    <xf numFmtId="172" fontId="4" fillId="6" borderId="1" xfId="0" applyNumberFormat="1" applyFont="1" applyFill="1" applyBorder="1" applyAlignment="1">
      <alignment horizontal="right" vertical="top" wrapText="1"/>
    </xf>
    <xf numFmtId="172" fontId="4" fillId="3" borderId="1" xfId="0" applyNumberFormat="1" applyFont="1" applyFill="1" applyBorder="1" applyAlignment="1">
      <alignment horizontal="right" vertical="top" wrapText="1"/>
    </xf>
    <xf numFmtId="172" fontId="6" fillId="6" borderId="1" xfId="0" applyNumberFormat="1" applyFont="1" applyFill="1" applyBorder="1" applyAlignment="1">
      <alignment horizontal="right" vertical="top" wrapText="1"/>
    </xf>
    <xf numFmtId="172" fontId="10" fillId="3" borderId="1" xfId="0" applyNumberFormat="1" applyFont="1" applyFill="1" applyBorder="1" applyAlignment="1">
      <alignment horizontal="right" vertical="top" wrapText="1"/>
    </xf>
    <xf numFmtId="173" fontId="4" fillId="6" borderId="1" xfId="0" applyNumberFormat="1" applyFont="1" applyFill="1" applyBorder="1" applyAlignment="1">
      <alignment horizontal="right" vertical="top" wrapText="1"/>
    </xf>
    <xf numFmtId="173" fontId="4" fillId="3" borderId="1" xfId="0" applyNumberFormat="1" applyFont="1" applyFill="1" applyBorder="1" applyAlignment="1">
      <alignment horizontal="right" vertical="top" wrapText="1"/>
    </xf>
    <xf numFmtId="173" fontId="6" fillId="6" borderId="1" xfId="0" applyNumberFormat="1" applyFont="1" applyFill="1" applyBorder="1" applyAlignment="1">
      <alignment horizontal="right" vertical="top" wrapText="1"/>
    </xf>
    <xf numFmtId="173" fontId="10" fillId="3" borderId="1" xfId="0" applyNumberFormat="1" applyFont="1" applyFill="1" applyBorder="1" applyAlignment="1">
      <alignment horizontal="right" vertical="top" wrapText="1"/>
    </xf>
    <xf numFmtId="0" fontId="8" fillId="5" borderId="0" xfId="0" applyFont="1" applyFill="1" applyAlignment="1">
      <alignment vertical="top" wrapText="1"/>
    </xf>
    <xf numFmtId="0" fontId="8" fillId="5" borderId="0" xfId="0" applyFont="1" applyFill="1" applyAlignment="1">
      <alignment horizontal="right" vertical="top" wrapText="1"/>
    </xf>
    <xf numFmtId="171" fontId="4" fillId="3" borderId="0" xfId="0" applyNumberFormat="1" applyFont="1" applyFill="1" applyAlignment="1">
      <alignment horizontal="right" vertical="top" wrapText="1"/>
    </xf>
    <xf numFmtId="173" fontId="4" fillId="3" borderId="0" xfId="0" applyNumberFormat="1" applyFont="1" applyFill="1" applyAlignment="1">
      <alignment horizontal="right" vertical="top" wrapText="1"/>
    </xf>
    <xf numFmtId="0" fontId="13" fillId="3" borderId="0" xfId="0" applyFont="1" applyFill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4" fillId="3" borderId="1" xfId="0" applyFont="1" applyFill="1" applyBorder="1" applyAlignment="1">
      <alignment vertical="top" wrapText="1"/>
    </xf>
    <xf numFmtId="0" fontId="7" fillId="5" borderId="0" xfId="0" applyFont="1" applyFill="1" applyAlignment="1">
      <alignment vertical="top" wrapText="1"/>
    </xf>
    <xf numFmtId="3" fontId="2" fillId="6" borderId="1" xfId="0" applyNumberFormat="1" applyFont="1" applyFill="1" applyBorder="1" applyAlignment="1">
      <alignment horizontal="right" vertical="top" wrapText="1"/>
    </xf>
    <xf numFmtId="3" fontId="2" fillId="0" borderId="1" xfId="0" applyNumberFormat="1" applyFont="1" applyBorder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 wrapText="1"/>
    </xf>
    <xf numFmtId="0" fontId="1" fillId="5" borderId="1" xfId="0" applyFont="1" applyFill="1" applyBorder="1" applyAlignment="1">
      <alignment horizontal="left" vertical="top" wrapText="1"/>
    </xf>
    <xf numFmtId="170" fontId="2" fillId="6" borderId="1" xfId="0" applyNumberFormat="1" applyFont="1" applyFill="1" applyBorder="1" applyAlignment="1">
      <alignment horizontal="right" vertical="top" wrapText="1"/>
    </xf>
    <xf numFmtId="0" fontId="17" fillId="0" borderId="0" xfId="0" applyFont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0" fillId="0" borderId="1" xfId="0" applyNumberForma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170" fontId="0" fillId="0" borderId="1" xfId="0" applyNumberFormat="1" applyBorder="1" applyAlignment="1">
      <alignment horizontal="right" vertical="top" wrapText="1"/>
    </xf>
    <xf numFmtId="2" fontId="2" fillId="6" borderId="1" xfId="0" applyNumberFormat="1" applyFont="1" applyFill="1" applyBorder="1" applyAlignment="1">
      <alignment horizontal="right" vertical="top" wrapText="1"/>
    </xf>
    <xf numFmtId="2" fontId="2" fillId="0" borderId="1" xfId="0" applyNumberFormat="1" applyFont="1" applyBorder="1" applyAlignment="1">
      <alignment horizontal="right" vertical="top" wrapText="1"/>
    </xf>
    <xf numFmtId="0" fontId="18" fillId="2" borderId="1" xfId="0" applyFont="1" applyFill="1" applyBorder="1" applyAlignment="1">
      <alignment horizontal="left" vertical="top" wrapText="1"/>
    </xf>
    <xf numFmtId="0" fontId="18" fillId="2" borderId="1" xfId="0" applyFont="1" applyFill="1" applyBorder="1" applyAlignment="1">
      <alignment horizontal="right" vertical="top" wrapText="1"/>
    </xf>
    <xf numFmtId="1" fontId="18" fillId="2" borderId="1" xfId="0" applyNumberFormat="1" applyFont="1" applyFill="1" applyBorder="1" applyAlignment="1">
      <alignment horizontal="right" vertical="top" wrapText="1"/>
    </xf>
    <xf numFmtId="3" fontId="18" fillId="2" borderId="1" xfId="0" applyNumberFormat="1" applyFont="1" applyFill="1" applyBorder="1" applyAlignment="1">
      <alignment horizontal="right" vertical="top" wrapText="1"/>
    </xf>
    <xf numFmtId="0" fontId="13" fillId="0" borderId="0" xfId="0" applyFont="1" applyFill="1" applyAlignment="1">
      <alignment horizontal="left" vertical="top" wrapText="1"/>
    </xf>
    <xf numFmtId="183" fontId="8" fillId="5" borderId="1" xfId="0" applyNumberFormat="1" applyFont="1" applyFill="1" applyBorder="1" applyAlignment="1">
      <alignment horizontal="left" vertical="top" wrapText="1"/>
    </xf>
    <xf numFmtId="180" fontId="8" fillId="5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8D2C2"/>
      <rgbColor rgb="FF808080"/>
      <rgbColor rgb="FF9999FF"/>
      <rgbColor rgb="FF993366"/>
      <rgbColor rgb="FFFFF2CC"/>
      <rgbColor rgb="FFF6F1E7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6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B78E4C"/>
      <rgbColor rgb="FF003366"/>
      <rgbColor rgb="FF339966"/>
      <rgbColor rgb="FF0E1F2C"/>
      <rgbColor rgb="FF333300"/>
      <rgbColor rgb="FF993300"/>
      <rgbColor rgb="FF993366"/>
      <rgbColor rgb="FF1F4E78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14CE79-3AE3-439A-80CA-877756B05BD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3bf5d40-5a72-4158-848b-929a22ba9e42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uchinger-wilhelmi.com/wp-content/uploads/2024/11/What-we-offer-2025_web_V1.3.pdf" TargetMode="External"/><Relationship Id="rId18" Type="http://schemas.openxmlformats.org/officeDocument/2006/relationships/hyperlink" Target="https://www.radiologie-dr-jung.de/en/mri-cost-overview/" TargetMode="External"/><Relationship Id="rId26" Type="http://schemas.openxmlformats.org/officeDocument/2006/relationships/hyperlink" Target="https://www.hvs.com/article/9999-HVS-US-Hotel-Development-Cost-Survey-2024" TargetMode="External"/><Relationship Id="rId39" Type="http://schemas.openxmlformats.org/officeDocument/2006/relationships/hyperlink" Target="https://denuo.legal/en/insights/news/240711/" TargetMode="External"/><Relationship Id="rId21" Type="http://schemas.openxmlformats.org/officeDocument/2006/relationships/hyperlink" Target="https://www.sleepfoundation.org/sleep-studies/how-much-does-a-sleep-study-cost" TargetMode="External"/><Relationship Id="rId34" Type="http://schemas.openxmlformats.org/officeDocument/2006/relationships/hyperlink" Target="https://www.bis.gov/media/961" TargetMode="External"/><Relationship Id="rId42" Type="http://schemas.openxmlformats.org/officeDocument/2006/relationships/hyperlink" Target="https://konsugroup.com/en/news/new-requirements-personal-data-protection-russia-2025-07/" TargetMode="External"/><Relationship Id="rId47" Type="http://schemas.openxmlformats.org/officeDocument/2006/relationships/hyperlink" Target="https://schmidt-export.com/news/new-rules-registration-medical-devices-starting-march-1-2025-russia" TargetMode="External"/><Relationship Id="rId50" Type="http://schemas.openxmlformats.org/officeDocument/2006/relationships/hyperlink" Target="https://www.cooley.com/news/insight/2024/2024-05-06-new-license-exception-authorizes-exports-of-previously-restricted-medical-devices-and-related-items" TargetMode="External"/><Relationship Id="rId55" Type="http://schemas.openxmlformats.org/officeDocument/2006/relationships/hyperlink" Target="https://www.healingholidays.com/accommodation/germany/lanserhof-tegernsee" TargetMode="External"/><Relationship Id="rId7" Type="http://schemas.openxmlformats.org/officeDocument/2006/relationships/hyperlink" Target="https://swissmedexpert.com/clinic-la-prairie" TargetMode="External"/><Relationship Id="rId2" Type="http://schemas.openxmlformats.org/officeDocument/2006/relationships/hyperlink" Target="https://lanserhof.com/en/lanserhof-lans/treatments/package-longevity-lans/" TargetMode="External"/><Relationship Id="rId16" Type="http://schemas.openxmlformats.org/officeDocument/2006/relationships/hyperlink" Target="https://www.hotel-online.com/news/six-senses-2025-wellness-forecast" TargetMode="External"/><Relationship Id="rId29" Type="http://schemas.openxmlformats.org/officeDocument/2006/relationships/hyperlink" Target="https://www.cushmanwakefield.com/en/spain/news/2024/05/hotel-investor-campass-2024" TargetMode="External"/><Relationship Id="rId11" Type="http://schemas.openxmlformats.org/officeDocument/2006/relationships/hyperlink" Target="https://www.vivamayr.com/app/uploads/2025/01/VIVAMAYR_MW_Preisliste_E_inkl.-Programme_15.01.2024.pdf" TargetMode="External"/><Relationship Id="rId24" Type="http://schemas.openxmlformats.org/officeDocument/2006/relationships/hyperlink" Target="https://www.viome.com/" TargetMode="External"/><Relationship Id="rId32" Type="http://schemas.openxmlformats.org/officeDocument/2006/relationships/hyperlink" Target="https://globalwellnessinstitute.org/press-room/press-releases/build-well-to-live-well-2025/" TargetMode="External"/><Relationship Id="rId37" Type="http://schemas.openxmlformats.org/officeDocument/2006/relationships/hyperlink" Target="https://brace-lf.com/en/analytics/pharmaceutical-and-medical-law/parallel-import-russia-medicines-medical-devices" TargetMode="External"/><Relationship Id="rId40" Type="http://schemas.openxmlformats.org/officeDocument/2006/relationships/hyperlink" Target="https://www.trade.gov/country-commercial-guides/russia-medical-equipment" TargetMode="External"/><Relationship Id="rId45" Type="http://schemas.openxmlformats.org/officeDocument/2006/relationships/hyperlink" Target="https://www.mindray.com/en/media-center/blogs/unlimited-potentials-mindray-s-story-in-russia" TargetMode="External"/><Relationship Id="rId53" Type="http://schemas.openxmlformats.org/officeDocument/2006/relationships/hyperlink" Target="https://www.bodyspec.com/blog/post/how_much_does_a_dexa_scan_cost_in_major_cities" TargetMode="External"/><Relationship Id="rId5" Type="http://schemas.openxmlformats.org/officeDocument/2006/relationships/hyperlink" Target="https://www.serenityways.com/clinics/sha-spain" TargetMode="External"/><Relationship Id="rId10" Type="http://schemas.openxmlformats.org/officeDocument/2006/relationships/hyperlink" Target="https://www.vivamayr.com/en/downloads/" TargetMode="External"/><Relationship Id="rId19" Type="http://schemas.openxmlformats.org/officeDocument/2006/relationships/hyperlink" Target="https://prenuvo.com/pricing" TargetMode="External"/><Relationship Id="rId31" Type="http://schemas.openxmlformats.org/officeDocument/2006/relationships/hyperlink" Target="https://globalwellnessinstitute.org/wp-content/uploads/2024/05/GWI-Wellness-Real-Estate-2024.pdf" TargetMode="External"/><Relationship Id="rId44" Type="http://schemas.openxmlformats.org/officeDocument/2006/relationships/hyperlink" Target="https://www.tonlexing.com/customs-clearance-in-russia/" TargetMode="External"/><Relationship Id="rId52" Type="http://schemas.openxmlformats.org/officeDocument/2006/relationships/hyperlink" Target="https://www.hospitalitynet.org/news/4125285.html" TargetMode="External"/><Relationship Id="rId4" Type="http://schemas.openxmlformats.org/officeDocument/2006/relationships/hyperlink" Target="https://shawellness.com/en/advanced-longevity/" TargetMode="External"/><Relationship Id="rId9" Type="http://schemas.openxmlformats.org/officeDocument/2006/relationships/hyperlink" Target="https://www.chenot.com/wp-content/uploads/2024/05/Chenot-Palace-Weggis-Brochure-EN.pdf" TargetMode="External"/><Relationship Id="rId14" Type="http://schemas.openxmlformats.org/officeDocument/2006/relationships/hyperlink" Target="https://www.buchinger-wilhelmi.com/wp-content/uploads/2024/11/What-we-offer-2025_web_V1.0.pdf" TargetMode="External"/><Relationship Id="rId22" Type="http://schemas.openxmlformats.org/officeDocument/2006/relationships/hyperlink" Target="https://shop.trudiagnostic.com/products/truage-complete-epigenetic-collection" TargetMode="External"/><Relationship Id="rId27" Type="http://schemas.openxmlformats.org/officeDocument/2006/relationships/hyperlink" Target="https://www.hvs.com/article/10219-hvs-us-hotel-development-cost-survey-2025" TargetMode="External"/><Relationship Id="rId30" Type="http://schemas.openxmlformats.org/officeDocument/2006/relationships/hyperlink" Target="https://www.statista.com/statistics/1380696/hotel-construction-costs-european-cities/" TargetMode="External"/><Relationship Id="rId35" Type="http://schemas.openxmlformats.org/officeDocument/2006/relationships/hyperlink" Target="https://finance.ec.europa.eu/system/files/2023-02/faqs-sanctions-russia-medical_en.pdf" TargetMode="External"/><Relationship Id="rId43" Type="http://schemas.openxmlformats.org/officeDocument/2006/relationships/hyperlink" Target="https://www.wto.org/english/res_e/statis_e/daily_update_e/tariff_profiles/RU_E.pdf" TargetMode="External"/><Relationship Id="rId48" Type="http://schemas.openxmlformats.org/officeDocument/2006/relationships/hyperlink" Target="https://www.focus-economics.com/country-indicator/russia/exchange-rate/" TargetMode="External"/><Relationship Id="rId56" Type="http://schemas.openxmlformats.org/officeDocument/2006/relationships/hyperlink" Target="https://globetrender.com/2025/12/02/four-new-six-senses-resorts-2026/" TargetMode="External"/><Relationship Id="rId8" Type="http://schemas.openxmlformats.org/officeDocument/2006/relationships/hyperlink" Target="https://www.chenot.com/chenot-palace/weggis/programmes/" TargetMode="External"/><Relationship Id="rId51" Type="http://schemas.openxmlformats.org/officeDocument/2006/relationships/hyperlink" Target="https://www.curtis.com/our-firm/news/the-eu-adopts-its-14th-sanctions-package-against-russia" TargetMode="External"/><Relationship Id="rId3" Type="http://schemas.openxmlformats.org/officeDocument/2006/relationships/hyperlink" Target="https://www.serenityways.com/clinics/lanserhof-tegernsee" TargetMode="External"/><Relationship Id="rId12" Type="http://schemas.openxmlformats.org/officeDocument/2006/relationships/hyperlink" Target="https://www.buchinger-wilhelmi.com/en/buchinger-wilhelmi-lake-constance/arrangements-packages/" TargetMode="External"/><Relationship Id="rId17" Type="http://schemas.openxmlformats.org/officeDocument/2006/relationships/hyperlink" Target="https://anova-irm.com/en/diagnostics/diagnostic-work-up" TargetMode="External"/><Relationship Id="rId25" Type="http://schemas.openxmlformats.org/officeDocument/2006/relationships/hyperlink" Target="https://www.innerbody.com/viome-review" TargetMode="External"/><Relationship Id="rId33" Type="http://schemas.openxmlformats.org/officeDocument/2006/relationships/hyperlink" Target="https://www.federalregister.gov/documents/2024/04/29/2024-09076/amendment-to-existing-controls-on-russia-and-belarus-under-the-export-administration-regulations-ear" TargetMode="External"/><Relationship Id="rId38" Type="http://schemas.openxmlformats.org/officeDocument/2006/relationships/hyperlink" Target="https://www.morganlewis.com/pubs/2022/04/update-russia-legalizes-parallel-import-of-certain-goods" TargetMode="External"/><Relationship Id="rId46" Type="http://schemas.openxmlformats.org/officeDocument/2006/relationships/hyperlink" Target="https://tadviser.com/index.php/Article:Medical_Equipment_(Russian_Market)" TargetMode="External"/><Relationship Id="rId20" Type="http://schemas.openxmlformats.org/officeDocument/2006/relationships/hyperlink" Target="https://www.ezra.com/pricing" TargetMode="External"/><Relationship Id="rId41" Type="http://schemas.openxmlformats.org/officeDocument/2006/relationships/hyperlink" Target="https://securiti.ai/russian-federal-law-no-152-fz/" TargetMode="External"/><Relationship Id="rId54" Type="http://schemas.openxmlformats.org/officeDocument/2006/relationships/hyperlink" Target="https://www.blockimaging.com/ge-and-hologic-bone-densitometer-price-cost-guide" TargetMode="External"/><Relationship Id="rId1" Type="http://schemas.openxmlformats.org/officeDocument/2006/relationships/hyperlink" Target="https://lanserhof.com/en/lanserhof-tegernsee/treatments/package-longevity-tegernsee/" TargetMode="External"/><Relationship Id="rId6" Type="http://schemas.openxmlformats.org/officeDocument/2006/relationships/hyperlink" Target="https://www.cliniquelaprairie.com/programs/master-detox/" TargetMode="External"/><Relationship Id="rId15" Type="http://schemas.openxmlformats.org/officeDocument/2006/relationships/hyperlink" Target="https://www.sixsenses.com/en/wellness-spa/personalized-wellness/longevity/" TargetMode="External"/><Relationship Id="rId23" Type="http://schemas.openxmlformats.org/officeDocument/2006/relationships/hyperlink" Target="https://www.longevityadvice.com/best-biological-age-tests/" TargetMode="External"/><Relationship Id="rId28" Type="http://schemas.openxmlformats.org/officeDocument/2006/relationships/hyperlink" Target="https://www.cushmanwakefield.com/en/insights/hotel-investor-compass" TargetMode="External"/><Relationship Id="rId36" Type="http://schemas.openxmlformats.org/officeDocument/2006/relationships/hyperlink" Target="https://eur-lex.europa.eu/eli/reg/2014/833/oj/eng" TargetMode="External"/><Relationship Id="rId49" Type="http://schemas.openxmlformats.org/officeDocument/2006/relationships/hyperlink" Target="https://asiatimes.com/2024/12/ruble-volatility-exposes-russias-emerging-economic-crisi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zoomScaleNormal="100" workbookViewId="0"/>
  </sheetViews>
  <sheetFormatPr defaultColWidth="8.703125" defaultRowHeight="14.35" x14ac:dyDescent="0.5"/>
  <cols>
    <col min="1" max="1" width="6.17578125" customWidth="1"/>
    <col min="2" max="2" width="49.41015625" customWidth="1"/>
    <col min="3" max="3" width="95.29296875" customWidth="1"/>
  </cols>
  <sheetData>
    <row r="1" spans="1:3" ht="36" customHeight="1" x14ac:dyDescent="0.5">
      <c r="A1" s="2"/>
      <c r="B1" s="2"/>
      <c r="C1" s="2"/>
    </row>
    <row r="2" spans="1:3" ht="34.700000000000003" x14ac:dyDescent="0.5">
      <c r="A2" s="2"/>
      <c r="B2" s="43" t="s">
        <v>0</v>
      </c>
      <c r="C2" s="2"/>
    </row>
    <row r="3" spans="1:3" ht="28.7" x14ac:dyDescent="0.5">
      <c r="A3" s="2"/>
      <c r="B3" s="44" t="s">
        <v>1</v>
      </c>
      <c r="C3" s="2"/>
    </row>
    <row r="4" spans="1:3" ht="8" customHeight="1" x14ac:dyDescent="0.5">
      <c r="A4" s="2"/>
      <c r="B4" s="2"/>
      <c r="C4" s="2"/>
    </row>
    <row r="5" spans="1:3" x14ac:dyDescent="0.5">
      <c r="A5" s="2"/>
      <c r="B5" s="23" t="s">
        <v>2</v>
      </c>
      <c r="C5" s="2" t="s">
        <v>3</v>
      </c>
    </row>
    <row r="6" spans="1:3" x14ac:dyDescent="0.5">
      <c r="A6" s="2"/>
      <c r="B6" s="23" t="s">
        <v>4</v>
      </c>
      <c r="C6" s="2" t="s">
        <v>5</v>
      </c>
    </row>
    <row r="7" spans="1:3" x14ac:dyDescent="0.5">
      <c r="A7" s="2"/>
      <c r="B7" s="23" t="s">
        <v>6</v>
      </c>
      <c r="C7" s="2" t="s">
        <v>7</v>
      </c>
    </row>
    <row r="8" spans="1:3" x14ac:dyDescent="0.5">
      <c r="A8" s="2"/>
      <c r="B8" s="23" t="s">
        <v>8</v>
      </c>
      <c r="C8" s="2" t="s">
        <v>9</v>
      </c>
    </row>
    <row r="9" spans="1:3" x14ac:dyDescent="0.5">
      <c r="A9" s="2"/>
      <c r="B9" s="23" t="s">
        <v>10</v>
      </c>
      <c r="C9" s="2" t="s">
        <v>11</v>
      </c>
    </row>
    <row r="10" spans="1:3" ht="8" customHeight="1" x14ac:dyDescent="0.5">
      <c r="A10" s="2"/>
      <c r="B10" s="2"/>
      <c r="C10" s="2"/>
    </row>
    <row r="11" spans="1:3" x14ac:dyDescent="0.5">
      <c r="A11" s="2"/>
      <c r="B11" s="22" t="s">
        <v>12</v>
      </c>
      <c r="C11" s="22"/>
    </row>
    <row r="12" spans="1:3" x14ac:dyDescent="0.5">
      <c r="A12" s="2"/>
      <c r="B12" s="23" t="s">
        <v>13</v>
      </c>
      <c r="C12" s="2" t="s">
        <v>14</v>
      </c>
    </row>
    <row r="13" spans="1:3" x14ac:dyDescent="0.5">
      <c r="A13" s="2"/>
      <c r="B13" s="23" t="s">
        <v>15</v>
      </c>
      <c r="C13" s="2" t="s">
        <v>16</v>
      </c>
    </row>
    <row r="14" spans="1:3" x14ac:dyDescent="0.5">
      <c r="A14" s="2"/>
      <c r="B14" s="23" t="s">
        <v>17</v>
      </c>
      <c r="C14" s="2" t="s">
        <v>18</v>
      </c>
    </row>
    <row r="15" spans="1:3" x14ac:dyDescent="0.5">
      <c r="A15" s="2"/>
      <c r="B15" s="23" t="s">
        <v>19</v>
      </c>
      <c r="C15" s="2" t="s">
        <v>20</v>
      </c>
    </row>
    <row r="16" spans="1:3" x14ac:dyDescent="0.5">
      <c r="A16" s="2"/>
      <c r="B16" s="23" t="s">
        <v>21</v>
      </c>
      <c r="C16" s="2" t="s">
        <v>22</v>
      </c>
    </row>
    <row r="17" spans="1:3" x14ac:dyDescent="0.5">
      <c r="A17" s="2"/>
      <c r="B17" s="23" t="s">
        <v>23</v>
      </c>
      <c r="C17" s="2" t="s">
        <v>24</v>
      </c>
    </row>
    <row r="18" spans="1:3" ht="8" customHeight="1" x14ac:dyDescent="0.5">
      <c r="A18" s="2"/>
      <c r="B18" s="2"/>
      <c r="C18" s="2"/>
    </row>
    <row r="19" spans="1:3" ht="8" customHeight="1" x14ac:dyDescent="0.5">
      <c r="A19" s="2"/>
      <c r="B19" s="2"/>
      <c r="C19" s="2"/>
    </row>
    <row r="20" spans="1:3" x14ac:dyDescent="0.5">
      <c r="A20" s="2"/>
      <c r="B20" s="22" t="s">
        <v>25</v>
      </c>
      <c r="C20" s="22"/>
    </row>
    <row r="21" spans="1:3" ht="39" x14ac:dyDescent="0.5">
      <c r="A21" s="2"/>
      <c r="B21" s="23" t="s">
        <v>26</v>
      </c>
      <c r="C21" s="2" t="s">
        <v>27</v>
      </c>
    </row>
    <row r="22" spans="1:3" ht="26" x14ac:dyDescent="0.5">
      <c r="A22" s="2"/>
      <c r="B22" s="23" t="s">
        <v>28</v>
      </c>
      <c r="C22" s="2" t="s">
        <v>29</v>
      </c>
    </row>
    <row r="23" spans="1:3" ht="39" x14ac:dyDescent="0.5">
      <c r="A23" s="2"/>
      <c r="B23" s="23" t="s">
        <v>30</v>
      </c>
      <c r="C23" s="2" t="s">
        <v>31</v>
      </c>
    </row>
    <row r="24" spans="1:3" ht="26" x14ac:dyDescent="0.5">
      <c r="A24" s="2"/>
      <c r="B24" s="23" t="s">
        <v>32</v>
      </c>
      <c r="C24" s="2" t="s">
        <v>33</v>
      </c>
    </row>
    <row r="25" spans="1:3" ht="8" customHeight="1" x14ac:dyDescent="0.5">
      <c r="A25" s="2"/>
      <c r="B25" s="2"/>
      <c r="C25" s="2"/>
    </row>
    <row r="26" spans="1:3" ht="8" customHeight="1" x14ac:dyDescent="0.5">
      <c r="A26" s="2"/>
      <c r="B26" s="2"/>
      <c r="C26" s="2"/>
    </row>
    <row r="27" spans="1:3" x14ac:dyDescent="0.5">
      <c r="A27" s="2"/>
      <c r="B27" s="22" t="s">
        <v>34</v>
      </c>
      <c r="C27" s="22"/>
    </row>
    <row r="28" spans="1:3" x14ac:dyDescent="0.5">
      <c r="A28" s="2"/>
      <c r="B28" s="23" t="s">
        <v>35</v>
      </c>
      <c r="C28" s="2" t="s">
        <v>36</v>
      </c>
    </row>
    <row r="29" spans="1:3" x14ac:dyDescent="0.5">
      <c r="A29" s="2"/>
      <c r="B29" s="23" t="s">
        <v>37</v>
      </c>
      <c r="C29" s="2" t="s">
        <v>38</v>
      </c>
    </row>
    <row r="30" spans="1:3" x14ac:dyDescent="0.5">
      <c r="A30" s="2"/>
      <c r="B30" s="23" t="s">
        <v>39</v>
      </c>
      <c r="C30" s="2" t="s">
        <v>40</v>
      </c>
    </row>
    <row r="31" spans="1:3" x14ac:dyDescent="0.5">
      <c r="A31" s="2"/>
      <c r="B31" s="23" t="s">
        <v>41</v>
      </c>
      <c r="C31" s="2" t="s">
        <v>42</v>
      </c>
    </row>
    <row r="32" spans="1:3" ht="8" customHeight="1" x14ac:dyDescent="0.5">
      <c r="A32" s="2"/>
      <c r="B32" s="2"/>
      <c r="C32" s="2"/>
    </row>
    <row r="33" spans="1:3" x14ac:dyDescent="0.5">
      <c r="A33" s="2"/>
      <c r="B33" s="22" t="s">
        <v>43</v>
      </c>
      <c r="C33" s="22"/>
    </row>
    <row r="34" spans="1:3" ht="26" x14ac:dyDescent="0.5">
      <c r="A34" s="2"/>
      <c r="B34" s="23"/>
      <c r="C34" s="2" t="s">
        <v>44</v>
      </c>
    </row>
    <row r="35" spans="1:3" ht="26" x14ac:dyDescent="0.5">
      <c r="A35" s="2"/>
      <c r="B35" s="23"/>
      <c r="C35" s="2" t="s">
        <v>45</v>
      </c>
    </row>
    <row r="36" spans="1:3" ht="26" x14ac:dyDescent="0.5">
      <c r="A36" s="2"/>
      <c r="B36" s="23"/>
      <c r="C36" s="2" t="s">
        <v>46</v>
      </c>
    </row>
    <row r="37" spans="1:3" ht="26" x14ac:dyDescent="0.5">
      <c r="A37" s="2"/>
      <c r="B37" s="23"/>
      <c r="C37" s="2" t="s">
        <v>47</v>
      </c>
    </row>
    <row r="38" spans="1:3" ht="26" x14ac:dyDescent="0.5">
      <c r="A38" s="2"/>
      <c r="B38" s="23"/>
      <c r="C38" s="2" t="s">
        <v>48</v>
      </c>
    </row>
  </sheetData>
  <mergeCells count="4">
    <mergeCell ref="B11:C11"/>
    <mergeCell ref="B20:C20"/>
    <mergeCell ref="B27:C27"/>
    <mergeCell ref="B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5"/>
  <sheetViews>
    <sheetView showGridLines="0" topLeftCell="P1" zoomScaleNormal="100" workbookViewId="0">
      <pane ySplit="1" topLeftCell="A2" activePane="bottomLeft" state="frozen"/>
      <selection pane="bottomLeft" activeCell="K119" sqref="K119"/>
    </sheetView>
  </sheetViews>
  <sheetFormatPr defaultColWidth="8.703125" defaultRowHeight="14.35" x14ac:dyDescent="0.5"/>
  <cols>
    <col min="1" max="1" width="7.9375" customWidth="1"/>
    <col min="2" max="2" width="22.9375" customWidth="1"/>
    <col min="3" max="3" width="24.703125" customWidth="1"/>
    <col min="4" max="4" width="38.8203125" customWidth="1"/>
    <col min="5" max="5" width="30" customWidth="1"/>
    <col min="6" max="6" width="42.3515625" customWidth="1"/>
    <col min="7" max="8" width="29.1171875" customWidth="1"/>
    <col min="9" max="9" width="18.52734375" style="10" customWidth="1"/>
    <col min="10" max="10" width="19.41015625" style="8" customWidth="1"/>
    <col min="11" max="11" width="18.52734375" style="8" customWidth="1"/>
    <col min="12" max="12" width="15.87890625" customWidth="1"/>
    <col min="13" max="13" width="19.41015625" customWidth="1"/>
    <col min="14" max="14" width="15" customWidth="1"/>
    <col min="15" max="15" width="11.46875" customWidth="1"/>
    <col min="16" max="16" width="15" customWidth="1"/>
    <col min="17" max="17" width="11.46875" customWidth="1"/>
    <col min="18" max="18" width="56.46875" customWidth="1"/>
    <col min="19" max="19" width="15.87890625" customWidth="1"/>
    <col min="20" max="20" width="14.1171875" customWidth="1"/>
    <col min="21" max="21" width="67.05859375" customWidth="1"/>
    <col min="22" max="25" width="17.64453125" customWidth="1"/>
    <col min="26" max="26" width="22.9375" customWidth="1"/>
    <col min="27" max="27" width="15.87890625" customWidth="1"/>
    <col min="28" max="28" width="17.64453125" customWidth="1"/>
  </cols>
  <sheetData>
    <row r="1" spans="1:28" ht="36" customHeight="1" x14ac:dyDescent="0.5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91" t="s">
        <v>57</v>
      </c>
      <c r="J1" s="92" t="s">
        <v>58</v>
      </c>
      <c r="K1" s="92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70</v>
      </c>
      <c r="W1" s="5" t="s">
        <v>71</v>
      </c>
      <c r="X1" s="5" t="s">
        <v>72</v>
      </c>
      <c r="Y1" s="5" t="s">
        <v>73</v>
      </c>
      <c r="Z1" s="5" t="s">
        <v>74</v>
      </c>
      <c r="AA1" s="5" t="s">
        <v>75</v>
      </c>
      <c r="AB1" s="5" t="s">
        <v>76</v>
      </c>
    </row>
    <row r="2" spans="1:28" ht="39" x14ac:dyDescent="0.5">
      <c r="A2" s="11">
        <v>1</v>
      </c>
      <c r="B2" s="11" t="s">
        <v>77</v>
      </c>
      <c r="C2" s="11" t="s">
        <v>78</v>
      </c>
      <c r="D2" s="11" t="s">
        <v>79</v>
      </c>
      <c r="E2" s="11" t="s">
        <v>80</v>
      </c>
      <c r="F2" s="11" t="s">
        <v>81</v>
      </c>
      <c r="G2" s="11" t="s">
        <v>30</v>
      </c>
      <c r="H2" s="11" t="s">
        <v>30</v>
      </c>
      <c r="I2" s="12">
        <v>180000</v>
      </c>
      <c r="J2" s="13">
        <v>215000</v>
      </c>
      <c r="K2" s="13">
        <v>175000</v>
      </c>
      <c r="L2" s="11" t="s">
        <v>82</v>
      </c>
      <c r="M2" s="11">
        <v>25000000</v>
      </c>
      <c r="N2" s="11">
        <v>1</v>
      </c>
      <c r="O2" s="11">
        <v>8</v>
      </c>
      <c r="P2" s="11">
        <v>0.1</v>
      </c>
      <c r="Q2" s="11">
        <v>0.6</v>
      </c>
      <c r="R2" s="11" t="s">
        <v>83</v>
      </c>
      <c r="S2" s="11" t="s">
        <v>84</v>
      </c>
      <c r="T2" s="11" t="s">
        <v>85</v>
      </c>
      <c r="U2" s="11" t="s">
        <v>86</v>
      </c>
      <c r="V2" s="11"/>
      <c r="W2" s="11"/>
      <c r="X2" s="11"/>
      <c r="Y2" s="11"/>
      <c r="Z2" s="11" t="s">
        <v>87</v>
      </c>
      <c r="AA2" s="11" t="s">
        <v>88</v>
      </c>
      <c r="AB2" s="11" t="s">
        <v>89</v>
      </c>
    </row>
    <row r="3" spans="1:28" ht="26" x14ac:dyDescent="0.5">
      <c r="A3" s="3">
        <v>2</v>
      </c>
      <c r="B3" s="3" t="s">
        <v>77</v>
      </c>
      <c r="C3" s="3" t="s">
        <v>90</v>
      </c>
      <c r="D3" s="3" t="s">
        <v>91</v>
      </c>
      <c r="E3" s="3" t="s">
        <v>92</v>
      </c>
      <c r="F3" s="3" t="s">
        <v>93</v>
      </c>
      <c r="G3" s="3" t="s">
        <v>32</v>
      </c>
      <c r="H3" s="3" t="s">
        <v>32</v>
      </c>
      <c r="I3" s="9">
        <v>100000</v>
      </c>
      <c r="J3" s="7">
        <v>120000</v>
      </c>
      <c r="K3" s="7">
        <v>95000</v>
      </c>
      <c r="L3" s="3" t="s">
        <v>82</v>
      </c>
      <c r="M3" s="3">
        <v>14000000</v>
      </c>
      <c r="N3" s="3">
        <v>1</v>
      </c>
      <c r="O3" s="3">
        <v>7</v>
      </c>
      <c r="P3" s="3">
        <v>0.1</v>
      </c>
      <c r="Q3" s="3">
        <v>0.4</v>
      </c>
      <c r="R3" s="3" t="s">
        <v>94</v>
      </c>
      <c r="S3" s="3" t="s">
        <v>84</v>
      </c>
      <c r="T3" s="3" t="s">
        <v>85</v>
      </c>
      <c r="U3" s="3" t="s">
        <v>95</v>
      </c>
      <c r="V3" s="3"/>
      <c r="W3" s="3"/>
      <c r="X3" s="3"/>
      <c r="Y3" s="3"/>
      <c r="Z3" s="3" t="s">
        <v>87</v>
      </c>
      <c r="AA3" s="3" t="s">
        <v>88</v>
      </c>
      <c r="AB3" s="3" t="s">
        <v>89</v>
      </c>
    </row>
    <row r="4" spans="1:28" ht="26" x14ac:dyDescent="0.5">
      <c r="A4" s="11">
        <v>3</v>
      </c>
      <c r="B4" s="11" t="s">
        <v>77</v>
      </c>
      <c r="C4" s="11" t="s">
        <v>96</v>
      </c>
      <c r="D4" s="11" t="s">
        <v>97</v>
      </c>
      <c r="E4" s="11" t="s">
        <v>98</v>
      </c>
      <c r="F4" s="11" t="s">
        <v>99</v>
      </c>
      <c r="G4" s="11" t="s">
        <v>30</v>
      </c>
      <c r="H4" s="11" t="s">
        <v>28</v>
      </c>
      <c r="I4" s="12">
        <v>130000</v>
      </c>
      <c r="J4" s="13">
        <v>150000</v>
      </c>
      <c r="K4" s="13">
        <v>125000</v>
      </c>
      <c r="L4" s="11" t="s">
        <v>82</v>
      </c>
      <c r="M4" s="11">
        <v>18000000</v>
      </c>
      <c r="N4" s="11">
        <v>1</v>
      </c>
      <c r="O4" s="11">
        <v>7</v>
      </c>
      <c r="P4" s="11">
        <v>0.1</v>
      </c>
      <c r="Q4" s="11">
        <v>0.4</v>
      </c>
      <c r="R4" s="11" t="s">
        <v>100</v>
      </c>
      <c r="S4" s="11" t="s">
        <v>84</v>
      </c>
      <c r="T4" s="11" t="s">
        <v>85</v>
      </c>
      <c r="U4" s="11" t="s">
        <v>101</v>
      </c>
      <c r="V4" s="11"/>
      <c r="W4" s="11"/>
      <c r="X4" s="11"/>
      <c r="Y4" s="11"/>
      <c r="Z4" s="11" t="s">
        <v>87</v>
      </c>
      <c r="AA4" s="11" t="s">
        <v>102</v>
      </c>
      <c r="AB4" s="11" t="s">
        <v>89</v>
      </c>
    </row>
    <row r="5" spans="1:28" ht="39" x14ac:dyDescent="0.5">
      <c r="A5" s="3">
        <v>4</v>
      </c>
      <c r="B5" s="3" t="s">
        <v>77</v>
      </c>
      <c r="C5" s="3" t="s">
        <v>103</v>
      </c>
      <c r="D5" s="3" t="s">
        <v>104</v>
      </c>
      <c r="E5" s="3" t="s">
        <v>105</v>
      </c>
      <c r="F5" s="3" t="s">
        <v>106</v>
      </c>
      <c r="G5" s="3" t="s">
        <v>28</v>
      </c>
      <c r="H5" s="3" t="s">
        <v>28</v>
      </c>
      <c r="I5" s="9">
        <v>65000</v>
      </c>
      <c r="J5" s="7">
        <v>75000</v>
      </c>
      <c r="K5" s="7">
        <v>60000</v>
      </c>
      <c r="L5" s="3" t="s">
        <v>82</v>
      </c>
      <c r="M5" s="3">
        <v>9000000</v>
      </c>
      <c r="N5" s="3">
        <v>1</v>
      </c>
      <c r="O5" s="3">
        <v>7</v>
      </c>
      <c r="P5" s="3">
        <v>0.12</v>
      </c>
      <c r="Q5" s="3">
        <v>0.4</v>
      </c>
      <c r="R5" s="3" t="s">
        <v>107</v>
      </c>
      <c r="S5" s="3" t="s">
        <v>84</v>
      </c>
      <c r="T5" s="3" t="s">
        <v>85</v>
      </c>
      <c r="U5" s="3" t="s">
        <v>108</v>
      </c>
      <c r="V5" s="3"/>
      <c r="W5" s="3"/>
      <c r="X5" s="3"/>
      <c r="Y5" s="3"/>
      <c r="Z5" s="3" t="s">
        <v>87</v>
      </c>
      <c r="AA5" s="3" t="s">
        <v>102</v>
      </c>
      <c r="AB5" s="3" t="s">
        <v>89</v>
      </c>
    </row>
    <row r="6" spans="1:28" ht="26" x14ac:dyDescent="0.5">
      <c r="A6" s="11">
        <v>5</v>
      </c>
      <c r="B6" s="11" t="s">
        <v>77</v>
      </c>
      <c r="C6" s="11" t="s">
        <v>109</v>
      </c>
      <c r="D6" s="11" t="s">
        <v>110</v>
      </c>
      <c r="E6" s="11" t="s">
        <v>111</v>
      </c>
      <c r="F6" s="11" t="s">
        <v>112</v>
      </c>
      <c r="G6" s="11" t="s">
        <v>28</v>
      </c>
      <c r="H6" s="11" t="s">
        <v>28</v>
      </c>
      <c r="I6" s="12">
        <v>65000</v>
      </c>
      <c r="J6" s="13">
        <v>78000</v>
      </c>
      <c r="K6" s="13">
        <v>60000</v>
      </c>
      <c r="L6" s="11" t="s">
        <v>82</v>
      </c>
      <c r="M6" s="11">
        <v>9000000</v>
      </c>
      <c r="N6" s="11">
        <v>1</v>
      </c>
      <c r="O6" s="11">
        <v>10</v>
      </c>
      <c r="P6" s="11">
        <v>0.04</v>
      </c>
      <c r="Q6" s="11">
        <v>0.2</v>
      </c>
      <c r="R6" s="11" t="s">
        <v>113</v>
      </c>
      <c r="S6" s="11" t="s">
        <v>84</v>
      </c>
      <c r="T6" s="11" t="s">
        <v>85</v>
      </c>
      <c r="U6" s="11" t="s">
        <v>114</v>
      </c>
      <c r="V6" s="11"/>
      <c r="W6" s="11"/>
      <c r="X6" s="11"/>
      <c r="Y6" s="11"/>
      <c r="Z6" s="11" t="s">
        <v>87</v>
      </c>
      <c r="AA6" s="11" t="s">
        <v>102</v>
      </c>
      <c r="AB6" s="11" t="s">
        <v>89</v>
      </c>
    </row>
    <row r="7" spans="1:28" ht="39" x14ac:dyDescent="0.5">
      <c r="A7" s="3">
        <v>6</v>
      </c>
      <c r="B7" s="3" t="s">
        <v>77</v>
      </c>
      <c r="C7" s="3" t="s">
        <v>115</v>
      </c>
      <c r="D7" s="3" t="s">
        <v>116</v>
      </c>
      <c r="E7" s="3" t="s">
        <v>117</v>
      </c>
      <c r="F7" s="3" t="s">
        <v>118</v>
      </c>
      <c r="G7" s="3" t="s">
        <v>28</v>
      </c>
      <c r="H7" s="3" t="s">
        <v>28</v>
      </c>
      <c r="I7" s="9">
        <v>35000</v>
      </c>
      <c r="J7" s="7">
        <v>42000</v>
      </c>
      <c r="K7" s="7">
        <v>33000</v>
      </c>
      <c r="L7" s="3" t="s">
        <v>82</v>
      </c>
      <c r="M7" s="3">
        <v>4800000</v>
      </c>
      <c r="N7" s="3">
        <v>2</v>
      </c>
      <c r="O7" s="3">
        <v>8</v>
      </c>
      <c r="P7" s="3">
        <v>7.0000000000000007E-2</v>
      </c>
      <c r="Q7" s="3">
        <v>0.6</v>
      </c>
      <c r="R7" s="3" t="s">
        <v>119</v>
      </c>
      <c r="S7" s="3" t="s">
        <v>84</v>
      </c>
      <c r="T7" s="3" t="s">
        <v>85</v>
      </c>
      <c r="U7" s="3" t="s">
        <v>120</v>
      </c>
      <c r="V7" s="3"/>
      <c r="W7" s="3"/>
      <c r="X7" s="3"/>
      <c r="Y7" s="3"/>
      <c r="Z7" s="3" t="s">
        <v>87</v>
      </c>
      <c r="AA7" s="3" t="s">
        <v>88</v>
      </c>
      <c r="AB7" s="3" t="s">
        <v>89</v>
      </c>
    </row>
    <row r="8" spans="1:28" ht="39" x14ac:dyDescent="0.5">
      <c r="A8" s="11">
        <v>7</v>
      </c>
      <c r="B8" s="11" t="s">
        <v>77</v>
      </c>
      <c r="C8" s="11" t="s">
        <v>121</v>
      </c>
      <c r="D8" s="11" t="s">
        <v>122</v>
      </c>
      <c r="E8" s="11" t="s">
        <v>123</v>
      </c>
      <c r="F8" s="11" t="s">
        <v>124</v>
      </c>
      <c r="G8" s="11" t="s">
        <v>30</v>
      </c>
      <c r="H8" s="11" t="s">
        <v>30</v>
      </c>
      <c r="I8" s="12">
        <v>90000</v>
      </c>
      <c r="J8" s="13">
        <v>105000</v>
      </c>
      <c r="K8" s="13">
        <v>85000</v>
      </c>
      <c r="L8" s="11" t="s">
        <v>82</v>
      </c>
      <c r="M8" s="11">
        <v>12500000</v>
      </c>
      <c r="N8" s="11">
        <v>1</v>
      </c>
      <c r="O8" s="11">
        <v>8</v>
      </c>
      <c r="P8" s="11">
        <v>0.1</v>
      </c>
      <c r="Q8" s="11">
        <v>0.5</v>
      </c>
      <c r="R8" s="11" t="s">
        <v>125</v>
      </c>
      <c r="S8" s="11" t="s">
        <v>84</v>
      </c>
      <c r="T8" s="11" t="s">
        <v>85</v>
      </c>
      <c r="U8" s="11" t="s">
        <v>126</v>
      </c>
      <c r="V8" s="11"/>
      <c r="W8" s="11"/>
      <c r="X8" s="11"/>
      <c r="Y8" s="11"/>
      <c r="Z8" s="11" t="s">
        <v>87</v>
      </c>
      <c r="AA8" s="11" t="s">
        <v>127</v>
      </c>
      <c r="AB8" s="11" t="s">
        <v>89</v>
      </c>
    </row>
    <row r="9" spans="1:28" ht="39" x14ac:dyDescent="0.5">
      <c r="A9" s="3">
        <v>8</v>
      </c>
      <c r="B9" s="3" t="s">
        <v>128</v>
      </c>
      <c r="C9" s="3" t="s">
        <v>129</v>
      </c>
      <c r="D9" s="3" t="s">
        <v>130</v>
      </c>
      <c r="E9" s="3" t="s">
        <v>131</v>
      </c>
      <c r="F9" s="3" t="s">
        <v>132</v>
      </c>
      <c r="G9" s="3" t="s">
        <v>26</v>
      </c>
      <c r="H9" s="3" t="s">
        <v>30</v>
      </c>
      <c r="I9" s="9">
        <v>50000</v>
      </c>
      <c r="J9" s="7">
        <v>58000</v>
      </c>
      <c r="K9" s="7">
        <v>48000</v>
      </c>
      <c r="L9" s="3" t="s">
        <v>82</v>
      </c>
      <c r="M9" s="3">
        <v>6600000</v>
      </c>
      <c r="N9" s="3">
        <v>1</v>
      </c>
      <c r="O9" s="3">
        <v>12</v>
      </c>
      <c r="P9" s="3">
        <v>0.05</v>
      </c>
      <c r="Q9" s="3">
        <v>0.2</v>
      </c>
      <c r="R9" s="3" t="s">
        <v>133</v>
      </c>
      <c r="S9" s="3" t="s">
        <v>84</v>
      </c>
      <c r="T9" s="3" t="s">
        <v>85</v>
      </c>
      <c r="U9" s="3" t="s">
        <v>134</v>
      </c>
      <c r="V9" s="3"/>
      <c r="W9" s="3"/>
      <c r="X9" s="3"/>
      <c r="Y9" s="3"/>
      <c r="Z9" s="3" t="s">
        <v>87</v>
      </c>
      <c r="AA9" s="3" t="s">
        <v>102</v>
      </c>
      <c r="AB9" s="3" t="s">
        <v>89</v>
      </c>
    </row>
    <row r="10" spans="1:28" ht="39" x14ac:dyDescent="0.5">
      <c r="A10" s="11">
        <v>9</v>
      </c>
      <c r="B10" s="11" t="s">
        <v>128</v>
      </c>
      <c r="C10" s="11" t="s">
        <v>135</v>
      </c>
      <c r="D10" s="11" t="s">
        <v>136</v>
      </c>
      <c r="E10" s="11" t="s">
        <v>137</v>
      </c>
      <c r="F10" s="11" t="s">
        <v>138</v>
      </c>
      <c r="G10" s="11" t="s">
        <v>26</v>
      </c>
      <c r="H10" s="11" t="s">
        <v>30</v>
      </c>
      <c r="I10" s="12">
        <v>28000</v>
      </c>
      <c r="J10" s="13">
        <v>32600</v>
      </c>
      <c r="K10" s="13">
        <v>26000</v>
      </c>
      <c r="L10" s="11" t="s">
        <v>82</v>
      </c>
      <c r="M10" s="11">
        <v>3700000</v>
      </c>
      <c r="N10" s="11">
        <v>2</v>
      </c>
      <c r="O10" s="11">
        <v>8</v>
      </c>
      <c r="P10" s="11">
        <v>0.05</v>
      </c>
      <c r="Q10" s="11">
        <v>0.3</v>
      </c>
      <c r="R10" s="11" t="s">
        <v>139</v>
      </c>
      <c r="S10" s="11" t="s">
        <v>140</v>
      </c>
      <c r="T10" s="11" t="s">
        <v>85</v>
      </c>
      <c r="U10" s="11" t="s">
        <v>141</v>
      </c>
      <c r="V10" s="11"/>
      <c r="W10" s="11"/>
      <c r="X10" s="11"/>
      <c r="Y10" s="11"/>
      <c r="Z10" s="11" t="s">
        <v>87</v>
      </c>
      <c r="AA10" s="11" t="s">
        <v>102</v>
      </c>
      <c r="AB10" s="11" t="s">
        <v>89</v>
      </c>
    </row>
    <row r="11" spans="1:28" ht="39" x14ac:dyDescent="0.5">
      <c r="A11" s="3">
        <v>10</v>
      </c>
      <c r="B11" s="3" t="s">
        <v>128</v>
      </c>
      <c r="C11" s="3" t="s">
        <v>142</v>
      </c>
      <c r="D11" s="3" t="s">
        <v>143</v>
      </c>
      <c r="E11" s="3" t="s">
        <v>144</v>
      </c>
      <c r="F11" s="3" t="s">
        <v>145</v>
      </c>
      <c r="G11" s="3" t="s">
        <v>28</v>
      </c>
      <c r="H11" s="3" t="s">
        <v>30</v>
      </c>
      <c r="I11" s="9">
        <v>45000</v>
      </c>
      <c r="J11" s="7">
        <v>52000</v>
      </c>
      <c r="K11" s="7">
        <v>42000</v>
      </c>
      <c r="L11" s="3" t="s">
        <v>82</v>
      </c>
      <c r="M11" s="3">
        <v>6000000</v>
      </c>
      <c r="N11" s="3">
        <v>1</v>
      </c>
      <c r="O11" s="3">
        <v>10</v>
      </c>
      <c r="P11" s="3">
        <v>0.08</v>
      </c>
      <c r="Q11" s="3">
        <v>0.4</v>
      </c>
      <c r="R11" s="3" t="s">
        <v>146</v>
      </c>
      <c r="S11" s="3" t="s">
        <v>84</v>
      </c>
      <c r="T11" s="3" t="s">
        <v>85</v>
      </c>
      <c r="U11" s="3" t="s">
        <v>147</v>
      </c>
      <c r="V11" s="3"/>
      <c r="W11" s="3"/>
      <c r="X11" s="3"/>
      <c r="Y11" s="3"/>
      <c r="Z11" s="3" t="s">
        <v>87</v>
      </c>
      <c r="AA11" s="3" t="s">
        <v>102</v>
      </c>
      <c r="AB11" s="3" t="s">
        <v>89</v>
      </c>
    </row>
    <row r="12" spans="1:28" ht="39" x14ac:dyDescent="0.5">
      <c r="A12" s="11">
        <v>11</v>
      </c>
      <c r="B12" s="11" t="s">
        <v>128</v>
      </c>
      <c r="C12" s="11" t="s">
        <v>148</v>
      </c>
      <c r="D12" s="11" t="s">
        <v>149</v>
      </c>
      <c r="E12" s="11" t="s">
        <v>150</v>
      </c>
      <c r="F12" s="11" t="s">
        <v>151</v>
      </c>
      <c r="G12" s="11" t="s">
        <v>28</v>
      </c>
      <c r="H12" s="11" t="s">
        <v>30</v>
      </c>
      <c r="I12" s="12">
        <v>95000</v>
      </c>
      <c r="J12" s="13">
        <v>115000</v>
      </c>
      <c r="K12" s="13">
        <v>90000</v>
      </c>
      <c r="L12" s="11" t="s">
        <v>82</v>
      </c>
      <c r="M12" s="11">
        <v>13100000</v>
      </c>
      <c r="N12" s="11">
        <v>1</v>
      </c>
      <c r="O12" s="11">
        <v>12</v>
      </c>
      <c r="P12" s="11">
        <v>7.0000000000000007E-2</v>
      </c>
      <c r="Q12" s="11">
        <v>0.4</v>
      </c>
      <c r="R12" s="11" t="s">
        <v>152</v>
      </c>
      <c r="S12" s="11" t="s">
        <v>84</v>
      </c>
      <c r="T12" s="11" t="s">
        <v>85</v>
      </c>
      <c r="U12" s="11" t="s">
        <v>153</v>
      </c>
      <c r="V12" s="11"/>
      <c r="W12" s="11"/>
      <c r="X12" s="11"/>
      <c r="Y12" s="11"/>
      <c r="Z12" s="11" t="s">
        <v>87</v>
      </c>
      <c r="AA12" s="11" t="s">
        <v>102</v>
      </c>
      <c r="AB12" s="11" t="s">
        <v>89</v>
      </c>
    </row>
    <row r="13" spans="1:28" ht="39" x14ac:dyDescent="0.5">
      <c r="A13" s="3">
        <v>12</v>
      </c>
      <c r="B13" s="3" t="s">
        <v>128</v>
      </c>
      <c r="C13" s="3" t="s">
        <v>154</v>
      </c>
      <c r="D13" s="3" t="s">
        <v>155</v>
      </c>
      <c r="E13" s="3" t="s">
        <v>156</v>
      </c>
      <c r="F13" s="3" t="s">
        <v>157</v>
      </c>
      <c r="G13" s="3" t="s">
        <v>28</v>
      </c>
      <c r="H13" s="3" t="s">
        <v>30</v>
      </c>
      <c r="I13" s="9">
        <v>45000</v>
      </c>
      <c r="J13" s="7">
        <v>52000</v>
      </c>
      <c r="K13" s="7">
        <v>42000</v>
      </c>
      <c r="L13" s="3" t="s">
        <v>82</v>
      </c>
      <c r="M13" s="3">
        <v>6000000</v>
      </c>
      <c r="N13" s="3">
        <v>1</v>
      </c>
      <c r="O13" s="3">
        <v>15</v>
      </c>
      <c r="P13" s="3">
        <v>0.04</v>
      </c>
      <c r="Q13" s="3">
        <v>0.2</v>
      </c>
      <c r="R13" s="3" t="s">
        <v>158</v>
      </c>
      <c r="S13" s="3" t="s">
        <v>84</v>
      </c>
      <c r="T13" s="3" t="s">
        <v>85</v>
      </c>
      <c r="U13" s="3" t="s">
        <v>159</v>
      </c>
      <c r="V13" s="3"/>
      <c r="W13" s="3"/>
      <c r="X13" s="3"/>
      <c r="Y13" s="3"/>
      <c r="Z13" s="3" t="s">
        <v>87</v>
      </c>
      <c r="AA13" s="3" t="s">
        <v>127</v>
      </c>
      <c r="AB13" s="3" t="s">
        <v>89</v>
      </c>
    </row>
    <row r="14" spans="1:28" ht="39" x14ac:dyDescent="0.5">
      <c r="A14" s="11">
        <v>13</v>
      </c>
      <c r="B14" s="11" t="s">
        <v>128</v>
      </c>
      <c r="C14" s="11" t="s">
        <v>160</v>
      </c>
      <c r="D14" s="11" t="s">
        <v>161</v>
      </c>
      <c r="E14" s="11" t="s">
        <v>162</v>
      </c>
      <c r="F14" s="11" t="s">
        <v>163</v>
      </c>
      <c r="G14" s="11" t="s">
        <v>28</v>
      </c>
      <c r="H14" s="11" t="s">
        <v>30</v>
      </c>
      <c r="I14" s="12">
        <v>130000</v>
      </c>
      <c r="J14" s="13">
        <v>150000</v>
      </c>
      <c r="K14" s="13">
        <v>125000</v>
      </c>
      <c r="L14" s="11" t="s">
        <v>82</v>
      </c>
      <c r="M14" s="11">
        <v>17500000</v>
      </c>
      <c r="N14" s="11">
        <v>1</v>
      </c>
      <c r="O14" s="11">
        <v>10</v>
      </c>
      <c r="P14" s="11">
        <v>7.0000000000000007E-2</v>
      </c>
      <c r="Q14" s="11">
        <v>0.5</v>
      </c>
      <c r="R14" s="11" t="s">
        <v>164</v>
      </c>
      <c r="S14" s="11" t="s">
        <v>84</v>
      </c>
      <c r="T14" s="11" t="s">
        <v>85</v>
      </c>
      <c r="U14" s="11" t="s">
        <v>165</v>
      </c>
      <c r="V14" s="11"/>
      <c r="W14" s="11"/>
      <c r="X14" s="11"/>
      <c r="Y14" s="11"/>
      <c r="Z14" s="11" t="s">
        <v>87</v>
      </c>
      <c r="AA14" s="11" t="s">
        <v>102</v>
      </c>
      <c r="AB14" s="11" t="s">
        <v>89</v>
      </c>
    </row>
    <row r="15" spans="1:28" ht="39" x14ac:dyDescent="0.5">
      <c r="A15" s="3">
        <v>14</v>
      </c>
      <c r="B15" s="3" t="s">
        <v>128</v>
      </c>
      <c r="C15" s="3" t="s">
        <v>166</v>
      </c>
      <c r="D15" s="3" t="s">
        <v>167</v>
      </c>
      <c r="E15" s="3" t="s">
        <v>168</v>
      </c>
      <c r="F15" s="3" t="s">
        <v>169</v>
      </c>
      <c r="G15" s="3" t="s">
        <v>28</v>
      </c>
      <c r="H15" s="3" t="s">
        <v>30</v>
      </c>
      <c r="I15" s="9">
        <v>70000</v>
      </c>
      <c r="J15" s="7">
        <v>80000</v>
      </c>
      <c r="K15" s="7">
        <v>65000</v>
      </c>
      <c r="L15" s="3" t="s">
        <v>82</v>
      </c>
      <c r="M15" s="3">
        <v>9300000</v>
      </c>
      <c r="N15" s="3">
        <v>1</v>
      </c>
      <c r="O15" s="3">
        <v>12</v>
      </c>
      <c r="P15" s="3">
        <v>0.06</v>
      </c>
      <c r="Q15" s="3">
        <v>0.4</v>
      </c>
      <c r="R15" s="3" t="s">
        <v>170</v>
      </c>
      <c r="S15" s="3" t="s">
        <v>84</v>
      </c>
      <c r="T15" s="3" t="s">
        <v>85</v>
      </c>
      <c r="U15" s="3" t="s">
        <v>171</v>
      </c>
      <c r="V15" s="3"/>
      <c r="W15" s="3"/>
      <c r="X15" s="3"/>
      <c r="Y15" s="3"/>
      <c r="Z15" s="3" t="s">
        <v>87</v>
      </c>
      <c r="AA15" s="3" t="s">
        <v>127</v>
      </c>
      <c r="AB15" s="3" t="s">
        <v>89</v>
      </c>
    </row>
    <row r="16" spans="1:28" ht="39" x14ac:dyDescent="0.5">
      <c r="A16" s="11">
        <v>15</v>
      </c>
      <c r="B16" s="11" t="s">
        <v>172</v>
      </c>
      <c r="C16" s="11" t="s">
        <v>173</v>
      </c>
      <c r="D16" s="11" t="s">
        <v>174</v>
      </c>
      <c r="E16" s="11" t="s">
        <v>175</v>
      </c>
      <c r="F16" s="11" t="s">
        <v>176</v>
      </c>
      <c r="G16" s="11" t="s">
        <v>28</v>
      </c>
      <c r="H16" s="11" t="s">
        <v>30</v>
      </c>
      <c r="I16" s="12">
        <v>3500</v>
      </c>
      <c r="J16" s="13">
        <v>4000</v>
      </c>
      <c r="K16" s="13">
        <v>2500</v>
      </c>
      <c r="L16" s="11" t="s">
        <v>177</v>
      </c>
      <c r="M16" s="11">
        <v>480000</v>
      </c>
      <c r="N16" s="11">
        <v>4</v>
      </c>
      <c r="O16" s="11">
        <v>6</v>
      </c>
      <c r="P16" s="11">
        <v>0.05</v>
      </c>
      <c r="Q16" s="11">
        <v>0</v>
      </c>
      <c r="R16" s="11" t="s">
        <v>178</v>
      </c>
      <c r="S16" s="11" t="s">
        <v>140</v>
      </c>
      <c r="T16" s="11" t="s">
        <v>85</v>
      </c>
      <c r="U16" s="11" t="s">
        <v>179</v>
      </c>
      <c r="V16" s="11"/>
      <c r="W16" s="11"/>
      <c r="X16" s="11"/>
      <c r="Y16" s="11"/>
      <c r="Z16" s="11" t="s">
        <v>87</v>
      </c>
      <c r="AA16" s="11" t="s">
        <v>102</v>
      </c>
      <c r="AB16" s="11" t="s">
        <v>89</v>
      </c>
    </row>
    <row r="17" spans="1:28" ht="39" x14ac:dyDescent="0.5">
      <c r="A17" s="3">
        <v>16</v>
      </c>
      <c r="B17" s="3" t="s">
        <v>172</v>
      </c>
      <c r="C17" s="3" t="s">
        <v>180</v>
      </c>
      <c r="D17" s="3" t="s">
        <v>181</v>
      </c>
      <c r="E17" s="3" t="s">
        <v>182</v>
      </c>
      <c r="F17" s="3" t="s">
        <v>183</v>
      </c>
      <c r="G17" s="3" t="s">
        <v>30</v>
      </c>
      <c r="H17" s="3" t="s">
        <v>30</v>
      </c>
      <c r="I17" s="9">
        <v>55000</v>
      </c>
      <c r="J17" s="7">
        <v>65000</v>
      </c>
      <c r="K17" s="7">
        <v>45000</v>
      </c>
      <c r="L17" s="3" t="s">
        <v>177</v>
      </c>
      <c r="M17" s="3">
        <v>7600000</v>
      </c>
      <c r="N17" s="3">
        <v>1</v>
      </c>
      <c r="O17" s="3">
        <v>10</v>
      </c>
      <c r="P17" s="3">
        <v>7.0000000000000007E-2</v>
      </c>
      <c r="Q17" s="3">
        <v>0.3</v>
      </c>
      <c r="R17" s="3" t="s">
        <v>184</v>
      </c>
      <c r="S17" s="3" t="s">
        <v>84</v>
      </c>
      <c r="T17" s="3" t="s">
        <v>85</v>
      </c>
      <c r="U17" s="3" t="s">
        <v>185</v>
      </c>
      <c r="V17" s="3"/>
      <c r="W17" s="3"/>
      <c r="X17" s="3"/>
      <c r="Y17" s="3"/>
      <c r="Z17" s="3" t="s">
        <v>87</v>
      </c>
      <c r="AA17" s="3" t="s">
        <v>102</v>
      </c>
      <c r="AB17" s="3" t="s">
        <v>89</v>
      </c>
    </row>
    <row r="18" spans="1:28" ht="39" x14ac:dyDescent="0.5">
      <c r="A18" s="11">
        <v>17</v>
      </c>
      <c r="B18" s="11" t="s">
        <v>172</v>
      </c>
      <c r="C18" s="11" t="s">
        <v>186</v>
      </c>
      <c r="D18" s="11" t="s">
        <v>187</v>
      </c>
      <c r="E18" s="11" t="s">
        <v>188</v>
      </c>
      <c r="F18" s="11" t="s">
        <v>189</v>
      </c>
      <c r="G18" s="11" t="s">
        <v>30</v>
      </c>
      <c r="H18" s="11" t="s">
        <v>30</v>
      </c>
      <c r="I18" s="12">
        <v>65000</v>
      </c>
      <c r="J18" s="13">
        <v>75000</v>
      </c>
      <c r="K18" s="13">
        <v>55000</v>
      </c>
      <c r="L18" s="11" t="s">
        <v>177</v>
      </c>
      <c r="M18" s="11">
        <v>9000000</v>
      </c>
      <c r="N18" s="11">
        <v>1</v>
      </c>
      <c r="O18" s="11">
        <v>8</v>
      </c>
      <c r="P18" s="11">
        <v>0.1</v>
      </c>
      <c r="Q18" s="11">
        <v>0.5</v>
      </c>
      <c r="R18" s="11" t="s">
        <v>190</v>
      </c>
      <c r="S18" s="11" t="s">
        <v>140</v>
      </c>
      <c r="T18" s="11" t="s">
        <v>85</v>
      </c>
      <c r="U18" s="11" t="s">
        <v>191</v>
      </c>
      <c r="V18" s="11"/>
      <c r="W18" s="11"/>
      <c r="X18" s="11"/>
      <c r="Y18" s="11"/>
      <c r="Z18" s="11" t="s">
        <v>87</v>
      </c>
      <c r="AA18" s="11" t="s">
        <v>102</v>
      </c>
      <c r="AB18" s="11" t="s">
        <v>89</v>
      </c>
    </row>
    <row r="19" spans="1:28" ht="26" x14ac:dyDescent="0.5">
      <c r="A19" s="3">
        <v>18</v>
      </c>
      <c r="B19" s="3" t="s">
        <v>172</v>
      </c>
      <c r="C19" s="3" t="s">
        <v>192</v>
      </c>
      <c r="D19" s="3" t="s">
        <v>193</v>
      </c>
      <c r="E19" s="3" t="s">
        <v>194</v>
      </c>
      <c r="F19" s="3" t="s">
        <v>195</v>
      </c>
      <c r="G19" s="3" t="s">
        <v>28</v>
      </c>
      <c r="H19" s="3" t="s">
        <v>30</v>
      </c>
      <c r="I19" s="9">
        <v>4500</v>
      </c>
      <c r="J19" s="7">
        <v>5000</v>
      </c>
      <c r="K19" s="7">
        <v>3500</v>
      </c>
      <c r="L19" s="3" t="s">
        <v>177</v>
      </c>
      <c r="M19" s="3">
        <v>620000</v>
      </c>
      <c r="N19" s="3">
        <v>3</v>
      </c>
      <c r="O19" s="3">
        <v>8</v>
      </c>
      <c r="P19" s="3">
        <v>0.05</v>
      </c>
      <c r="Q19" s="3">
        <v>0</v>
      </c>
      <c r="R19" s="3" t="s">
        <v>196</v>
      </c>
      <c r="S19" s="3" t="s">
        <v>140</v>
      </c>
      <c r="T19" s="3" t="s">
        <v>85</v>
      </c>
      <c r="U19" s="3" t="s">
        <v>197</v>
      </c>
      <c r="V19" s="3"/>
      <c r="W19" s="3"/>
      <c r="X19" s="3"/>
      <c r="Y19" s="3"/>
      <c r="Z19" s="3" t="s">
        <v>87</v>
      </c>
      <c r="AA19" s="3" t="s">
        <v>102</v>
      </c>
      <c r="AB19" s="3" t="s">
        <v>89</v>
      </c>
    </row>
    <row r="20" spans="1:28" ht="39" x14ac:dyDescent="0.5">
      <c r="A20" s="11">
        <v>19</v>
      </c>
      <c r="B20" s="11" t="s">
        <v>172</v>
      </c>
      <c r="C20" s="11" t="s">
        <v>192</v>
      </c>
      <c r="D20" s="11" t="s">
        <v>198</v>
      </c>
      <c r="E20" s="11" t="s">
        <v>199</v>
      </c>
      <c r="F20" s="11" t="s">
        <v>200</v>
      </c>
      <c r="G20" s="11" t="s">
        <v>32</v>
      </c>
      <c r="H20" s="11" t="s">
        <v>32</v>
      </c>
      <c r="I20" s="12">
        <v>0</v>
      </c>
      <c r="J20" s="13">
        <v>0</v>
      </c>
      <c r="K20" s="13">
        <v>0</v>
      </c>
      <c r="L20" s="11" t="s">
        <v>201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 t="s">
        <v>202</v>
      </c>
      <c r="S20" s="11" t="s">
        <v>140</v>
      </c>
      <c r="T20" s="11" t="s">
        <v>85</v>
      </c>
      <c r="U20" s="11" t="s">
        <v>203</v>
      </c>
      <c r="V20" s="11"/>
      <c r="W20" s="11"/>
      <c r="X20" s="11"/>
      <c r="Y20" s="11"/>
      <c r="Z20" s="11" t="s">
        <v>87</v>
      </c>
      <c r="AA20" s="11" t="s">
        <v>102</v>
      </c>
      <c r="AB20" s="11" t="s">
        <v>89</v>
      </c>
    </row>
    <row r="21" spans="1:28" ht="39" x14ac:dyDescent="0.5">
      <c r="A21" s="3">
        <v>20</v>
      </c>
      <c r="B21" s="3" t="s">
        <v>172</v>
      </c>
      <c r="C21" s="3" t="s">
        <v>204</v>
      </c>
      <c r="D21" s="3" t="s">
        <v>205</v>
      </c>
      <c r="E21" s="3" t="s">
        <v>206</v>
      </c>
      <c r="F21" s="3" t="s">
        <v>207</v>
      </c>
      <c r="G21" s="3" t="s">
        <v>28</v>
      </c>
      <c r="H21" s="3" t="s">
        <v>30</v>
      </c>
      <c r="I21" s="9">
        <v>12000</v>
      </c>
      <c r="J21" s="7">
        <v>14000</v>
      </c>
      <c r="K21" s="7">
        <v>9000</v>
      </c>
      <c r="L21" s="3" t="s">
        <v>177</v>
      </c>
      <c r="M21" s="3">
        <v>1650000</v>
      </c>
      <c r="N21" s="3">
        <v>3</v>
      </c>
      <c r="O21" s="3">
        <v>7</v>
      </c>
      <c r="P21" s="3">
        <v>7.0000000000000007E-2</v>
      </c>
      <c r="Q21" s="3">
        <v>0</v>
      </c>
      <c r="R21" s="3" t="s">
        <v>208</v>
      </c>
      <c r="S21" s="3" t="s">
        <v>84</v>
      </c>
      <c r="T21" s="3" t="s">
        <v>85</v>
      </c>
      <c r="U21" s="3" t="s">
        <v>209</v>
      </c>
      <c r="V21" s="3"/>
      <c r="W21" s="3"/>
      <c r="X21" s="3"/>
      <c r="Y21" s="3"/>
      <c r="Z21" s="3" t="s">
        <v>87</v>
      </c>
      <c r="AA21" s="3" t="s">
        <v>102</v>
      </c>
      <c r="AB21" s="3" t="s">
        <v>89</v>
      </c>
    </row>
    <row r="22" spans="1:28" ht="39" x14ac:dyDescent="0.5">
      <c r="A22" s="11">
        <v>21</v>
      </c>
      <c r="B22" s="11" t="s">
        <v>172</v>
      </c>
      <c r="C22" s="11" t="s">
        <v>210</v>
      </c>
      <c r="D22" s="11" t="s">
        <v>211</v>
      </c>
      <c r="E22" s="11" t="s">
        <v>212</v>
      </c>
      <c r="F22" s="11" t="s">
        <v>213</v>
      </c>
      <c r="G22" s="11" t="s">
        <v>30</v>
      </c>
      <c r="H22" s="11" t="s">
        <v>30</v>
      </c>
      <c r="I22" s="12">
        <v>25000</v>
      </c>
      <c r="J22" s="13">
        <v>28000</v>
      </c>
      <c r="K22" s="13">
        <v>18000</v>
      </c>
      <c r="L22" s="11" t="s">
        <v>177</v>
      </c>
      <c r="M22" s="11">
        <v>3450000</v>
      </c>
      <c r="N22" s="11">
        <v>2</v>
      </c>
      <c r="O22" s="11">
        <v>8</v>
      </c>
      <c r="P22" s="11">
        <v>0.05</v>
      </c>
      <c r="Q22" s="11">
        <v>0</v>
      </c>
      <c r="R22" s="11" t="s">
        <v>214</v>
      </c>
      <c r="S22" s="11" t="s">
        <v>140</v>
      </c>
      <c r="T22" s="11" t="s">
        <v>85</v>
      </c>
      <c r="U22" s="11" t="s">
        <v>215</v>
      </c>
      <c r="V22" s="11"/>
      <c r="W22" s="11"/>
      <c r="X22" s="11"/>
      <c r="Y22" s="11"/>
      <c r="Z22" s="11" t="s">
        <v>87</v>
      </c>
      <c r="AA22" s="11" t="s">
        <v>88</v>
      </c>
      <c r="AB22" s="11" t="s">
        <v>89</v>
      </c>
    </row>
    <row r="23" spans="1:28" ht="26" x14ac:dyDescent="0.5">
      <c r="A23" s="3">
        <v>22</v>
      </c>
      <c r="B23" s="3" t="s">
        <v>172</v>
      </c>
      <c r="C23" s="3" t="s">
        <v>216</v>
      </c>
      <c r="D23" s="3" t="s">
        <v>217</v>
      </c>
      <c r="E23" s="3" t="s">
        <v>218</v>
      </c>
      <c r="F23" s="3" t="s">
        <v>219</v>
      </c>
      <c r="G23" s="3" t="s">
        <v>28</v>
      </c>
      <c r="H23" s="3" t="s">
        <v>30</v>
      </c>
      <c r="I23" s="9">
        <v>9000</v>
      </c>
      <c r="J23" s="7">
        <v>10000</v>
      </c>
      <c r="K23" s="7">
        <v>7000</v>
      </c>
      <c r="L23" s="3" t="s">
        <v>177</v>
      </c>
      <c r="M23" s="3">
        <v>1240000</v>
      </c>
      <c r="N23" s="3">
        <v>1</v>
      </c>
      <c r="O23" s="3">
        <v>7</v>
      </c>
      <c r="P23" s="3">
        <v>0.06</v>
      </c>
      <c r="Q23" s="3">
        <v>0</v>
      </c>
      <c r="R23" s="3" t="s">
        <v>220</v>
      </c>
      <c r="S23" s="3" t="s">
        <v>84</v>
      </c>
      <c r="T23" s="3" t="s">
        <v>85</v>
      </c>
      <c r="U23" s="3" t="s">
        <v>221</v>
      </c>
      <c r="V23" s="3"/>
      <c r="W23" s="3"/>
      <c r="X23" s="3"/>
      <c r="Y23" s="3"/>
      <c r="Z23" s="3" t="s">
        <v>87</v>
      </c>
      <c r="AA23" s="3" t="s">
        <v>102</v>
      </c>
      <c r="AB23" s="3" t="s">
        <v>89</v>
      </c>
    </row>
    <row r="24" spans="1:28" ht="39" x14ac:dyDescent="0.5">
      <c r="A24" s="11">
        <v>23</v>
      </c>
      <c r="B24" s="11" t="s">
        <v>172</v>
      </c>
      <c r="C24" s="11" t="s">
        <v>222</v>
      </c>
      <c r="D24" s="11" t="s">
        <v>223</v>
      </c>
      <c r="E24" s="11" t="s">
        <v>224</v>
      </c>
      <c r="F24" s="11" t="s">
        <v>225</v>
      </c>
      <c r="G24" s="11" t="s">
        <v>28</v>
      </c>
      <c r="H24" s="11" t="s">
        <v>30</v>
      </c>
      <c r="I24" s="12">
        <v>28000</v>
      </c>
      <c r="J24" s="13">
        <v>32000</v>
      </c>
      <c r="K24" s="13">
        <v>22000</v>
      </c>
      <c r="L24" s="11" t="s">
        <v>177</v>
      </c>
      <c r="M24" s="11">
        <v>3850000</v>
      </c>
      <c r="N24" s="11">
        <v>1</v>
      </c>
      <c r="O24" s="11">
        <v>8</v>
      </c>
      <c r="P24" s="11">
        <v>7.0000000000000007E-2</v>
      </c>
      <c r="Q24" s="11">
        <v>0.5</v>
      </c>
      <c r="R24" s="11" t="s">
        <v>226</v>
      </c>
      <c r="S24" s="11" t="s">
        <v>140</v>
      </c>
      <c r="T24" s="11" t="s">
        <v>85</v>
      </c>
      <c r="U24" s="11" t="s">
        <v>227</v>
      </c>
      <c r="V24" s="11"/>
      <c r="W24" s="11"/>
      <c r="X24" s="11"/>
      <c r="Y24" s="11"/>
      <c r="Z24" s="11" t="s">
        <v>87</v>
      </c>
      <c r="AA24" s="11" t="s">
        <v>102</v>
      </c>
      <c r="AB24" s="11" t="s">
        <v>89</v>
      </c>
    </row>
    <row r="25" spans="1:28" ht="26" x14ac:dyDescent="0.5">
      <c r="A25" s="3">
        <v>24</v>
      </c>
      <c r="B25" s="3" t="s">
        <v>172</v>
      </c>
      <c r="C25" s="3" t="s">
        <v>222</v>
      </c>
      <c r="D25" s="3" t="s">
        <v>228</v>
      </c>
      <c r="E25" s="3" t="s">
        <v>229</v>
      </c>
      <c r="F25" s="3" t="s">
        <v>230</v>
      </c>
      <c r="G25" s="3" t="s">
        <v>28</v>
      </c>
      <c r="H25" s="3" t="s">
        <v>30</v>
      </c>
      <c r="I25" s="9">
        <v>22000</v>
      </c>
      <c r="J25" s="7">
        <v>25000</v>
      </c>
      <c r="K25" s="7">
        <v>17000</v>
      </c>
      <c r="L25" s="3" t="s">
        <v>177</v>
      </c>
      <c r="M25" s="3">
        <v>3000000</v>
      </c>
      <c r="N25" s="3">
        <v>1</v>
      </c>
      <c r="O25" s="3">
        <v>10</v>
      </c>
      <c r="P25" s="3">
        <v>0.05</v>
      </c>
      <c r="Q25" s="3">
        <v>0</v>
      </c>
      <c r="R25" s="3" t="s">
        <v>231</v>
      </c>
      <c r="S25" s="3" t="s">
        <v>84</v>
      </c>
      <c r="T25" s="3" t="s">
        <v>85</v>
      </c>
      <c r="U25" s="3" t="s">
        <v>232</v>
      </c>
      <c r="V25" s="3"/>
      <c r="W25" s="3"/>
      <c r="X25" s="3"/>
      <c r="Y25" s="3"/>
      <c r="Z25" s="3" t="s">
        <v>87</v>
      </c>
      <c r="AA25" s="3" t="s">
        <v>88</v>
      </c>
      <c r="AB25" s="3" t="s">
        <v>89</v>
      </c>
    </row>
    <row r="26" spans="1:28" ht="39" x14ac:dyDescent="0.5">
      <c r="A26" s="11">
        <v>25</v>
      </c>
      <c r="B26" s="11" t="s">
        <v>172</v>
      </c>
      <c r="C26" s="11" t="s">
        <v>233</v>
      </c>
      <c r="D26" s="11" t="s">
        <v>234</v>
      </c>
      <c r="E26" s="11" t="s">
        <v>235</v>
      </c>
      <c r="F26" s="11" t="s">
        <v>236</v>
      </c>
      <c r="G26" s="11" t="s">
        <v>30</v>
      </c>
      <c r="H26" s="11" t="s">
        <v>30</v>
      </c>
      <c r="I26" s="12">
        <v>18000</v>
      </c>
      <c r="J26" s="13">
        <v>21000</v>
      </c>
      <c r="K26" s="13">
        <v>14000</v>
      </c>
      <c r="L26" s="11" t="s">
        <v>177</v>
      </c>
      <c r="M26" s="11">
        <v>2500000</v>
      </c>
      <c r="N26" s="11">
        <v>1</v>
      </c>
      <c r="O26" s="11">
        <v>7</v>
      </c>
      <c r="P26" s="11">
        <v>0.06</v>
      </c>
      <c r="Q26" s="11">
        <v>0</v>
      </c>
      <c r="R26" s="11" t="s">
        <v>237</v>
      </c>
      <c r="S26" s="11" t="s">
        <v>84</v>
      </c>
      <c r="T26" s="11" t="s">
        <v>85</v>
      </c>
      <c r="U26" s="11" t="s">
        <v>238</v>
      </c>
      <c r="V26" s="11"/>
      <c r="W26" s="11"/>
      <c r="X26" s="11"/>
      <c r="Y26" s="11"/>
      <c r="Z26" s="11" t="s">
        <v>87</v>
      </c>
      <c r="AA26" s="11" t="s">
        <v>88</v>
      </c>
      <c r="AB26" s="11" t="s">
        <v>89</v>
      </c>
    </row>
    <row r="27" spans="1:28" ht="26" x14ac:dyDescent="0.5">
      <c r="A27" s="3">
        <v>26</v>
      </c>
      <c r="B27" s="3" t="s">
        <v>172</v>
      </c>
      <c r="C27" s="3" t="s">
        <v>239</v>
      </c>
      <c r="D27" s="3" t="s">
        <v>240</v>
      </c>
      <c r="E27" s="3" t="s">
        <v>241</v>
      </c>
      <c r="F27" s="3" t="s">
        <v>242</v>
      </c>
      <c r="G27" s="3" t="s">
        <v>28</v>
      </c>
      <c r="H27" s="3" t="s">
        <v>30</v>
      </c>
      <c r="I27" s="9">
        <v>6500</v>
      </c>
      <c r="J27" s="7">
        <v>7500</v>
      </c>
      <c r="K27" s="7">
        <v>4500</v>
      </c>
      <c r="L27" s="3" t="s">
        <v>177</v>
      </c>
      <c r="M27" s="3">
        <v>900000</v>
      </c>
      <c r="N27" s="3">
        <v>6</v>
      </c>
      <c r="O27" s="3">
        <v>8</v>
      </c>
      <c r="P27" s="3">
        <v>0.06</v>
      </c>
      <c r="Q27" s="3">
        <v>0</v>
      </c>
      <c r="R27" s="3" t="s">
        <v>243</v>
      </c>
      <c r="S27" s="3" t="s">
        <v>140</v>
      </c>
      <c r="T27" s="3" t="s">
        <v>85</v>
      </c>
      <c r="U27" s="3" t="s">
        <v>244</v>
      </c>
      <c r="V27" s="3"/>
      <c r="W27" s="3"/>
      <c r="X27" s="3"/>
      <c r="Y27" s="3"/>
      <c r="Z27" s="3" t="s">
        <v>245</v>
      </c>
      <c r="AA27" s="3" t="s">
        <v>127</v>
      </c>
      <c r="AB27" s="3" t="s">
        <v>89</v>
      </c>
    </row>
    <row r="28" spans="1:28" ht="26" x14ac:dyDescent="0.5">
      <c r="A28" s="11">
        <v>27</v>
      </c>
      <c r="B28" s="11" t="s">
        <v>246</v>
      </c>
      <c r="C28" s="11" t="s">
        <v>247</v>
      </c>
      <c r="D28" s="11" t="s">
        <v>248</v>
      </c>
      <c r="E28" s="11" t="s">
        <v>249</v>
      </c>
      <c r="F28" s="11" t="s">
        <v>250</v>
      </c>
      <c r="G28" s="11" t="s">
        <v>26</v>
      </c>
      <c r="H28" s="11" t="s">
        <v>28</v>
      </c>
      <c r="I28" s="12">
        <v>55000</v>
      </c>
      <c r="J28" s="13">
        <v>66000</v>
      </c>
      <c r="K28" s="13">
        <v>52000</v>
      </c>
      <c r="L28" s="11" t="s">
        <v>82</v>
      </c>
      <c r="M28" s="11">
        <v>7600000</v>
      </c>
      <c r="N28" s="11">
        <v>2</v>
      </c>
      <c r="O28" s="11">
        <v>20</v>
      </c>
      <c r="P28" s="11">
        <v>0.03</v>
      </c>
      <c r="Q28" s="11">
        <v>0.1</v>
      </c>
      <c r="R28" s="11" t="s">
        <v>251</v>
      </c>
      <c r="S28" s="11" t="s">
        <v>140</v>
      </c>
      <c r="T28" s="11" t="s">
        <v>85</v>
      </c>
      <c r="U28" s="11" t="s">
        <v>252</v>
      </c>
      <c r="V28" s="11"/>
      <c r="W28" s="11"/>
      <c r="X28" s="11"/>
      <c r="Y28" s="11"/>
      <c r="Z28" s="11" t="s">
        <v>245</v>
      </c>
      <c r="AA28" s="11" t="s">
        <v>102</v>
      </c>
      <c r="AB28" s="11" t="s">
        <v>89</v>
      </c>
    </row>
    <row r="29" spans="1:28" ht="26" x14ac:dyDescent="0.5">
      <c r="A29" s="3">
        <v>28</v>
      </c>
      <c r="B29" s="3" t="s">
        <v>246</v>
      </c>
      <c r="C29" s="3" t="s">
        <v>253</v>
      </c>
      <c r="D29" s="3" t="s">
        <v>254</v>
      </c>
      <c r="E29" s="3" t="s">
        <v>255</v>
      </c>
      <c r="F29" s="3" t="s">
        <v>256</v>
      </c>
      <c r="G29" s="3" t="s">
        <v>26</v>
      </c>
      <c r="H29" s="3" t="s">
        <v>30</v>
      </c>
      <c r="I29" s="9">
        <v>60000</v>
      </c>
      <c r="J29" s="7">
        <v>72000</v>
      </c>
      <c r="K29" s="7">
        <v>56000</v>
      </c>
      <c r="L29" s="3" t="s">
        <v>82</v>
      </c>
      <c r="M29" s="3">
        <v>8200000</v>
      </c>
      <c r="N29" s="3">
        <v>2</v>
      </c>
      <c r="O29" s="3">
        <v>12</v>
      </c>
      <c r="P29" s="3">
        <v>0.05</v>
      </c>
      <c r="Q29" s="3">
        <v>0.5</v>
      </c>
      <c r="R29" s="3" t="s">
        <v>257</v>
      </c>
      <c r="S29" s="3" t="s">
        <v>84</v>
      </c>
      <c r="T29" s="3" t="s">
        <v>85</v>
      </c>
      <c r="U29" s="3" t="s">
        <v>258</v>
      </c>
      <c r="V29" s="3"/>
      <c r="W29" s="3"/>
      <c r="X29" s="3"/>
      <c r="Y29" s="3"/>
      <c r="Z29" s="3" t="s">
        <v>259</v>
      </c>
      <c r="AA29" s="3" t="s">
        <v>127</v>
      </c>
      <c r="AB29" s="3" t="s">
        <v>89</v>
      </c>
    </row>
    <row r="30" spans="1:28" ht="26" x14ac:dyDescent="0.5">
      <c r="A30" s="11">
        <v>29</v>
      </c>
      <c r="B30" s="11" t="s">
        <v>246</v>
      </c>
      <c r="C30" s="11" t="s">
        <v>260</v>
      </c>
      <c r="D30" s="11" t="s">
        <v>261</v>
      </c>
      <c r="E30" s="11" t="s">
        <v>262</v>
      </c>
      <c r="F30" s="11" t="s">
        <v>263</v>
      </c>
      <c r="G30" s="11" t="s">
        <v>26</v>
      </c>
      <c r="H30" s="11" t="s">
        <v>28</v>
      </c>
      <c r="I30" s="12">
        <v>30000</v>
      </c>
      <c r="J30" s="13">
        <v>36000</v>
      </c>
      <c r="K30" s="13">
        <v>28000</v>
      </c>
      <c r="L30" s="11" t="s">
        <v>82</v>
      </c>
      <c r="M30" s="11">
        <v>4100000</v>
      </c>
      <c r="N30" s="11">
        <v>2</v>
      </c>
      <c r="O30" s="11">
        <v>15</v>
      </c>
      <c r="P30" s="11">
        <v>0.06</v>
      </c>
      <c r="Q30" s="11">
        <v>0.1</v>
      </c>
      <c r="R30" s="11" t="s">
        <v>264</v>
      </c>
      <c r="S30" s="11" t="s">
        <v>84</v>
      </c>
      <c r="T30" s="11" t="s">
        <v>85</v>
      </c>
      <c r="U30" s="11" t="s">
        <v>265</v>
      </c>
      <c r="V30" s="11"/>
      <c r="W30" s="11"/>
      <c r="X30" s="11"/>
      <c r="Y30" s="11"/>
      <c r="Z30" s="11" t="s">
        <v>266</v>
      </c>
      <c r="AA30" s="11" t="s">
        <v>88</v>
      </c>
      <c r="AB30" s="11" t="s">
        <v>267</v>
      </c>
    </row>
    <row r="31" spans="1:28" ht="39" x14ac:dyDescent="0.5">
      <c r="A31" s="3">
        <v>30</v>
      </c>
      <c r="B31" s="3" t="s">
        <v>246</v>
      </c>
      <c r="C31" s="3" t="s">
        <v>268</v>
      </c>
      <c r="D31" s="3" t="s">
        <v>269</v>
      </c>
      <c r="E31" s="3" t="s">
        <v>270</v>
      </c>
      <c r="F31" s="3" t="s">
        <v>271</v>
      </c>
      <c r="G31" s="3" t="s">
        <v>26</v>
      </c>
      <c r="H31" s="3" t="s">
        <v>26</v>
      </c>
      <c r="I31" s="9">
        <v>14000</v>
      </c>
      <c r="J31" s="7">
        <v>16500</v>
      </c>
      <c r="K31" s="7">
        <v>13000</v>
      </c>
      <c r="L31" s="3" t="s">
        <v>82</v>
      </c>
      <c r="M31" s="3">
        <v>1900000</v>
      </c>
      <c r="N31" s="3">
        <v>2</v>
      </c>
      <c r="O31" s="3">
        <v>12</v>
      </c>
      <c r="P31" s="3">
        <v>0.03</v>
      </c>
      <c r="Q31" s="3">
        <v>0.05</v>
      </c>
      <c r="R31" s="3" t="s">
        <v>272</v>
      </c>
      <c r="S31" s="3" t="s">
        <v>140</v>
      </c>
      <c r="T31" s="3" t="s">
        <v>85</v>
      </c>
      <c r="U31" s="3" t="s">
        <v>273</v>
      </c>
      <c r="V31" s="3"/>
      <c r="W31" s="3"/>
      <c r="X31" s="3"/>
      <c r="Y31" s="3"/>
      <c r="Z31" s="3" t="s">
        <v>87</v>
      </c>
      <c r="AA31" s="3" t="s">
        <v>88</v>
      </c>
      <c r="AB31" s="3" t="s">
        <v>89</v>
      </c>
    </row>
    <row r="32" spans="1:28" ht="26" x14ac:dyDescent="0.5">
      <c r="A32" s="11">
        <v>31</v>
      </c>
      <c r="B32" s="11" t="s">
        <v>246</v>
      </c>
      <c r="C32" s="11" t="s">
        <v>274</v>
      </c>
      <c r="D32" s="11" t="s">
        <v>275</v>
      </c>
      <c r="E32" s="11" t="s">
        <v>276</v>
      </c>
      <c r="F32" s="11" t="s">
        <v>277</v>
      </c>
      <c r="G32" s="11" t="s">
        <v>26</v>
      </c>
      <c r="H32" s="11" t="s">
        <v>28</v>
      </c>
      <c r="I32" s="12">
        <v>16000</v>
      </c>
      <c r="J32" s="13">
        <v>19000</v>
      </c>
      <c r="K32" s="13">
        <v>15000</v>
      </c>
      <c r="L32" s="11" t="s">
        <v>82</v>
      </c>
      <c r="M32" s="11">
        <v>2200000</v>
      </c>
      <c r="N32" s="11">
        <v>2</v>
      </c>
      <c r="O32" s="11">
        <v>8</v>
      </c>
      <c r="P32" s="11">
        <v>0.06</v>
      </c>
      <c r="Q32" s="11">
        <v>0.2</v>
      </c>
      <c r="R32" s="11" t="s">
        <v>278</v>
      </c>
      <c r="S32" s="11" t="s">
        <v>140</v>
      </c>
      <c r="T32" s="11" t="s">
        <v>85</v>
      </c>
      <c r="U32" s="11" t="s">
        <v>279</v>
      </c>
      <c r="V32" s="11"/>
      <c r="W32" s="11"/>
      <c r="X32" s="11"/>
      <c r="Y32" s="11"/>
      <c r="Z32" s="11" t="s">
        <v>87</v>
      </c>
      <c r="AA32" s="11" t="s">
        <v>102</v>
      </c>
      <c r="AB32" s="11" t="s">
        <v>89</v>
      </c>
    </row>
    <row r="33" spans="1:28" ht="65" x14ac:dyDescent="0.5">
      <c r="A33" s="3">
        <v>32</v>
      </c>
      <c r="B33" s="3" t="s">
        <v>246</v>
      </c>
      <c r="C33" s="3" t="s">
        <v>280</v>
      </c>
      <c r="D33" s="3" t="s">
        <v>281</v>
      </c>
      <c r="E33" s="3" t="s">
        <v>282</v>
      </c>
      <c r="F33" s="3" t="s">
        <v>283</v>
      </c>
      <c r="G33" s="3" t="s">
        <v>26</v>
      </c>
      <c r="H33" s="3" t="s">
        <v>30</v>
      </c>
      <c r="I33" s="9">
        <v>75000</v>
      </c>
      <c r="J33" s="7">
        <v>90000</v>
      </c>
      <c r="K33" s="7">
        <v>70000</v>
      </c>
      <c r="L33" s="3" t="s">
        <v>82</v>
      </c>
      <c r="M33" s="3">
        <v>8000000</v>
      </c>
      <c r="N33" s="3">
        <v>1</v>
      </c>
      <c r="O33" s="3">
        <v>25</v>
      </c>
      <c r="P33" s="3">
        <v>0.04</v>
      </c>
      <c r="Q33" s="3">
        <v>1</v>
      </c>
      <c r="R33" s="3" t="s">
        <v>284</v>
      </c>
      <c r="S33" s="3" t="s">
        <v>140</v>
      </c>
      <c r="T33" s="3" t="s">
        <v>85</v>
      </c>
      <c r="U33" s="3" t="s">
        <v>285</v>
      </c>
      <c r="V33" s="3"/>
      <c r="W33" s="3"/>
      <c r="X33" s="3"/>
      <c r="Y33" s="3"/>
      <c r="Z33" s="3" t="s">
        <v>87</v>
      </c>
      <c r="AA33" s="3" t="s">
        <v>102</v>
      </c>
      <c r="AB33" s="3" t="s">
        <v>89</v>
      </c>
    </row>
    <row r="34" spans="1:28" ht="26" x14ac:dyDescent="0.5">
      <c r="A34" s="11">
        <v>33</v>
      </c>
      <c r="B34" s="11" t="s">
        <v>246</v>
      </c>
      <c r="C34" s="11" t="s">
        <v>286</v>
      </c>
      <c r="D34" s="11" t="s">
        <v>287</v>
      </c>
      <c r="E34" s="11" t="s">
        <v>288</v>
      </c>
      <c r="F34" s="11" t="s">
        <v>289</v>
      </c>
      <c r="G34" s="11" t="s">
        <v>26</v>
      </c>
      <c r="H34" s="11" t="s">
        <v>28</v>
      </c>
      <c r="I34" s="12">
        <v>50000</v>
      </c>
      <c r="J34" s="13">
        <v>60000</v>
      </c>
      <c r="K34" s="13">
        <v>47000</v>
      </c>
      <c r="L34" s="11" t="s">
        <v>82</v>
      </c>
      <c r="M34" s="11">
        <v>5200000</v>
      </c>
      <c r="N34" s="11">
        <v>1</v>
      </c>
      <c r="O34" s="11">
        <v>25</v>
      </c>
      <c r="P34" s="11">
        <v>0.04</v>
      </c>
      <c r="Q34" s="11">
        <v>0.5</v>
      </c>
      <c r="R34" s="11" t="s">
        <v>290</v>
      </c>
      <c r="S34" s="11" t="s">
        <v>84</v>
      </c>
      <c r="T34" s="11" t="s">
        <v>85</v>
      </c>
      <c r="U34" s="11" t="s">
        <v>291</v>
      </c>
      <c r="V34" s="11"/>
      <c r="W34" s="11"/>
      <c r="X34" s="11"/>
      <c r="Y34" s="11"/>
      <c r="Z34" s="11" t="s">
        <v>87</v>
      </c>
      <c r="AA34" s="11" t="s">
        <v>88</v>
      </c>
      <c r="AB34" s="11" t="s">
        <v>89</v>
      </c>
    </row>
    <row r="35" spans="1:28" ht="52" x14ac:dyDescent="0.5">
      <c r="A35" s="3">
        <v>34</v>
      </c>
      <c r="B35" s="3" t="s">
        <v>246</v>
      </c>
      <c r="C35" s="3" t="s">
        <v>292</v>
      </c>
      <c r="D35" s="3" t="s">
        <v>293</v>
      </c>
      <c r="E35" s="3" t="s">
        <v>294</v>
      </c>
      <c r="F35" s="3" t="s">
        <v>295</v>
      </c>
      <c r="G35" s="3" t="s">
        <v>26</v>
      </c>
      <c r="H35" s="3" t="s">
        <v>30</v>
      </c>
      <c r="I35" s="9">
        <v>45000</v>
      </c>
      <c r="J35" s="7">
        <v>55000</v>
      </c>
      <c r="K35" s="7">
        <v>42000</v>
      </c>
      <c r="L35" s="3" t="s">
        <v>82</v>
      </c>
      <c r="M35" s="3">
        <v>4500000</v>
      </c>
      <c r="N35" s="3">
        <v>1</v>
      </c>
      <c r="O35" s="3">
        <v>30</v>
      </c>
      <c r="P35" s="3">
        <v>0.06</v>
      </c>
      <c r="Q35" s="3">
        <v>0.5</v>
      </c>
      <c r="R35" s="3" t="s">
        <v>296</v>
      </c>
      <c r="S35" s="3" t="s">
        <v>84</v>
      </c>
      <c r="T35" s="3" t="s">
        <v>85</v>
      </c>
      <c r="U35" s="3" t="s">
        <v>297</v>
      </c>
      <c r="V35" s="3"/>
      <c r="W35" s="3"/>
      <c r="X35" s="3"/>
      <c r="Y35" s="3"/>
      <c r="Z35" s="3" t="s">
        <v>87</v>
      </c>
      <c r="AA35" s="3" t="s">
        <v>102</v>
      </c>
      <c r="AB35" s="3" t="s">
        <v>89</v>
      </c>
    </row>
    <row r="36" spans="1:28" ht="26" x14ac:dyDescent="0.5">
      <c r="A36" s="11">
        <v>35</v>
      </c>
      <c r="B36" s="11" t="s">
        <v>246</v>
      </c>
      <c r="C36" s="11" t="s">
        <v>298</v>
      </c>
      <c r="D36" s="11" t="s">
        <v>299</v>
      </c>
      <c r="E36" s="11" t="s">
        <v>300</v>
      </c>
      <c r="F36" s="11" t="s">
        <v>301</v>
      </c>
      <c r="G36" s="11" t="s">
        <v>26</v>
      </c>
      <c r="H36" s="11" t="s">
        <v>30</v>
      </c>
      <c r="I36" s="12">
        <v>120000</v>
      </c>
      <c r="J36" s="13">
        <v>145000</v>
      </c>
      <c r="K36" s="13">
        <v>115000</v>
      </c>
      <c r="L36" s="11" t="s">
        <v>82</v>
      </c>
      <c r="M36" s="11">
        <v>16500000</v>
      </c>
      <c r="N36" s="11">
        <v>1</v>
      </c>
      <c r="O36" s="11">
        <v>15</v>
      </c>
      <c r="P36" s="11">
        <v>7.0000000000000007E-2</v>
      </c>
      <c r="Q36" s="11">
        <v>0.1</v>
      </c>
      <c r="R36" s="11" t="s">
        <v>302</v>
      </c>
      <c r="S36" s="11" t="s">
        <v>84</v>
      </c>
      <c r="T36" s="11" t="s">
        <v>85</v>
      </c>
      <c r="U36" s="11" t="s">
        <v>303</v>
      </c>
      <c r="V36" s="11"/>
      <c r="W36" s="11"/>
      <c r="X36" s="11"/>
      <c r="Y36" s="11"/>
      <c r="Z36" s="11" t="s">
        <v>87</v>
      </c>
      <c r="AA36" s="11" t="s">
        <v>102</v>
      </c>
      <c r="AB36" s="11" t="s">
        <v>89</v>
      </c>
    </row>
    <row r="37" spans="1:28" ht="26" x14ac:dyDescent="0.5">
      <c r="A37" s="3">
        <v>36</v>
      </c>
      <c r="B37" s="3" t="s">
        <v>246</v>
      </c>
      <c r="C37" s="3" t="s">
        <v>304</v>
      </c>
      <c r="D37" s="3" t="s">
        <v>305</v>
      </c>
      <c r="E37" s="3" t="s">
        <v>306</v>
      </c>
      <c r="F37" s="3" t="s">
        <v>307</v>
      </c>
      <c r="G37" s="3" t="s">
        <v>26</v>
      </c>
      <c r="H37" s="3" t="s">
        <v>30</v>
      </c>
      <c r="I37" s="9">
        <v>220000</v>
      </c>
      <c r="J37" s="7">
        <v>260000</v>
      </c>
      <c r="K37" s="7">
        <v>200000</v>
      </c>
      <c r="L37" s="3" t="s">
        <v>82</v>
      </c>
      <c r="M37" s="3">
        <v>28000000</v>
      </c>
      <c r="N37" s="3">
        <v>1</v>
      </c>
      <c r="O37" s="3">
        <v>10</v>
      </c>
      <c r="P37" s="3">
        <v>0.06</v>
      </c>
      <c r="Q37" s="3">
        <v>0.5</v>
      </c>
      <c r="R37" s="3" t="s">
        <v>308</v>
      </c>
      <c r="S37" s="3" t="s">
        <v>84</v>
      </c>
      <c r="T37" s="3" t="s">
        <v>85</v>
      </c>
      <c r="U37" s="3" t="s">
        <v>309</v>
      </c>
      <c r="V37" s="3"/>
      <c r="W37" s="3"/>
      <c r="X37" s="3"/>
      <c r="Y37" s="3"/>
      <c r="Z37" s="3" t="s">
        <v>87</v>
      </c>
      <c r="AA37" s="3" t="s">
        <v>88</v>
      </c>
      <c r="AB37" s="3" t="s">
        <v>89</v>
      </c>
    </row>
    <row r="38" spans="1:28" ht="39" x14ac:dyDescent="0.5">
      <c r="A38" s="11">
        <v>37</v>
      </c>
      <c r="B38" s="11" t="s">
        <v>310</v>
      </c>
      <c r="C38" s="11" t="s">
        <v>311</v>
      </c>
      <c r="D38" s="11" t="s">
        <v>312</v>
      </c>
      <c r="E38" s="11" t="s">
        <v>313</v>
      </c>
      <c r="F38" s="11" t="s">
        <v>314</v>
      </c>
      <c r="G38" s="11" t="s">
        <v>30</v>
      </c>
      <c r="H38" s="11" t="s">
        <v>30</v>
      </c>
      <c r="I38" s="12">
        <v>70000</v>
      </c>
      <c r="J38" s="13">
        <v>80000</v>
      </c>
      <c r="K38" s="13">
        <v>55000</v>
      </c>
      <c r="L38" s="11" t="s">
        <v>177</v>
      </c>
      <c r="M38" s="11">
        <v>9700000</v>
      </c>
      <c r="N38" s="11">
        <v>1</v>
      </c>
      <c r="O38" s="11">
        <v>8</v>
      </c>
      <c r="P38" s="11">
        <v>0.06</v>
      </c>
      <c r="Q38" s="11">
        <v>0.2</v>
      </c>
      <c r="R38" s="11" t="s">
        <v>315</v>
      </c>
      <c r="S38" s="11" t="s">
        <v>84</v>
      </c>
      <c r="T38" s="11" t="s">
        <v>85</v>
      </c>
      <c r="U38" s="11" t="s">
        <v>316</v>
      </c>
      <c r="V38" s="11"/>
      <c r="W38" s="11"/>
      <c r="X38" s="11"/>
      <c r="Y38" s="11"/>
      <c r="Z38" s="11" t="s">
        <v>245</v>
      </c>
      <c r="AA38" s="11" t="s">
        <v>88</v>
      </c>
      <c r="AB38" s="11" t="s">
        <v>89</v>
      </c>
    </row>
    <row r="39" spans="1:28" ht="39" x14ac:dyDescent="0.5">
      <c r="A39" s="3">
        <v>38</v>
      </c>
      <c r="B39" s="3" t="s">
        <v>310</v>
      </c>
      <c r="C39" s="3" t="s">
        <v>311</v>
      </c>
      <c r="D39" s="3" t="s">
        <v>317</v>
      </c>
      <c r="E39" s="3" t="s">
        <v>318</v>
      </c>
      <c r="F39" s="3" t="s">
        <v>319</v>
      </c>
      <c r="G39" s="3" t="s">
        <v>30</v>
      </c>
      <c r="H39" s="3" t="s">
        <v>30</v>
      </c>
      <c r="I39" s="9">
        <v>90000</v>
      </c>
      <c r="J39" s="7">
        <v>105000</v>
      </c>
      <c r="K39" s="7">
        <v>75000</v>
      </c>
      <c r="L39" s="3" t="s">
        <v>201</v>
      </c>
      <c r="M39" s="3">
        <v>12400000</v>
      </c>
      <c r="N39" s="3">
        <v>1</v>
      </c>
      <c r="O39" s="3">
        <v>8</v>
      </c>
      <c r="P39" s="3">
        <v>0.1</v>
      </c>
      <c r="Q39" s="3">
        <v>0.2</v>
      </c>
      <c r="R39" s="3" t="s">
        <v>320</v>
      </c>
      <c r="S39" s="3" t="s">
        <v>321</v>
      </c>
      <c r="T39" s="3" t="s">
        <v>85</v>
      </c>
      <c r="U39" s="3" t="s">
        <v>322</v>
      </c>
      <c r="V39" s="3"/>
      <c r="W39" s="3"/>
      <c r="X39" s="3"/>
      <c r="Y39" s="3"/>
      <c r="Z39" s="3" t="s">
        <v>87</v>
      </c>
      <c r="AA39" s="3" t="s">
        <v>102</v>
      </c>
      <c r="AB39" s="3" t="s">
        <v>89</v>
      </c>
    </row>
    <row r="40" spans="1:28" ht="65" x14ac:dyDescent="0.5">
      <c r="A40" s="11">
        <v>39</v>
      </c>
      <c r="B40" s="11" t="s">
        <v>310</v>
      </c>
      <c r="C40" s="11" t="s">
        <v>323</v>
      </c>
      <c r="D40" s="11" t="s">
        <v>324</v>
      </c>
      <c r="E40" s="11" t="s">
        <v>325</v>
      </c>
      <c r="F40" s="11" t="s">
        <v>326</v>
      </c>
      <c r="G40" s="11" t="s">
        <v>30</v>
      </c>
      <c r="H40" s="11" t="s">
        <v>30</v>
      </c>
      <c r="I40" s="12">
        <v>850000</v>
      </c>
      <c r="J40" s="13">
        <v>950000</v>
      </c>
      <c r="K40" s="13">
        <v>700000</v>
      </c>
      <c r="L40" s="11" t="s">
        <v>201</v>
      </c>
      <c r="M40" s="11">
        <v>117000000</v>
      </c>
      <c r="N40" s="11">
        <v>1</v>
      </c>
      <c r="O40" s="11">
        <v>10</v>
      </c>
      <c r="P40" s="11">
        <v>0.08</v>
      </c>
      <c r="Q40" s="11">
        <v>1</v>
      </c>
      <c r="R40" s="11" t="s">
        <v>327</v>
      </c>
      <c r="S40" s="11" t="s">
        <v>84</v>
      </c>
      <c r="T40" s="11" t="s">
        <v>85</v>
      </c>
      <c r="U40" s="11" t="s">
        <v>328</v>
      </c>
      <c r="V40" s="11"/>
      <c r="W40" s="11"/>
      <c r="X40" s="11"/>
      <c r="Y40" s="11"/>
      <c r="Z40" s="11" t="s">
        <v>329</v>
      </c>
      <c r="AA40" s="11" t="s">
        <v>88</v>
      </c>
      <c r="AB40" s="11" t="s">
        <v>89</v>
      </c>
    </row>
    <row r="41" spans="1:28" ht="39" x14ac:dyDescent="0.5">
      <c r="A41" s="3">
        <v>40</v>
      </c>
      <c r="B41" s="3" t="s">
        <v>310</v>
      </c>
      <c r="C41" s="3" t="s">
        <v>330</v>
      </c>
      <c r="D41" s="3" t="s">
        <v>331</v>
      </c>
      <c r="E41" s="3" t="s">
        <v>332</v>
      </c>
      <c r="F41" s="3" t="s">
        <v>333</v>
      </c>
      <c r="G41" s="3" t="s">
        <v>30</v>
      </c>
      <c r="H41" s="3" t="s">
        <v>30</v>
      </c>
      <c r="I41" s="9">
        <v>45000</v>
      </c>
      <c r="J41" s="7">
        <v>50000</v>
      </c>
      <c r="K41" s="7">
        <v>35000</v>
      </c>
      <c r="L41" s="3" t="s">
        <v>201</v>
      </c>
      <c r="M41" s="3">
        <v>6200000</v>
      </c>
      <c r="N41" s="3">
        <v>1</v>
      </c>
      <c r="O41" s="3">
        <v>7</v>
      </c>
      <c r="P41" s="3">
        <v>0.2</v>
      </c>
      <c r="Q41" s="3">
        <v>0</v>
      </c>
      <c r="R41" s="3" t="s">
        <v>334</v>
      </c>
      <c r="S41" s="3" t="s">
        <v>321</v>
      </c>
      <c r="T41" s="3" t="s">
        <v>85</v>
      </c>
      <c r="U41" s="3" t="s">
        <v>335</v>
      </c>
      <c r="V41" s="3"/>
      <c r="W41" s="3"/>
      <c r="X41" s="3"/>
      <c r="Y41" s="3"/>
      <c r="Z41" s="3" t="s">
        <v>87</v>
      </c>
      <c r="AA41" s="3" t="s">
        <v>88</v>
      </c>
      <c r="AB41" s="3" t="s">
        <v>89</v>
      </c>
    </row>
    <row r="42" spans="1:28" ht="39" x14ac:dyDescent="0.5">
      <c r="A42" s="11">
        <v>41</v>
      </c>
      <c r="B42" s="11" t="s">
        <v>310</v>
      </c>
      <c r="C42" s="11" t="s">
        <v>336</v>
      </c>
      <c r="D42" s="11" t="s">
        <v>337</v>
      </c>
      <c r="E42" s="11" t="s">
        <v>338</v>
      </c>
      <c r="F42" s="11" t="s">
        <v>339</v>
      </c>
      <c r="G42" s="11" t="s">
        <v>28</v>
      </c>
      <c r="H42" s="11" t="s">
        <v>30</v>
      </c>
      <c r="I42" s="12">
        <v>95000</v>
      </c>
      <c r="J42" s="13">
        <v>110000</v>
      </c>
      <c r="K42" s="13">
        <v>85000</v>
      </c>
      <c r="L42" s="11" t="s">
        <v>201</v>
      </c>
      <c r="M42" s="11">
        <v>13000000</v>
      </c>
      <c r="N42" s="11">
        <v>1</v>
      </c>
      <c r="O42" s="11">
        <v>10</v>
      </c>
      <c r="P42" s="11">
        <v>7.0000000000000007E-2</v>
      </c>
      <c r="Q42" s="11">
        <v>0.5</v>
      </c>
      <c r="R42" s="11" t="s">
        <v>340</v>
      </c>
      <c r="S42" s="11" t="s">
        <v>140</v>
      </c>
      <c r="T42" s="11" t="s">
        <v>85</v>
      </c>
      <c r="U42" s="11" t="s">
        <v>341</v>
      </c>
      <c r="V42" s="11"/>
      <c r="W42" s="11"/>
      <c r="X42" s="11"/>
      <c r="Y42" s="11"/>
      <c r="Z42" s="11" t="s">
        <v>87</v>
      </c>
      <c r="AA42" s="11" t="s">
        <v>102</v>
      </c>
      <c r="AB42" s="11" t="s">
        <v>89</v>
      </c>
    </row>
    <row r="43" spans="1:28" ht="39" x14ac:dyDescent="0.5">
      <c r="A43" s="3">
        <v>42</v>
      </c>
      <c r="B43" s="3" t="s">
        <v>310</v>
      </c>
      <c r="C43" s="3" t="s">
        <v>342</v>
      </c>
      <c r="D43" s="3" t="s">
        <v>343</v>
      </c>
      <c r="E43" s="3" t="s">
        <v>344</v>
      </c>
      <c r="F43" s="3" t="s">
        <v>345</v>
      </c>
      <c r="G43" s="3" t="s">
        <v>30</v>
      </c>
      <c r="H43" s="3" t="s">
        <v>30</v>
      </c>
      <c r="I43" s="9">
        <v>80000</v>
      </c>
      <c r="J43" s="7">
        <v>95000</v>
      </c>
      <c r="K43" s="7">
        <v>65000</v>
      </c>
      <c r="L43" s="3" t="s">
        <v>201</v>
      </c>
      <c r="M43" s="3">
        <v>11000000</v>
      </c>
      <c r="N43" s="3">
        <v>1</v>
      </c>
      <c r="O43" s="3">
        <v>7</v>
      </c>
      <c r="P43" s="3">
        <v>0.18</v>
      </c>
      <c r="Q43" s="3">
        <v>0.2</v>
      </c>
      <c r="R43" s="3" t="s">
        <v>346</v>
      </c>
      <c r="S43" s="3" t="s">
        <v>84</v>
      </c>
      <c r="T43" s="3" t="s">
        <v>85</v>
      </c>
      <c r="U43" s="3" t="s">
        <v>347</v>
      </c>
      <c r="V43" s="3"/>
      <c r="W43" s="3"/>
      <c r="X43" s="3"/>
      <c r="Y43" s="3"/>
      <c r="Z43" s="3" t="s">
        <v>87</v>
      </c>
      <c r="AA43" s="3" t="s">
        <v>88</v>
      </c>
      <c r="AB43" s="3" t="s">
        <v>89</v>
      </c>
    </row>
    <row r="44" spans="1:28" ht="65" x14ac:dyDescent="0.5">
      <c r="A44" s="11">
        <v>43</v>
      </c>
      <c r="B44" s="11" t="s">
        <v>310</v>
      </c>
      <c r="C44" s="11" t="s">
        <v>348</v>
      </c>
      <c r="D44" s="11" t="s">
        <v>349</v>
      </c>
      <c r="E44" s="11" t="s">
        <v>350</v>
      </c>
      <c r="F44" s="11" t="s">
        <v>351</v>
      </c>
      <c r="G44" s="11" t="s">
        <v>30</v>
      </c>
      <c r="H44" s="11" t="s">
        <v>28</v>
      </c>
      <c r="I44" s="12">
        <v>950000</v>
      </c>
      <c r="J44" s="13">
        <v>1100000</v>
      </c>
      <c r="K44" s="13">
        <v>850000</v>
      </c>
      <c r="L44" s="11" t="s">
        <v>201</v>
      </c>
      <c r="M44" s="11">
        <v>130000000</v>
      </c>
      <c r="N44" s="11">
        <v>1</v>
      </c>
      <c r="O44" s="11">
        <v>10</v>
      </c>
      <c r="P44" s="11">
        <v>0.08</v>
      </c>
      <c r="Q44" s="11">
        <v>1</v>
      </c>
      <c r="R44" s="11" t="s">
        <v>352</v>
      </c>
      <c r="S44" s="11" t="s">
        <v>84</v>
      </c>
      <c r="T44" s="11" t="s">
        <v>85</v>
      </c>
      <c r="U44" s="11" t="s">
        <v>353</v>
      </c>
      <c r="V44" s="11"/>
      <c r="W44" s="11"/>
      <c r="X44" s="11"/>
      <c r="Y44" s="11"/>
      <c r="Z44" s="11" t="s">
        <v>245</v>
      </c>
      <c r="AA44" s="11" t="s">
        <v>102</v>
      </c>
      <c r="AB44" s="11" t="s">
        <v>89</v>
      </c>
    </row>
    <row r="45" spans="1:28" ht="91" x14ac:dyDescent="0.5">
      <c r="A45" s="3">
        <v>44</v>
      </c>
      <c r="B45" s="3" t="s">
        <v>310</v>
      </c>
      <c r="C45" s="3" t="s">
        <v>348</v>
      </c>
      <c r="D45" s="3" t="s">
        <v>354</v>
      </c>
      <c r="E45" s="3" t="s">
        <v>355</v>
      </c>
      <c r="F45" s="3" t="s">
        <v>356</v>
      </c>
      <c r="G45" s="3" t="s">
        <v>30</v>
      </c>
      <c r="H45" s="3" t="s">
        <v>30</v>
      </c>
      <c r="I45" s="9">
        <v>2100000</v>
      </c>
      <c r="J45" s="7">
        <v>2400000</v>
      </c>
      <c r="K45" s="7">
        <v>1850000</v>
      </c>
      <c r="L45" s="3" t="s">
        <v>201</v>
      </c>
      <c r="M45" s="3">
        <v>290000000</v>
      </c>
      <c r="N45" s="3">
        <v>1</v>
      </c>
      <c r="O45" s="3">
        <v>10</v>
      </c>
      <c r="P45" s="3">
        <v>0.08</v>
      </c>
      <c r="Q45" s="3">
        <v>1.5</v>
      </c>
      <c r="R45" s="3" t="s">
        <v>357</v>
      </c>
      <c r="S45" s="3" t="s">
        <v>84</v>
      </c>
      <c r="T45" s="3" t="s">
        <v>85</v>
      </c>
      <c r="U45" s="3" t="s">
        <v>358</v>
      </c>
      <c r="V45" s="3"/>
      <c r="W45" s="3"/>
      <c r="X45" s="3"/>
      <c r="Y45" s="3"/>
      <c r="Z45" s="3" t="s">
        <v>87</v>
      </c>
      <c r="AA45" s="3" t="s">
        <v>88</v>
      </c>
      <c r="AB45" s="3" t="s">
        <v>89</v>
      </c>
    </row>
    <row r="46" spans="1:28" ht="52" x14ac:dyDescent="0.5">
      <c r="A46" s="11">
        <v>45</v>
      </c>
      <c r="B46" s="11" t="s">
        <v>310</v>
      </c>
      <c r="C46" s="11" t="s">
        <v>359</v>
      </c>
      <c r="D46" s="11" t="s">
        <v>360</v>
      </c>
      <c r="E46" s="11" t="s">
        <v>361</v>
      </c>
      <c r="F46" s="11" t="s">
        <v>362</v>
      </c>
      <c r="G46" s="11" t="s">
        <v>30</v>
      </c>
      <c r="H46" s="11" t="s">
        <v>30</v>
      </c>
      <c r="I46" s="12">
        <v>280000</v>
      </c>
      <c r="J46" s="13">
        <v>320000</v>
      </c>
      <c r="K46" s="13">
        <v>220000</v>
      </c>
      <c r="L46" s="11" t="s">
        <v>201</v>
      </c>
      <c r="M46" s="11">
        <v>38500000</v>
      </c>
      <c r="N46" s="11">
        <v>1</v>
      </c>
      <c r="O46" s="11">
        <v>10</v>
      </c>
      <c r="P46" s="11">
        <v>0.08</v>
      </c>
      <c r="Q46" s="11">
        <v>0.5</v>
      </c>
      <c r="R46" s="11" t="s">
        <v>363</v>
      </c>
      <c r="S46" s="11" t="s">
        <v>84</v>
      </c>
      <c r="T46" s="11" t="s">
        <v>85</v>
      </c>
      <c r="U46" s="11" t="s">
        <v>364</v>
      </c>
      <c r="V46" s="11"/>
      <c r="W46" s="11"/>
      <c r="X46" s="11"/>
      <c r="Y46" s="11"/>
      <c r="Z46" s="11" t="s">
        <v>87</v>
      </c>
      <c r="AA46" s="11" t="s">
        <v>88</v>
      </c>
      <c r="AB46" s="11" t="s">
        <v>89</v>
      </c>
    </row>
    <row r="47" spans="1:28" ht="39" x14ac:dyDescent="0.5">
      <c r="A47" s="3">
        <v>46</v>
      </c>
      <c r="B47" s="3" t="s">
        <v>310</v>
      </c>
      <c r="C47" s="3" t="s">
        <v>365</v>
      </c>
      <c r="D47" s="3" t="s">
        <v>366</v>
      </c>
      <c r="E47" s="3" t="s">
        <v>367</v>
      </c>
      <c r="F47" s="3" t="s">
        <v>368</v>
      </c>
      <c r="G47" s="3" t="s">
        <v>28</v>
      </c>
      <c r="H47" s="3" t="s">
        <v>30</v>
      </c>
      <c r="I47" s="9">
        <v>95000</v>
      </c>
      <c r="J47" s="7">
        <v>110000</v>
      </c>
      <c r="K47" s="7">
        <v>75000</v>
      </c>
      <c r="L47" s="3" t="s">
        <v>177</v>
      </c>
      <c r="M47" s="3">
        <v>13000000</v>
      </c>
      <c r="N47" s="3">
        <v>1</v>
      </c>
      <c r="O47" s="3">
        <v>8</v>
      </c>
      <c r="P47" s="3">
        <v>0.08</v>
      </c>
      <c r="Q47" s="3">
        <v>0.5</v>
      </c>
      <c r="R47" s="3" t="s">
        <v>369</v>
      </c>
      <c r="S47" s="3" t="s">
        <v>140</v>
      </c>
      <c r="T47" s="3" t="s">
        <v>85</v>
      </c>
      <c r="U47" s="3" t="s">
        <v>370</v>
      </c>
      <c r="V47" s="3"/>
      <c r="W47" s="3"/>
      <c r="X47" s="3"/>
      <c r="Y47" s="3"/>
      <c r="Z47" s="3" t="s">
        <v>87</v>
      </c>
      <c r="AA47" s="3" t="s">
        <v>88</v>
      </c>
      <c r="AB47" s="3" t="s">
        <v>89</v>
      </c>
    </row>
    <row r="48" spans="1:28" ht="26" x14ac:dyDescent="0.5">
      <c r="A48" s="11">
        <v>47</v>
      </c>
      <c r="B48" s="11" t="s">
        <v>310</v>
      </c>
      <c r="C48" s="11" t="s">
        <v>365</v>
      </c>
      <c r="D48" s="11" t="s">
        <v>371</v>
      </c>
      <c r="E48" s="11" t="s">
        <v>372</v>
      </c>
      <c r="F48" s="11" t="s">
        <v>373</v>
      </c>
      <c r="G48" s="11" t="s">
        <v>28</v>
      </c>
      <c r="H48" s="11" t="s">
        <v>30</v>
      </c>
      <c r="I48" s="12">
        <v>35000</v>
      </c>
      <c r="J48" s="13">
        <v>40000</v>
      </c>
      <c r="K48" s="13">
        <v>28000</v>
      </c>
      <c r="L48" s="11" t="s">
        <v>177</v>
      </c>
      <c r="M48" s="11">
        <v>4800000</v>
      </c>
      <c r="N48" s="11">
        <v>1</v>
      </c>
      <c r="O48" s="11">
        <v>7</v>
      </c>
      <c r="P48" s="11">
        <v>7.0000000000000007E-2</v>
      </c>
      <c r="Q48" s="11">
        <v>0</v>
      </c>
      <c r="R48" s="11" t="s">
        <v>374</v>
      </c>
      <c r="S48" s="11" t="s">
        <v>84</v>
      </c>
      <c r="T48" s="11" t="s">
        <v>85</v>
      </c>
      <c r="U48" s="11" t="s">
        <v>375</v>
      </c>
      <c r="V48" s="11"/>
      <c r="W48" s="11"/>
      <c r="X48" s="11"/>
      <c r="Y48" s="11"/>
      <c r="Z48" s="11" t="s">
        <v>87</v>
      </c>
      <c r="AA48" s="11" t="s">
        <v>88</v>
      </c>
      <c r="AB48" s="11" t="s">
        <v>89</v>
      </c>
    </row>
    <row r="49" spans="1:28" ht="39" x14ac:dyDescent="0.5">
      <c r="A49" s="3">
        <v>48</v>
      </c>
      <c r="B49" s="3" t="s">
        <v>310</v>
      </c>
      <c r="C49" s="3" t="s">
        <v>365</v>
      </c>
      <c r="D49" s="3" t="s">
        <v>376</v>
      </c>
      <c r="E49" s="3" t="s">
        <v>377</v>
      </c>
      <c r="F49" s="3" t="s">
        <v>378</v>
      </c>
      <c r="G49" s="3" t="s">
        <v>28</v>
      </c>
      <c r="H49" s="3" t="s">
        <v>30</v>
      </c>
      <c r="I49" s="9">
        <v>130000</v>
      </c>
      <c r="J49" s="7">
        <v>150000</v>
      </c>
      <c r="K49" s="7">
        <v>110000</v>
      </c>
      <c r="L49" s="3" t="s">
        <v>201</v>
      </c>
      <c r="M49" s="3">
        <v>18000000</v>
      </c>
      <c r="N49" s="3">
        <v>1</v>
      </c>
      <c r="O49" s="3">
        <v>8</v>
      </c>
      <c r="P49" s="3">
        <v>0.08</v>
      </c>
      <c r="Q49" s="3">
        <v>0.5</v>
      </c>
      <c r="R49" s="3" t="s">
        <v>379</v>
      </c>
      <c r="S49" s="3" t="s">
        <v>140</v>
      </c>
      <c r="T49" s="3" t="s">
        <v>85</v>
      </c>
      <c r="U49" s="3" t="s">
        <v>380</v>
      </c>
      <c r="V49" s="3"/>
      <c r="W49" s="3"/>
      <c r="X49" s="3"/>
      <c r="Y49" s="3"/>
      <c r="Z49" s="3" t="s">
        <v>87</v>
      </c>
      <c r="AA49" s="3" t="s">
        <v>102</v>
      </c>
      <c r="AB49" s="3" t="s">
        <v>89</v>
      </c>
    </row>
    <row r="50" spans="1:28" ht="39" x14ac:dyDescent="0.5">
      <c r="A50" s="11">
        <v>49</v>
      </c>
      <c r="B50" s="11" t="s">
        <v>310</v>
      </c>
      <c r="C50" s="11" t="s">
        <v>381</v>
      </c>
      <c r="D50" s="11" t="s">
        <v>382</v>
      </c>
      <c r="E50" s="11" t="s">
        <v>383</v>
      </c>
      <c r="F50" s="11" t="s">
        <v>384</v>
      </c>
      <c r="G50" s="11" t="s">
        <v>28</v>
      </c>
      <c r="H50" s="11" t="s">
        <v>30</v>
      </c>
      <c r="I50" s="12">
        <v>130000</v>
      </c>
      <c r="J50" s="13">
        <v>150000</v>
      </c>
      <c r="K50" s="13">
        <v>95000</v>
      </c>
      <c r="L50" s="11" t="s">
        <v>177</v>
      </c>
      <c r="M50" s="11">
        <v>18000000</v>
      </c>
      <c r="N50" s="11">
        <v>1</v>
      </c>
      <c r="O50" s="11">
        <v>10</v>
      </c>
      <c r="P50" s="11">
        <v>0.06</v>
      </c>
      <c r="Q50" s="11">
        <v>0.5</v>
      </c>
      <c r="R50" s="11" t="s">
        <v>385</v>
      </c>
      <c r="S50" s="11" t="s">
        <v>140</v>
      </c>
      <c r="T50" s="11" t="s">
        <v>85</v>
      </c>
      <c r="U50" s="11" t="s">
        <v>386</v>
      </c>
      <c r="V50" s="11"/>
      <c r="W50" s="11"/>
      <c r="X50" s="11"/>
      <c r="Y50" s="11"/>
      <c r="Z50" s="11" t="s">
        <v>87</v>
      </c>
      <c r="AA50" s="11" t="s">
        <v>88</v>
      </c>
      <c r="AB50" s="11" t="s">
        <v>89</v>
      </c>
    </row>
    <row r="51" spans="1:28" ht="26" x14ac:dyDescent="0.5">
      <c r="A51" s="3">
        <v>50</v>
      </c>
      <c r="B51" s="3" t="s">
        <v>387</v>
      </c>
      <c r="C51" s="3" t="s">
        <v>388</v>
      </c>
      <c r="D51" s="3" t="s">
        <v>389</v>
      </c>
      <c r="E51" s="3" t="s">
        <v>390</v>
      </c>
      <c r="F51" s="3" t="s">
        <v>391</v>
      </c>
      <c r="G51" s="3" t="s">
        <v>26</v>
      </c>
      <c r="H51" s="3" t="s">
        <v>28</v>
      </c>
      <c r="I51" s="9">
        <v>110000</v>
      </c>
      <c r="J51" s="7">
        <v>130000</v>
      </c>
      <c r="K51" s="7">
        <v>105000</v>
      </c>
      <c r="L51" s="3" t="s">
        <v>82</v>
      </c>
      <c r="M51" s="3">
        <v>15200000</v>
      </c>
      <c r="N51" s="3">
        <v>1</v>
      </c>
      <c r="O51" s="3">
        <v>8</v>
      </c>
      <c r="P51" s="3">
        <v>0.06</v>
      </c>
      <c r="Q51" s="3">
        <v>0.2</v>
      </c>
      <c r="R51" s="3" t="s">
        <v>392</v>
      </c>
      <c r="S51" s="3" t="s">
        <v>84</v>
      </c>
      <c r="T51" s="3" t="s">
        <v>85</v>
      </c>
      <c r="U51" s="3" t="s">
        <v>393</v>
      </c>
      <c r="V51" s="3"/>
      <c r="W51" s="3"/>
      <c r="X51" s="3"/>
      <c r="Y51" s="3"/>
      <c r="Z51" s="3" t="s">
        <v>87</v>
      </c>
      <c r="AA51" s="3" t="s">
        <v>127</v>
      </c>
      <c r="AB51" s="3" t="s">
        <v>89</v>
      </c>
    </row>
    <row r="52" spans="1:28" ht="26" x14ac:dyDescent="0.5">
      <c r="A52" s="11">
        <v>51</v>
      </c>
      <c r="B52" s="11" t="s">
        <v>387</v>
      </c>
      <c r="C52" s="11" t="s">
        <v>394</v>
      </c>
      <c r="D52" s="11" t="s">
        <v>395</v>
      </c>
      <c r="E52" s="11" t="s">
        <v>396</v>
      </c>
      <c r="F52" s="11" t="s">
        <v>397</v>
      </c>
      <c r="G52" s="11" t="s">
        <v>26</v>
      </c>
      <c r="H52" s="11" t="s">
        <v>28</v>
      </c>
      <c r="I52" s="12">
        <v>28000</v>
      </c>
      <c r="J52" s="13">
        <v>33000</v>
      </c>
      <c r="K52" s="13">
        <v>26000</v>
      </c>
      <c r="L52" s="11" t="s">
        <v>82</v>
      </c>
      <c r="M52" s="11">
        <v>3850000</v>
      </c>
      <c r="N52" s="11">
        <v>1</v>
      </c>
      <c r="O52" s="11">
        <v>20</v>
      </c>
      <c r="P52" s="11">
        <v>0.02</v>
      </c>
      <c r="Q52" s="11">
        <v>0</v>
      </c>
      <c r="R52" s="11" t="s">
        <v>398</v>
      </c>
      <c r="S52" s="11" t="s">
        <v>140</v>
      </c>
      <c r="T52" s="11" t="s">
        <v>85</v>
      </c>
      <c r="U52" s="11" t="s">
        <v>399</v>
      </c>
      <c r="V52" s="11"/>
      <c r="W52" s="11"/>
      <c r="X52" s="11"/>
      <c r="Y52" s="11"/>
      <c r="Z52" s="11" t="s">
        <v>87</v>
      </c>
      <c r="AA52" s="11" t="s">
        <v>102</v>
      </c>
      <c r="AB52" s="11" t="s">
        <v>89</v>
      </c>
    </row>
    <row r="53" spans="1:28" ht="26" x14ac:dyDescent="0.5">
      <c r="A53" s="3">
        <v>52</v>
      </c>
      <c r="B53" s="3" t="s">
        <v>387</v>
      </c>
      <c r="C53" s="3" t="s">
        <v>400</v>
      </c>
      <c r="D53" s="3" t="s">
        <v>401</v>
      </c>
      <c r="E53" s="3" t="s">
        <v>402</v>
      </c>
      <c r="F53" s="3" t="s">
        <v>403</v>
      </c>
      <c r="G53" s="3" t="s">
        <v>26</v>
      </c>
      <c r="H53" s="3" t="s">
        <v>28</v>
      </c>
      <c r="I53" s="9">
        <v>60000</v>
      </c>
      <c r="J53" s="7">
        <v>72000</v>
      </c>
      <c r="K53" s="7">
        <v>56000</v>
      </c>
      <c r="L53" s="3" t="s">
        <v>82</v>
      </c>
      <c r="M53" s="3">
        <v>8200000</v>
      </c>
      <c r="N53" s="3">
        <v>1</v>
      </c>
      <c r="O53" s="3">
        <v>12</v>
      </c>
      <c r="P53" s="3">
        <v>0.03</v>
      </c>
      <c r="Q53" s="3">
        <v>0.2</v>
      </c>
      <c r="R53" s="3" t="s">
        <v>404</v>
      </c>
      <c r="S53" s="3" t="s">
        <v>84</v>
      </c>
      <c r="T53" s="3" t="s">
        <v>85</v>
      </c>
      <c r="U53" s="3" t="s">
        <v>405</v>
      </c>
      <c r="V53" s="3"/>
      <c r="W53" s="3"/>
      <c r="X53" s="3"/>
      <c r="Y53" s="3"/>
      <c r="Z53" s="3" t="s">
        <v>87</v>
      </c>
      <c r="AA53" s="3" t="s">
        <v>102</v>
      </c>
      <c r="AB53" s="3" t="s">
        <v>89</v>
      </c>
    </row>
    <row r="54" spans="1:28" ht="26" x14ac:dyDescent="0.5">
      <c r="A54" s="11">
        <v>53</v>
      </c>
      <c r="B54" s="11" t="s">
        <v>387</v>
      </c>
      <c r="C54" s="11" t="s">
        <v>406</v>
      </c>
      <c r="D54" s="11" t="s">
        <v>407</v>
      </c>
      <c r="E54" s="11" t="s">
        <v>408</v>
      </c>
      <c r="F54" s="11" t="s">
        <v>409</v>
      </c>
      <c r="G54" s="11" t="s">
        <v>26</v>
      </c>
      <c r="H54" s="11" t="s">
        <v>28</v>
      </c>
      <c r="I54" s="12">
        <v>18000</v>
      </c>
      <c r="J54" s="13">
        <v>22000</v>
      </c>
      <c r="K54" s="13">
        <v>17000</v>
      </c>
      <c r="L54" s="11" t="s">
        <v>82</v>
      </c>
      <c r="M54" s="11">
        <v>2480000</v>
      </c>
      <c r="N54" s="11">
        <v>1</v>
      </c>
      <c r="O54" s="11">
        <v>25</v>
      </c>
      <c r="P54" s="11">
        <v>0.02</v>
      </c>
      <c r="Q54" s="11">
        <v>0</v>
      </c>
      <c r="R54" s="11" t="s">
        <v>410</v>
      </c>
      <c r="S54" s="11" t="s">
        <v>140</v>
      </c>
      <c r="T54" s="11" t="s">
        <v>85</v>
      </c>
      <c r="U54" s="11" t="s">
        <v>411</v>
      </c>
      <c r="V54" s="11"/>
      <c r="W54" s="11"/>
      <c r="X54" s="11"/>
      <c r="Y54" s="11"/>
      <c r="Z54" s="11" t="s">
        <v>412</v>
      </c>
      <c r="AA54" s="11" t="s">
        <v>127</v>
      </c>
      <c r="AB54" s="11" t="s">
        <v>89</v>
      </c>
    </row>
    <row r="55" spans="1:28" ht="26" x14ac:dyDescent="0.5">
      <c r="A55" s="3">
        <v>54</v>
      </c>
      <c r="B55" s="3" t="s">
        <v>387</v>
      </c>
      <c r="C55" s="3" t="s">
        <v>413</v>
      </c>
      <c r="D55" s="3" t="s">
        <v>414</v>
      </c>
      <c r="E55" s="3" t="s">
        <v>415</v>
      </c>
      <c r="F55" s="3" t="s">
        <v>416</v>
      </c>
      <c r="G55" s="3" t="s">
        <v>26</v>
      </c>
      <c r="H55" s="3" t="s">
        <v>28</v>
      </c>
      <c r="I55" s="9">
        <v>180000</v>
      </c>
      <c r="J55" s="7">
        <v>210000</v>
      </c>
      <c r="K55" s="7">
        <v>170000</v>
      </c>
      <c r="L55" s="3" t="s">
        <v>82</v>
      </c>
      <c r="M55" s="3">
        <v>25000000</v>
      </c>
      <c r="N55" s="3">
        <v>1</v>
      </c>
      <c r="O55" s="3">
        <v>10</v>
      </c>
      <c r="P55" s="3">
        <v>0.04</v>
      </c>
      <c r="Q55" s="3">
        <v>0.5</v>
      </c>
      <c r="R55" s="3" t="s">
        <v>417</v>
      </c>
      <c r="S55" s="3" t="s">
        <v>84</v>
      </c>
      <c r="T55" s="3" t="s">
        <v>85</v>
      </c>
      <c r="U55" s="3" t="s">
        <v>418</v>
      </c>
      <c r="V55" s="3"/>
      <c r="W55" s="3"/>
      <c r="X55" s="3"/>
      <c r="Y55" s="3"/>
      <c r="Z55" s="3" t="s">
        <v>412</v>
      </c>
      <c r="AA55" s="3" t="s">
        <v>127</v>
      </c>
      <c r="AB55" s="3" t="s">
        <v>89</v>
      </c>
    </row>
    <row r="56" spans="1:28" ht="26" x14ac:dyDescent="0.5">
      <c r="A56" s="11">
        <v>55</v>
      </c>
      <c r="B56" s="11" t="s">
        <v>387</v>
      </c>
      <c r="C56" s="11" t="s">
        <v>419</v>
      </c>
      <c r="D56" s="11" t="s">
        <v>420</v>
      </c>
      <c r="E56" s="11" t="s">
        <v>421</v>
      </c>
      <c r="F56" s="11" t="s">
        <v>422</v>
      </c>
      <c r="G56" s="11" t="s">
        <v>26</v>
      </c>
      <c r="H56" s="11" t="s">
        <v>26</v>
      </c>
      <c r="I56" s="12">
        <v>45000</v>
      </c>
      <c r="J56" s="13">
        <v>54000</v>
      </c>
      <c r="K56" s="13">
        <v>42000</v>
      </c>
      <c r="L56" s="11" t="s">
        <v>82</v>
      </c>
      <c r="M56" s="11">
        <v>6200000</v>
      </c>
      <c r="N56" s="11">
        <v>1</v>
      </c>
      <c r="O56" s="11">
        <v>10</v>
      </c>
      <c r="P56" s="11">
        <v>0.05</v>
      </c>
      <c r="Q56" s="11">
        <v>1</v>
      </c>
      <c r="R56" s="11" t="s">
        <v>423</v>
      </c>
      <c r="S56" s="11" t="s">
        <v>84</v>
      </c>
      <c r="T56" s="11" t="s">
        <v>85</v>
      </c>
      <c r="U56" s="11" t="s">
        <v>424</v>
      </c>
      <c r="V56" s="11"/>
      <c r="W56" s="11"/>
      <c r="X56" s="11"/>
      <c r="Y56" s="11"/>
      <c r="Z56" s="11" t="s">
        <v>412</v>
      </c>
      <c r="AA56" s="11" t="s">
        <v>127</v>
      </c>
      <c r="AB56" s="11" t="s">
        <v>89</v>
      </c>
    </row>
    <row r="57" spans="1:28" ht="26" x14ac:dyDescent="0.5">
      <c r="A57" s="3">
        <v>56</v>
      </c>
      <c r="B57" s="3" t="s">
        <v>425</v>
      </c>
      <c r="C57" s="3" t="s">
        <v>426</v>
      </c>
      <c r="D57" s="3" t="s">
        <v>427</v>
      </c>
      <c r="E57" s="3" t="s">
        <v>428</v>
      </c>
      <c r="F57" s="3" t="s">
        <v>429</v>
      </c>
      <c r="G57" s="3" t="s">
        <v>26</v>
      </c>
      <c r="H57" s="3" t="s">
        <v>26</v>
      </c>
      <c r="I57" s="9">
        <v>35000</v>
      </c>
      <c r="J57" s="7">
        <v>42000</v>
      </c>
      <c r="K57" s="7">
        <v>33000</v>
      </c>
      <c r="L57" s="3" t="s">
        <v>82</v>
      </c>
      <c r="M57" s="3">
        <v>4800000</v>
      </c>
      <c r="N57" s="3">
        <v>2</v>
      </c>
      <c r="O57" s="3">
        <v>15</v>
      </c>
      <c r="P57" s="3">
        <v>0.05</v>
      </c>
      <c r="Q57" s="3">
        <v>0.05</v>
      </c>
      <c r="R57" s="3" t="s">
        <v>430</v>
      </c>
      <c r="S57" s="3" t="s">
        <v>84</v>
      </c>
      <c r="T57" s="3" t="s">
        <v>85</v>
      </c>
      <c r="U57" s="3" t="s">
        <v>431</v>
      </c>
      <c r="V57" s="3"/>
      <c r="W57" s="3"/>
      <c r="X57" s="3"/>
      <c r="Y57" s="3"/>
      <c r="Z57" s="3" t="s">
        <v>432</v>
      </c>
      <c r="AA57" s="3" t="s">
        <v>127</v>
      </c>
      <c r="AB57" s="3" t="s">
        <v>89</v>
      </c>
    </row>
    <row r="58" spans="1:28" ht="26" x14ac:dyDescent="0.5">
      <c r="A58" s="11">
        <v>57</v>
      </c>
      <c r="B58" s="11" t="s">
        <v>425</v>
      </c>
      <c r="C58" s="11" t="s">
        <v>433</v>
      </c>
      <c r="D58" s="11" t="s">
        <v>434</v>
      </c>
      <c r="E58" s="11" t="s">
        <v>435</v>
      </c>
      <c r="F58" s="11" t="s">
        <v>436</v>
      </c>
      <c r="G58" s="11" t="s">
        <v>26</v>
      </c>
      <c r="H58" s="11" t="s">
        <v>28</v>
      </c>
      <c r="I58" s="12">
        <v>28000</v>
      </c>
      <c r="J58" s="13">
        <v>33000</v>
      </c>
      <c r="K58" s="13">
        <v>26000</v>
      </c>
      <c r="L58" s="11" t="s">
        <v>82</v>
      </c>
      <c r="M58" s="11">
        <v>3800000</v>
      </c>
      <c r="N58" s="11">
        <v>2</v>
      </c>
      <c r="O58" s="11">
        <v>10</v>
      </c>
      <c r="P58" s="11">
        <v>0.06</v>
      </c>
      <c r="Q58" s="11">
        <v>0.3</v>
      </c>
      <c r="R58" s="11" t="s">
        <v>437</v>
      </c>
      <c r="S58" s="11" t="s">
        <v>140</v>
      </c>
      <c r="T58" s="11" t="s">
        <v>85</v>
      </c>
      <c r="U58" s="11" t="s">
        <v>438</v>
      </c>
      <c r="V58" s="11"/>
      <c r="W58" s="11"/>
      <c r="X58" s="11"/>
      <c r="Y58" s="11"/>
      <c r="Z58" s="11" t="s">
        <v>412</v>
      </c>
      <c r="AA58" s="11" t="s">
        <v>127</v>
      </c>
      <c r="AB58" s="11" t="s">
        <v>89</v>
      </c>
    </row>
    <row r="59" spans="1:28" ht="26" x14ac:dyDescent="0.5">
      <c r="A59" s="3">
        <v>58</v>
      </c>
      <c r="B59" s="3" t="s">
        <v>425</v>
      </c>
      <c r="C59" s="3" t="s">
        <v>439</v>
      </c>
      <c r="D59" s="3" t="s">
        <v>440</v>
      </c>
      <c r="E59" s="3" t="s">
        <v>441</v>
      </c>
      <c r="F59" s="3" t="s">
        <v>442</v>
      </c>
      <c r="G59" s="3" t="s">
        <v>26</v>
      </c>
      <c r="H59" s="3" t="s">
        <v>30</v>
      </c>
      <c r="I59" s="9">
        <v>90000</v>
      </c>
      <c r="J59" s="7">
        <v>110000</v>
      </c>
      <c r="K59" s="7">
        <v>85000</v>
      </c>
      <c r="L59" s="3" t="s">
        <v>82</v>
      </c>
      <c r="M59" s="3">
        <v>12500000</v>
      </c>
      <c r="N59" s="3">
        <v>1</v>
      </c>
      <c r="O59" s="3">
        <v>20</v>
      </c>
      <c r="P59" s="3">
        <v>0.04</v>
      </c>
      <c r="Q59" s="3">
        <v>0.2</v>
      </c>
      <c r="R59" s="3" t="s">
        <v>443</v>
      </c>
      <c r="S59" s="3" t="s">
        <v>84</v>
      </c>
      <c r="T59" s="3" t="s">
        <v>85</v>
      </c>
      <c r="U59" s="3" t="s">
        <v>444</v>
      </c>
      <c r="V59" s="3"/>
      <c r="W59" s="3"/>
      <c r="X59" s="3"/>
      <c r="Y59" s="3"/>
      <c r="Z59" s="3" t="s">
        <v>412</v>
      </c>
      <c r="AA59" s="3" t="s">
        <v>127</v>
      </c>
      <c r="AB59" s="3" t="s">
        <v>89</v>
      </c>
    </row>
    <row r="60" spans="1:28" ht="39" x14ac:dyDescent="0.5">
      <c r="A60" s="11">
        <v>59</v>
      </c>
      <c r="B60" s="11" t="s">
        <v>425</v>
      </c>
      <c r="C60" s="11" t="s">
        <v>445</v>
      </c>
      <c r="D60" s="11" t="s">
        <v>446</v>
      </c>
      <c r="E60" s="11" t="s">
        <v>447</v>
      </c>
      <c r="F60" s="11" t="s">
        <v>448</v>
      </c>
      <c r="G60" s="11" t="s">
        <v>26</v>
      </c>
      <c r="H60" s="11" t="s">
        <v>30</v>
      </c>
      <c r="I60" s="12">
        <v>45000</v>
      </c>
      <c r="J60" s="13">
        <v>55000</v>
      </c>
      <c r="K60" s="13">
        <v>43000</v>
      </c>
      <c r="L60" s="11" t="s">
        <v>82</v>
      </c>
      <c r="M60" s="11">
        <v>6200000</v>
      </c>
      <c r="N60" s="11">
        <v>1</v>
      </c>
      <c r="O60" s="11">
        <v>20</v>
      </c>
      <c r="P60" s="11">
        <v>0.04</v>
      </c>
      <c r="Q60" s="11">
        <v>0.1</v>
      </c>
      <c r="R60" s="11" t="s">
        <v>449</v>
      </c>
      <c r="S60" s="11" t="s">
        <v>321</v>
      </c>
      <c r="T60" s="11" t="s">
        <v>85</v>
      </c>
      <c r="U60" s="11" t="s">
        <v>450</v>
      </c>
      <c r="V60" s="11"/>
      <c r="W60" s="11"/>
      <c r="X60" s="11"/>
      <c r="Y60" s="11"/>
      <c r="Z60" s="11" t="s">
        <v>451</v>
      </c>
      <c r="AA60" s="11" t="s">
        <v>88</v>
      </c>
      <c r="AB60" s="11" t="s">
        <v>89</v>
      </c>
    </row>
    <row r="61" spans="1:28" ht="26" x14ac:dyDescent="0.5">
      <c r="A61" s="3">
        <v>60</v>
      </c>
      <c r="B61" s="3" t="s">
        <v>425</v>
      </c>
      <c r="C61" s="3" t="s">
        <v>452</v>
      </c>
      <c r="D61" s="3" t="s">
        <v>453</v>
      </c>
      <c r="E61" s="3" t="s">
        <v>454</v>
      </c>
      <c r="F61" s="3" t="s">
        <v>455</v>
      </c>
      <c r="G61" s="3" t="s">
        <v>26</v>
      </c>
      <c r="H61" s="3" t="s">
        <v>28</v>
      </c>
      <c r="I61" s="9">
        <v>5500</v>
      </c>
      <c r="J61" s="7">
        <v>6800</v>
      </c>
      <c r="K61" s="7">
        <v>5200</v>
      </c>
      <c r="L61" s="3" t="s">
        <v>82</v>
      </c>
      <c r="M61" s="3">
        <v>760000</v>
      </c>
      <c r="N61" s="3">
        <v>14</v>
      </c>
      <c r="O61" s="3">
        <v>10</v>
      </c>
      <c r="P61" s="3">
        <v>0.04</v>
      </c>
      <c r="Q61" s="3">
        <v>0</v>
      </c>
      <c r="R61" s="3" t="s">
        <v>456</v>
      </c>
      <c r="S61" s="3" t="s">
        <v>140</v>
      </c>
      <c r="T61" s="3" t="s">
        <v>85</v>
      </c>
      <c r="U61" s="3" t="s">
        <v>457</v>
      </c>
      <c r="V61" s="3"/>
      <c r="W61" s="3"/>
      <c r="X61" s="3"/>
      <c r="Y61" s="3"/>
      <c r="Z61" s="3" t="s">
        <v>412</v>
      </c>
      <c r="AA61" s="3" t="s">
        <v>127</v>
      </c>
      <c r="AB61" s="3" t="s">
        <v>89</v>
      </c>
    </row>
    <row r="62" spans="1:28" ht="26" x14ac:dyDescent="0.5">
      <c r="A62" s="11">
        <v>61</v>
      </c>
      <c r="B62" s="11" t="s">
        <v>425</v>
      </c>
      <c r="C62" s="11" t="s">
        <v>458</v>
      </c>
      <c r="D62" s="11" t="s">
        <v>459</v>
      </c>
      <c r="E62" s="11" t="s">
        <v>460</v>
      </c>
      <c r="F62" s="11" t="s">
        <v>461</v>
      </c>
      <c r="G62" s="11" t="s">
        <v>26</v>
      </c>
      <c r="H62" s="11" t="s">
        <v>28</v>
      </c>
      <c r="I62" s="12">
        <v>60000</v>
      </c>
      <c r="J62" s="13">
        <v>72000</v>
      </c>
      <c r="K62" s="13">
        <v>58000</v>
      </c>
      <c r="L62" s="11" t="s">
        <v>82</v>
      </c>
      <c r="M62" s="11">
        <v>8200000</v>
      </c>
      <c r="N62" s="11">
        <v>1</v>
      </c>
      <c r="O62" s="11">
        <v>15</v>
      </c>
      <c r="P62" s="11">
        <v>0.05</v>
      </c>
      <c r="Q62" s="11">
        <v>0.2</v>
      </c>
      <c r="R62" s="11" t="s">
        <v>462</v>
      </c>
      <c r="S62" s="11" t="s">
        <v>84</v>
      </c>
      <c r="T62" s="11" t="s">
        <v>85</v>
      </c>
      <c r="U62" s="11" t="s">
        <v>463</v>
      </c>
      <c r="V62" s="11"/>
      <c r="W62" s="11"/>
      <c r="X62" s="11"/>
      <c r="Y62" s="11"/>
      <c r="Z62" s="11" t="s">
        <v>266</v>
      </c>
      <c r="AA62" s="11" t="s">
        <v>88</v>
      </c>
      <c r="AB62" s="11" t="s">
        <v>267</v>
      </c>
    </row>
    <row r="63" spans="1:28" ht="26" x14ac:dyDescent="0.5">
      <c r="A63" s="3">
        <v>62</v>
      </c>
      <c r="B63" s="3" t="s">
        <v>425</v>
      </c>
      <c r="C63" s="3" t="s">
        <v>464</v>
      </c>
      <c r="D63" s="3" t="s">
        <v>465</v>
      </c>
      <c r="E63" s="3" t="s">
        <v>466</v>
      </c>
      <c r="F63" s="3" t="s">
        <v>467</v>
      </c>
      <c r="G63" s="3" t="s">
        <v>26</v>
      </c>
      <c r="H63" s="3" t="s">
        <v>28</v>
      </c>
      <c r="I63" s="9">
        <v>280000</v>
      </c>
      <c r="J63" s="7">
        <v>330000</v>
      </c>
      <c r="K63" s="7">
        <v>270000</v>
      </c>
      <c r="L63" s="3" t="s">
        <v>82</v>
      </c>
      <c r="M63" s="3">
        <v>38500000</v>
      </c>
      <c r="N63" s="3">
        <v>1</v>
      </c>
      <c r="O63" s="3">
        <v>25</v>
      </c>
      <c r="P63" s="3">
        <v>0.05</v>
      </c>
      <c r="Q63" s="3">
        <v>0.5</v>
      </c>
      <c r="R63" s="3" t="s">
        <v>468</v>
      </c>
      <c r="S63" s="3" t="s">
        <v>321</v>
      </c>
      <c r="T63" s="3" t="s">
        <v>85</v>
      </c>
      <c r="U63" s="3" t="s">
        <v>469</v>
      </c>
      <c r="V63" s="3"/>
      <c r="W63" s="3"/>
      <c r="X63" s="3"/>
      <c r="Y63" s="3"/>
      <c r="Z63" s="3" t="s">
        <v>470</v>
      </c>
      <c r="AA63" s="3" t="s">
        <v>127</v>
      </c>
      <c r="AB63" s="3" t="s">
        <v>89</v>
      </c>
    </row>
    <row r="64" spans="1:28" ht="26" x14ac:dyDescent="0.5">
      <c r="A64" s="11">
        <v>63</v>
      </c>
      <c r="B64" s="11" t="s">
        <v>425</v>
      </c>
      <c r="C64" s="11" t="s">
        <v>471</v>
      </c>
      <c r="D64" s="11" t="s">
        <v>472</v>
      </c>
      <c r="E64" s="11" t="s">
        <v>473</v>
      </c>
      <c r="F64" s="11" t="s">
        <v>474</v>
      </c>
      <c r="G64" s="11" t="s">
        <v>26</v>
      </c>
      <c r="H64" s="11" t="s">
        <v>28</v>
      </c>
      <c r="I64" s="12">
        <v>22000</v>
      </c>
      <c r="J64" s="13">
        <v>26000</v>
      </c>
      <c r="K64" s="13">
        <v>20000</v>
      </c>
      <c r="L64" s="11" t="s">
        <v>82</v>
      </c>
      <c r="M64" s="11">
        <v>3000000</v>
      </c>
      <c r="N64" s="11">
        <v>2</v>
      </c>
      <c r="O64" s="11">
        <v>12</v>
      </c>
      <c r="P64" s="11">
        <v>0.05</v>
      </c>
      <c r="Q64" s="11">
        <v>0.5</v>
      </c>
      <c r="R64" s="11" t="s">
        <v>475</v>
      </c>
      <c r="S64" s="11" t="s">
        <v>84</v>
      </c>
      <c r="T64" s="11" t="s">
        <v>85</v>
      </c>
      <c r="U64" s="11" t="s">
        <v>476</v>
      </c>
      <c r="V64" s="11"/>
      <c r="W64" s="11"/>
      <c r="X64" s="11"/>
      <c r="Y64" s="11"/>
      <c r="Z64" s="11" t="s">
        <v>470</v>
      </c>
      <c r="AA64" s="11" t="s">
        <v>127</v>
      </c>
      <c r="AB64" s="11" t="s">
        <v>89</v>
      </c>
    </row>
    <row r="65" spans="1:28" ht="26" x14ac:dyDescent="0.5">
      <c r="A65" s="3">
        <v>64</v>
      </c>
      <c r="B65" s="3" t="s">
        <v>425</v>
      </c>
      <c r="C65" s="3" t="s">
        <v>477</v>
      </c>
      <c r="D65" s="3" t="s">
        <v>478</v>
      </c>
      <c r="E65" s="3" t="s">
        <v>479</v>
      </c>
      <c r="F65" s="3" t="s">
        <v>480</v>
      </c>
      <c r="G65" s="3" t="s">
        <v>26</v>
      </c>
      <c r="H65" s="3" t="s">
        <v>30</v>
      </c>
      <c r="I65" s="9">
        <v>22000</v>
      </c>
      <c r="J65" s="7">
        <v>26000</v>
      </c>
      <c r="K65" s="7">
        <v>20000</v>
      </c>
      <c r="L65" s="3" t="s">
        <v>82</v>
      </c>
      <c r="M65" s="3">
        <v>3000000</v>
      </c>
      <c r="N65" s="3">
        <v>2</v>
      </c>
      <c r="O65" s="3">
        <v>12</v>
      </c>
      <c r="P65" s="3">
        <v>0.05</v>
      </c>
      <c r="Q65" s="3">
        <v>0</v>
      </c>
      <c r="R65" s="3" t="s">
        <v>481</v>
      </c>
      <c r="S65" s="3" t="s">
        <v>84</v>
      </c>
      <c r="T65" s="3" t="s">
        <v>85</v>
      </c>
      <c r="U65" s="3" t="s">
        <v>482</v>
      </c>
      <c r="V65" s="3"/>
      <c r="W65" s="3"/>
      <c r="X65" s="3"/>
      <c r="Y65" s="3"/>
      <c r="Z65" s="3" t="s">
        <v>259</v>
      </c>
      <c r="AA65" s="3" t="s">
        <v>127</v>
      </c>
      <c r="AB65" s="3" t="s">
        <v>267</v>
      </c>
    </row>
    <row r="66" spans="1:28" ht="26" x14ac:dyDescent="0.5">
      <c r="A66" s="11">
        <v>65</v>
      </c>
      <c r="B66" s="11" t="s">
        <v>483</v>
      </c>
      <c r="C66" s="11" t="s">
        <v>484</v>
      </c>
      <c r="D66" s="11" t="s">
        <v>485</v>
      </c>
      <c r="E66" s="11" t="s">
        <v>486</v>
      </c>
      <c r="F66" s="11" t="s">
        <v>487</v>
      </c>
      <c r="G66" s="11" t="s">
        <v>26</v>
      </c>
      <c r="H66" s="11" t="s">
        <v>30</v>
      </c>
      <c r="I66" s="12">
        <v>165000</v>
      </c>
      <c r="J66" s="13">
        <v>200000</v>
      </c>
      <c r="K66" s="13">
        <v>130000</v>
      </c>
      <c r="L66" s="11" t="s">
        <v>177</v>
      </c>
      <c r="M66" s="11">
        <v>20500000</v>
      </c>
      <c r="N66" s="11">
        <v>1</v>
      </c>
      <c r="O66" s="11">
        <v>12</v>
      </c>
      <c r="P66" s="11">
        <v>0.04</v>
      </c>
      <c r="Q66" s="11">
        <v>0</v>
      </c>
      <c r="R66" s="11" t="s">
        <v>488</v>
      </c>
      <c r="S66" s="11" t="s">
        <v>140</v>
      </c>
      <c r="T66" s="11" t="s">
        <v>85</v>
      </c>
      <c r="U66" s="11" t="s">
        <v>489</v>
      </c>
      <c r="V66" s="11"/>
      <c r="W66" s="11"/>
      <c r="X66" s="11"/>
      <c r="Y66" s="11"/>
      <c r="Z66" s="11" t="s">
        <v>412</v>
      </c>
      <c r="AA66" s="11" t="s">
        <v>127</v>
      </c>
      <c r="AB66" s="11" t="s">
        <v>89</v>
      </c>
    </row>
    <row r="67" spans="1:28" ht="39" x14ac:dyDescent="0.5">
      <c r="A67" s="3">
        <v>66</v>
      </c>
      <c r="B67" s="3" t="s">
        <v>483</v>
      </c>
      <c r="C67" s="3" t="s">
        <v>490</v>
      </c>
      <c r="D67" s="3" t="s">
        <v>491</v>
      </c>
      <c r="E67" s="3" t="s">
        <v>492</v>
      </c>
      <c r="F67" s="3" t="s">
        <v>493</v>
      </c>
      <c r="G67" s="3" t="s">
        <v>28</v>
      </c>
      <c r="H67" s="3" t="s">
        <v>30</v>
      </c>
      <c r="I67" s="9">
        <v>180000</v>
      </c>
      <c r="J67" s="7">
        <v>220000</v>
      </c>
      <c r="K67" s="7">
        <v>150000</v>
      </c>
      <c r="L67" s="3" t="s">
        <v>201</v>
      </c>
      <c r="M67" s="3">
        <v>12000000</v>
      </c>
      <c r="N67" s="3">
        <v>1</v>
      </c>
      <c r="O67" s="3">
        <v>7</v>
      </c>
      <c r="P67" s="3">
        <v>0</v>
      </c>
      <c r="Q67" s="3">
        <v>0.5</v>
      </c>
      <c r="R67" s="3" t="s">
        <v>494</v>
      </c>
      <c r="S67" s="3" t="s">
        <v>84</v>
      </c>
      <c r="T67" s="3" t="s">
        <v>85</v>
      </c>
      <c r="U67" s="3" t="s">
        <v>495</v>
      </c>
      <c r="V67" s="3">
        <v>90000</v>
      </c>
      <c r="W67" s="3">
        <v>110000</v>
      </c>
      <c r="X67" s="3">
        <v>75000</v>
      </c>
      <c r="Y67" s="3">
        <v>6000000</v>
      </c>
      <c r="Z67" s="3" t="s">
        <v>432</v>
      </c>
      <c r="AA67" s="3" t="s">
        <v>127</v>
      </c>
      <c r="AB67" s="3" t="s">
        <v>89</v>
      </c>
    </row>
    <row r="68" spans="1:28" ht="26" x14ac:dyDescent="0.5">
      <c r="A68" s="11">
        <v>67</v>
      </c>
      <c r="B68" s="11" t="s">
        <v>483</v>
      </c>
      <c r="C68" s="11" t="s">
        <v>496</v>
      </c>
      <c r="D68" s="11" t="s">
        <v>497</v>
      </c>
      <c r="E68" s="11" t="s">
        <v>498</v>
      </c>
      <c r="F68" s="11" t="s">
        <v>499</v>
      </c>
      <c r="G68" s="11" t="s">
        <v>32</v>
      </c>
      <c r="H68" s="11" t="s">
        <v>32</v>
      </c>
      <c r="I68" s="12">
        <v>1800000</v>
      </c>
      <c r="J68" s="13">
        <v>2200000</v>
      </c>
      <c r="K68" s="13">
        <v>1500000</v>
      </c>
      <c r="L68" s="11" t="s">
        <v>201</v>
      </c>
      <c r="M68" s="11">
        <v>0</v>
      </c>
      <c r="N68" s="11">
        <v>0</v>
      </c>
      <c r="O68" s="11">
        <v>10</v>
      </c>
      <c r="P68" s="11">
        <v>0</v>
      </c>
      <c r="Q68" s="11">
        <v>1</v>
      </c>
      <c r="R68" s="11" t="s">
        <v>500</v>
      </c>
      <c r="S68" s="11" t="s">
        <v>84</v>
      </c>
      <c r="T68" s="11" t="s">
        <v>85</v>
      </c>
      <c r="U68" s="11" t="s">
        <v>501</v>
      </c>
      <c r="V68" s="11">
        <v>350000</v>
      </c>
      <c r="W68" s="11">
        <v>420000</v>
      </c>
      <c r="X68" s="11">
        <v>300000</v>
      </c>
      <c r="Y68" s="11">
        <v>0</v>
      </c>
      <c r="Z68" s="11" t="s">
        <v>412</v>
      </c>
      <c r="AA68" s="11" t="s">
        <v>127</v>
      </c>
      <c r="AB68" s="11" t="s">
        <v>89</v>
      </c>
    </row>
    <row r="69" spans="1:28" ht="26" x14ac:dyDescent="0.5">
      <c r="A69" s="3">
        <v>68</v>
      </c>
      <c r="B69" s="3" t="s">
        <v>483</v>
      </c>
      <c r="C69" s="3" t="s">
        <v>502</v>
      </c>
      <c r="D69" s="3" t="s">
        <v>503</v>
      </c>
      <c r="E69" s="3" t="s">
        <v>504</v>
      </c>
      <c r="F69" s="3" t="s">
        <v>505</v>
      </c>
      <c r="G69" s="3" t="s">
        <v>26</v>
      </c>
      <c r="H69" s="3" t="s">
        <v>30</v>
      </c>
      <c r="I69" s="9">
        <v>90000</v>
      </c>
      <c r="J69" s="7">
        <v>110000</v>
      </c>
      <c r="K69" s="7">
        <v>75000</v>
      </c>
      <c r="L69" s="3" t="s">
        <v>201</v>
      </c>
      <c r="M69" s="3">
        <v>9500000</v>
      </c>
      <c r="N69" s="3">
        <v>1</v>
      </c>
      <c r="O69" s="3">
        <v>5</v>
      </c>
      <c r="P69" s="3">
        <v>0</v>
      </c>
      <c r="Q69" s="3">
        <v>0</v>
      </c>
      <c r="R69" s="3" t="s">
        <v>506</v>
      </c>
      <c r="S69" s="3" t="s">
        <v>84</v>
      </c>
      <c r="T69" s="3" t="s">
        <v>85</v>
      </c>
      <c r="U69" s="3" t="s">
        <v>507</v>
      </c>
      <c r="V69" s="3">
        <v>35000</v>
      </c>
      <c r="W69" s="3">
        <v>42000</v>
      </c>
      <c r="X69" s="3">
        <v>28000</v>
      </c>
      <c r="Y69" s="3">
        <v>2800000</v>
      </c>
      <c r="Z69" s="3" t="s">
        <v>412</v>
      </c>
      <c r="AA69" s="3" t="s">
        <v>127</v>
      </c>
      <c r="AB69" s="3" t="s">
        <v>89</v>
      </c>
    </row>
    <row r="70" spans="1:28" ht="26" x14ac:dyDescent="0.5">
      <c r="A70" s="11">
        <v>69</v>
      </c>
      <c r="B70" s="11" t="s">
        <v>483</v>
      </c>
      <c r="C70" s="11" t="s">
        <v>508</v>
      </c>
      <c r="D70" s="11" t="s">
        <v>509</v>
      </c>
      <c r="E70" s="11" t="s">
        <v>510</v>
      </c>
      <c r="F70" s="11" t="s">
        <v>511</v>
      </c>
      <c r="G70" s="11" t="s">
        <v>26</v>
      </c>
      <c r="H70" s="11" t="s">
        <v>30</v>
      </c>
      <c r="I70" s="12">
        <v>75000</v>
      </c>
      <c r="J70" s="13">
        <v>90000</v>
      </c>
      <c r="K70" s="13">
        <v>65000</v>
      </c>
      <c r="L70" s="11" t="s">
        <v>201</v>
      </c>
      <c r="M70" s="11">
        <v>8500000</v>
      </c>
      <c r="N70" s="11">
        <v>1</v>
      </c>
      <c r="O70" s="11">
        <v>5</v>
      </c>
      <c r="P70" s="11">
        <v>0</v>
      </c>
      <c r="Q70" s="11">
        <v>0.5</v>
      </c>
      <c r="R70" s="11" t="s">
        <v>512</v>
      </c>
      <c r="S70" s="11" t="s">
        <v>321</v>
      </c>
      <c r="T70" s="11" t="s">
        <v>85</v>
      </c>
      <c r="U70" s="11" t="s">
        <v>513</v>
      </c>
      <c r="V70" s="11">
        <v>60000</v>
      </c>
      <c r="W70" s="11">
        <v>72000</v>
      </c>
      <c r="X70" s="11">
        <v>55000</v>
      </c>
      <c r="Y70" s="11">
        <v>4000000</v>
      </c>
      <c r="Z70" s="11" t="s">
        <v>514</v>
      </c>
      <c r="AA70" s="11" t="s">
        <v>88</v>
      </c>
      <c r="AB70" s="11" t="s">
        <v>267</v>
      </c>
    </row>
    <row r="71" spans="1:28" ht="26" x14ac:dyDescent="0.5">
      <c r="A71" s="3">
        <v>70</v>
      </c>
      <c r="B71" s="3" t="s">
        <v>483</v>
      </c>
      <c r="C71" s="3" t="s">
        <v>515</v>
      </c>
      <c r="D71" s="3" t="s">
        <v>516</v>
      </c>
      <c r="E71" s="3" t="s">
        <v>517</v>
      </c>
      <c r="F71" s="3" t="s">
        <v>518</v>
      </c>
      <c r="G71" s="3" t="s">
        <v>26</v>
      </c>
      <c r="H71" s="3" t="s">
        <v>30</v>
      </c>
      <c r="I71" s="9">
        <v>220000</v>
      </c>
      <c r="J71" s="7">
        <v>260000</v>
      </c>
      <c r="K71" s="7">
        <v>170000</v>
      </c>
      <c r="L71" s="3" t="s">
        <v>201</v>
      </c>
      <c r="M71" s="3">
        <v>28000000</v>
      </c>
      <c r="N71" s="3">
        <v>1</v>
      </c>
      <c r="O71" s="3">
        <v>8</v>
      </c>
      <c r="P71" s="3">
        <v>0.1</v>
      </c>
      <c r="Q71" s="3">
        <v>0</v>
      </c>
      <c r="R71" s="3" t="s">
        <v>519</v>
      </c>
      <c r="S71" s="3" t="s">
        <v>84</v>
      </c>
      <c r="T71" s="3" t="s">
        <v>85</v>
      </c>
      <c r="U71" s="3" t="s">
        <v>520</v>
      </c>
      <c r="V71" s="3"/>
      <c r="W71" s="3"/>
      <c r="X71" s="3"/>
      <c r="Y71" s="3"/>
      <c r="Z71" s="3" t="s">
        <v>521</v>
      </c>
      <c r="AA71" s="3" t="s">
        <v>127</v>
      </c>
      <c r="AB71" s="3" t="s">
        <v>89</v>
      </c>
    </row>
    <row r="72" spans="1:28" ht="52" x14ac:dyDescent="0.5">
      <c r="A72" s="11">
        <v>71</v>
      </c>
      <c r="B72" s="11" t="s">
        <v>483</v>
      </c>
      <c r="C72" s="11" t="s">
        <v>522</v>
      </c>
      <c r="D72" s="11" t="s">
        <v>523</v>
      </c>
      <c r="E72" s="11" t="s">
        <v>524</v>
      </c>
      <c r="F72" s="11" t="s">
        <v>525</v>
      </c>
      <c r="G72" s="11" t="s">
        <v>26</v>
      </c>
      <c r="H72" s="11" t="s">
        <v>30</v>
      </c>
      <c r="I72" s="12">
        <v>45000</v>
      </c>
      <c r="J72" s="13">
        <v>55000</v>
      </c>
      <c r="K72" s="13">
        <v>38000</v>
      </c>
      <c r="L72" s="11" t="s">
        <v>201</v>
      </c>
      <c r="M72" s="11">
        <v>2500000</v>
      </c>
      <c r="N72" s="11">
        <v>1</v>
      </c>
      <c r="O72" s="11">
        <v>7</v>
      </c>
      <c r="P72" s="11">
        <v>0</v>
      </c>
      <c r="Q72" s="11">
        <v>0</v>
      </c>
      <c r="R72" s="11" t="s">
        <v>526</v>
      </c>
      <c r="S72" s="11" t="s">
        <v>84</v>
      </c>
      <c r="T72" s="11" t="s">
        <v>85</v>
      </c>
      <c r="U72" s="11" t="s">
        <v>527</v>
      </c>
      <c r="V72" s="11">
        <v>36000</v>
      </c>
      <c r="W72" s="11">
        <v>45000</v>
      </c>
      <c r="X72" s="11">
        <v>32000</v>
      </c>
      <c r="Y72" s="11">
        <v>1500000</v>
      </c>
      <c r="Z72" s="11" t="s">
        <v>528</v>
      </c>
      <c r="AA72" s="11" t="s">
        <v>88</v>
      </c>
      <c r="AB72" s="11" t="s">
        <v>267</v>
      </c>
    </row>
    <row r="73" spans="1:28" ht="52" x14ac:dyDescent="0.5">
      <c r="A73" s="3">
        <v>72</v>
      </c>
      <c r="B73" s="3" t="s">
        <v>483</v>
      </c>
      <c r="C73" s="3" t="s">
        <v>529</v>
      </c>
      <c r="D73" s="3" t="s">
        <v>530</v>
      </c>
      <c r="E73" s="3" t="s">
        <v>531</v>
      </c>
      <c r="F73" s="3" t="s">
        <v>532</v>
      </c>
      <c r="G73" s="3" t="s">
        <v>26</v>
      </c>
      <c r="H73" s="3" t="s">
        <v>30</v>
      </c>
      <c r="I73" s="9">
        <v>75000</v>
      </c>
      <c r="J73" s="7">
        <v>90000</v>
      </c>
      <c r="K73" s="7">
        <v>55000</v>
      </c>
      <c r="L73" s="3" t="s">
        <v>177</v>
      </c>
      <c r="M73" s="3">
        <v>7800000</v>
      </c>
      <c r="N73" s="3">
        <v>1</v>
      </c>
      <c r="O73" s="3">
        <v>10</v>
      </c>
      <c r="P73" s="3">
        <v>0.05</v>
      </c>
      <c r="Q73" s="3">
        <v>0</v>
      </c>
      <c r="R73" s="3" t="s">
        <v>533</v>
      </c>
      <c r="S73" s="3" t="s">
        <v>140</v>
      </c>
      <c r="T73" s="3" t="s">
        <v>85</v>
      </c>
      <c r="U73" s="3" t="s">
        <v>534</v>
      </c>
      <c r="V73" s="3"/>
      <c r="W73" s="3"/>
      <c r="X73" s="3"/>
      <c r="Y73" s="3"/>
      <c r="Z73" s="3" t="s">
        <v>528</v>
      </c>
      <c r="AA73" s="3" t="s">
        <v>102</v>
      </c>
      <c r="AB73" s="3" t="s">
        <v>267</v>
      </c>
    </row>
    <row r="74" spans="1:28" ht="52" x14ac:dyDescent="0.5">
      <c r="A74" s="11">
        <v>73</v>
      </c>
      <c r="B74" s="11" t="s">
        <v>483</v>
      </c>
      <c r="C74" s="11" t="s">
        <v>535</v>
      </c>
      <c r="D74" s="11" t="s">
        <v>536</v>
      </c>
      <c r="E74" s="11" t="s">
        <v>537</v>
      </c>
      <c r="F74" s="11" t="s">
        <v>538</v>
      </c>
      <c r="G74" s="11" t="s">
        <v>26</v>
      </c>
      <c r="H74" s="11" t="s">
        <v>30</v>
      </c>
      <c r="I74" s="12">
        <v>55000</v>
      </c>
      <c r="J74" s="13">
        <v>68000</v>
      </c>
      <c r="K74" s="13">
        <v>45000</v>
      </c>
      <c r="L74" s="11" t="s">
        <v>201</v>
      </c>
      <c r="M74" s="11">
        <v>3500000</v>
      </c>
      <c r="N74" s="11">
        <v>1</v>
      </c>
      <c r="O74" s="11">
        <v>7</v>
      </c>
      <c r="P74" s="11">
        <v>0</v>
      </c>
      <c r="Q74" s="11">
        <v>0</v>
      </c>
      <c r="R74" s="11" t="s">
        <v>539</v>
      </c>
      <c r="S74" s="11" t="s">
        <v>84</v>
      </c>
      <c r="T74" s="11" t="s">
        <v>85</v>
      </c>
      <c r="U74" s="11" t="s">
        <v>540</v>
      </c>
      <c r="V74" s="11">
        <v>28000</v>
      </c>
      <c r="W74" s="11">
        <v>35000</v>
      </c>
      <c r="X74" s="11">
        <v>22000</v>
      </c>
      <c r="Y74" s="11">
        <v>1500000</v>
      </c>
      <c r="Z74" s="11" t="s">
        <v>528</v>
      </c>
      <c r="AA74" s="11" t="s">
        <v>88</v>
      </c>
      <c r="AB74" s="11" t="s">
        <v>267</v>
      </c>
    </row>
    <row r="75" spans="1:28" ht="52" x14ac:dyDescent="0.5">
      <c r="A75" s="3">
        <v>74</v>
      </c>
      <c r="B75" s="3" t="s">
        <v>483</v>
      </c>
      <c r="C75" s="3" t="s">
        <v>541</v>
      </c>
      <c r="D75" s="3" t="s">
        <v>542</v>
      </c>
      <c r="E75" s="3" t="s">
        <v>543</v>
      </c>
      <c r="F75" s="3" t="s">
        <v>544</v>
      </c>
      <c r="G75" s="3" t="s">
        <v>26</v>
      </c>
      <c r="H75" s="3" t="s">
        <v>30</v>
      </c>
      <c r="I75" s="9">
        <v>95000</v>
      </c>
      <c r="J75" s="7">
        <v>115000</v>
      </c>
      <c r="K75" s="7">
        <v>75000</v>
      </c>
      <c r="L75" s="3" t="s">
        <v>177</v>
      </c>
      <c r="M75" s="3">
        <v>12500000</v>
      </c>
      <c r="N75" s="3">
        <v>1</v>
      </c>
      <c r="O75" s="3">
        <v>10</v>
      </c>
      <c r="P75" s="3">
        <v>0.06</v>
      </c>
      <c r="Q75" s="3">
        <v>0</v>
      </c>
      <c r="R75" s="3" t="s">
        <v>545</v>
      </c>
      <c r="S75" s="3" t="s">
        <v>84</v>
      </c>
      <c r="T75" s="3" t="s">
        <v>85</v>
      </c>
      <c r="U75" s="3" t="s">
        <v>546</v>
      </c>
      <c r="V75" s="3"/>
      <c r="W75" s="3"/>
      <c r="X75" s="3"/>
      <c r="Y75" s="3"/>
      <c r="Z75" s="3" t="s">
        <v>547</v>
      </c>
      <c r="AA75" s="3" t="s">
        <v>127</v>
      </c>
      <c r="AB75" s="3" t="s">
        <v>267</v>
      </c>
    </row>
    <row r="76" spans="1:28" ht="52" x14ac:dyDescent="0.5">
      <c r="A76" s="11">
        <v>75</v>
      </c>
      <c r="B76" s="11" t="s">
        <v>548</v>
      </c>
      <c r="C76" s="11" t="s">
        <v>253</v>
      </c>
      <c r="D76" s="11" t="s">
        <v>549</v>
      </c>
      <c r="E76" s="11" t="s">
        <v>550</v>
      </c>
      <c r="F76" s="11" t="s">
        <v>551</v>
      </c>
      <c r="G76" s="11" t="s">
        <v>30</v>
      </c>
      <c r="H76" s="11" t="s">
        <v>30</v>
      </c>
      <c r="I76" s="12">
        <v>35000</v>
      </c>
      <c r="J76" s="13">
        <v>40000</v>
      </c>
      <c r="K76" s="13">
        <v>28000</v>
      </c>
      <c r="L76" s="11" t="s">
        <v>177</v>
      </c>
      <c r="M76" s="11">
        <v>4800000</v>
      </c>
      <c r="N76" s="11">
        <v>2</v>
      </c>
      <c r="O76" s="11">
        <v>10</v>
      </c>
      <c r="P76" s="11">
        <v>0.05</v>
      </c>
      <c r="Q76" s="11">
        <v>0.5</v>
      </c>
      <c r="R76" s="11" t="s">
        <v>552</v>
      </c>
      <c r="S76" s="11" t="s">
        <v>84</v>
      </c>
      <c r="T76" s="11" t="s">
        <v>85</v>
      </c>
      <c r="U76" s="11" t="s">
        <v>553</v>
      </c>
      <c r="V76" s="11"/>
      <c r="W76" s="11"/>
      <c r="X76" s="11"/>
      <c r="Y76" s="11"/>
      <c r="Z76" s="11" t="s">
        <v>528</v>
      </c>
      <c r="AA76" s="11" t="s">
        <v>102</v>
      </c>
      <c r="AB76" s="11" t="s">
        <v>267</v>
      </c>
    </row>
    <row r="77" spans="1:28" ht="39" x14ac:dyDescent="0.5">
      <c r="A77" s="3">
        <v>76</v>
      </c>
      <c r="B77" s="3" t="s">
        <v>548</v>
      </c>
      <c r="C77" s="3" t="s">
        <v>554</v>
      </c>
      <c r="D77" s="3" t="s">
        <v>555</v>
      </c>
      <c r="E77" s="3" t="s">
        <v>556</v>
      </c>
      <c r="F77" s="3" t="s">
        <v>557</v>
      </c>
      <c r="G77" s="3" t="s">
        <v>30</v>
      </c>
      <c r="H77" s="3" t="s">
        <v>30</v>
      </c>
      <c r="I77" s="9">
        <v>35000</v>
      </c>
      <c r="J77" s="7">
        <v>40000</v>
      </c>
      <c r="K77" s="7">
        <v>28000</v>
      </c>
      <c r="L77" s="3" t="s">
        <v>177</v>
      </c>
      <c r="M77" s="3">
        <v>4800000</v>
      </c>
      <c r="N77" s="3">
        <v>3</v>
      </c>
      <c r="O77" s="3">
        <v>8</v>
      </c>
      <c r="P77" s="3">
        <v>0.05</v>
      </c>
      <c r="Q77" s="3">
        <v>0.3</v>
      </c>
      <c r="R77" s="3" t="s">
        <v>558</v>
      </c>
      <c r="S77" s="3" t="s">
        <v>321</v>
      </c>
      <c r="T77" s="3" t="s">
        <v>85</v>
      </c>
      <c r="U77" s="3" t="s">
        <v>559</v>
      </c>
      <c r="V77" s="3"/>
      <c r="W77" s="3"/>
      <c r="X77" s="3"/>
      <c r="Y77" s="3"/>
      <c r="Z77" s="3" t="s">
        <v>514</v>
      </c>
      <c r="AA77" s="3" t="s">
        <v>88</v>
      </c>
      <c r="AB77" s="3" t="s">
        <v>267</v>
      </c>
    </row>
    <row r="78" spans="1:28" ht="39" x14ac:dyDescent="0.5">
      <c r="A78" s="11">
        <v>77</v>
      </c>
      <c r="B78" s="11" t="s">
        <v>548</v>
      </c>
      <c r="C78" s="11" t="s">
        <v>560</v>
      </c>
      <c r="D78" s="11" t="s">
        <v>561</v>
      </c>
      <c r="E78" s="11" t="s">
        <v>562</v>
      </c>
      <c r="F78" s="11" t="s">
        <v>563</v>
      </c>
      <c r="G78" s="11" t="s">
        <v>28</v>
      </c>
      <c r="H78" s="11" t="s">
        <v>30</v>
      </c>
      <c r="I78" s="12">
        <v>3500</v>
      </c>
      <c r="J78" s="13">
        <v>4000</v>
      </c>
      <c r="K78" s="13">
        <v>2500</v>
      </c>
      <c r="L78" s="11" t="s">
        <v>177</v>
      </c>
      <c r="M78" s="11">
        <v>480000</v>
      </c>
      <c r="N78" s="11">
        <v>6</v>
      </c>
      <c r="O78" s="11">
        <v>10</v>
      </c>
      <c r="P78" s="11">
        <v>0.04</v>
      </c>
      <c r="Q78" s="11">
        <v>0</v>
      </c>
      <c r="R78" s="11" t="s">
        <v>564</v>
      </c>
      <c r="S78" s="11" t="s">
        <v>140</v>
      </c>
      <c r="T78" s="11" t="s">
        <v>85</v>
      </c>
      <c r="U78" s="11" t="s">
        <v>565</v>
      </c>
      <c r="V78" s="11"/>
      <c r="W78" s="11"/>
      <c r="X78" s="11"/>
      <c r="Y78" s="11"/>
      <c r="Z78" s="11" t="s">
        <v>259</v>
      </c>
      <c r="AA78" s="11" t="s">
        <v>127</v>
      </c>
      <c r="AB78" s="11" t="s">
        <v>267</v>
      </c>
    </row>
    <row r="79" spans="1:28" ht="39" x14ac:dyDescent="0.5">
      <c r="A79" s="3">
        <v>78</v>
      </c>
      <c r="B79" s="3" t="s">
        <v>548</v>
      </c>
      <c r="C79" s="3" t="s">
        <v>566</v>
      </c>
      <c r="D79" s="3" t="s">
        <v>567</v>
      </c>
      <c r="E79" s="3" t="s">
        <v>568</v>
      </c>
      <c r="F79" s="3" t="s">
        <v>569</v>
      </c>
      <c r="G79" s="3" t="s">
        <v>28</v>
      </c>
      <c r="H79" s="3" t="s">
        <v>30</v>
      </c>
      <c r="I79" s="9">
        <v>3500</v>
      </c>
      <c r="J79" s="7">
        <v>4000</v>
      </c>
      <c r="K79" s="7">
        <v>2500</v>
      </c>
      <c r="L79" s="3" t="s">
        <v>177</v>
      </c>
      <c r="M79" s="3">
        <v>480000</v>
      </c>
      <c r="N79" s="3">
        <v>8</v>
      </c>
      <c r="O79" s="3">
        <v>7</v>
      </c>
      <c r="P79" s="3">
        <v>0.06</v>
      </c>
      <c r="Q79" s="3">
        <v>0</v>
      </c>
      <c r="R79" s="3" t="s">
        <v>570</v>
      </c>
      <c r="S79" s="3" t="s">
        <v>140</v>
      </c>
      <c r="T79" s="3" t="s">
        <v>85</v>
      </c>
      <c r="U79" s="3" t="s">
        <v>571</v>
      </c>
      <c r="V79" s="3"/>
      <c r="W79" s="3"/>
      <c r="X79" s="3"/>
      <c r="Y79" s="3"/>
      <c r="Z79" s="3" t="s">
        <v>329</v>
      </c>
      <c r="AA79" s="3" t="s">
        <v>88</v>
      </c>
      <c r="AB79" s="3" t="s">
        <v>89</v>
      </c>
    </row>
    <row r="80" spans="1:28" ht="52" x14ac:dyDescent="0.5">
      <c r="A80" s="11">
        <v>79</v>
      </c>
      <c r="B80" s="11" t="s">
        <v>548</v>
      </c>
      <c r="C80" s="11" t="s">
        <v>572</v>
      </c>
      <c r="D80" s="11" t="s">
        <v>573</v>
      </c>
      <c r="E80" s="11" t="s">
        <v>574</v>
      </c>
      <c r="F80" s="11" t="s">
        <v>575</v>
      </c>
      <c r="G80" s="11" t="s">
        <v>30</v>
      </c>
      <c r="H80" s="11" t="s">
        <v>30</v>
      </c>
      <c r="I80" s="12">
        <v>18000</v>
      </c>
      <c r="J80" s="13">
        <v>0</v>
      </c>
      <c r="K80" s="13">
        <v>14000</v>
      </c>
      <c r="L80" s="11" t="s">
        <v>177</v>
      </c>
      <c r="M80" s="11">
        <v>2500000</v>
      </c>
      <c r="N80" s="11">
        <v>2</v>
      </c>
      <c r="O80" s="11">
        <v>10</v>
      </c>
      <c r="P80" s="11">
        <v>0.05</v>
      </c>
      <c r="Q80" s="11">
        <v>0.3</v>
      </c>
      <c r="R80" s="11" t="s">
        <v>576</v>
      </c>
      <c r="S80" s="11" t="s">
        <v>84</v>
      </c>
      <c r="T80" s="11" t="s">
        <v>85</v>
      </c>
      <c r="U80" s="11" t="s">
        <v>577</v>
      </c>
      <c r="V80" s="11"/>
      <c r="W80" s="11"/>
      <c r="X80" s="11"/>
      <c r="Y80" s="11"/>
      <c r="Z80" s="11" t="s">
        <v>412</v>
      </c>
      <c r="AA80" s="11" t="s">
        <v>88</v>
      </c>
      <c r="AB80" s="11" t="s">
        <v>89</v>
      </c>
    </row>
    <row r="81" spans="1:28" ht="26" x14ac:dyDescent="0.5">
      <c r="A81" s="3">
        <v>80</v>
      </c>
      <c r="B81" s="3" t="s">
        <v>578</v>
      </c>
      <c r="C81" s="3" t="s">
        <v>579</v>
      </c>
      <c r="D81" s="3" t="s">
        <v>580</v>
      </c>
      <c r="E81" s="3" t="s">
        <v>581</v>
      </c>
      <c r="F81" s="3" t="s">
        <v>582</v>
      </c>
      <c r="G81" s="3" t="s">
        <v>26</v>
      </c>
      <c r="H81" s="3" t="s">
        <v>30</v>
      </c>
      <c r="I81" s="9">
        <v>42000</v>
      </c>
      <c r="J81" s="7">
        <v>52000</v>
      </c>
      <c r="K81" s="7">
        <v>38000</v>
      </c>
      <c r="L81" s="3" t="s">
        <v>177</v>
      </c>
      <c r="M81" s="3">
        <v>5300000</v>
      </c>
      <c r="N81" s="3">
        <v>1</v>
      </c>
      <c r="O81" s="3">
        <v>15</v>
      </c>
      <c r="P81" s="3">
        <v>0.04</v>
      </c>
      <c r="Q81" s="3">
        <v>0</v>
      </c>
      <c r="R81" s="3" t="s">
        <v>583</v>
      </c>
      <c r="S81" s="3" t="s">
        <v>84</v>
      </c>
      <c r="T81" s="3" t="s">
        <v>85</v>
      </c>
      <c r="U81" s="3" t="s">
        <v>584</v>
      </c>
      <c r="V81" s="3"/>
      <c r="W81" s="3"/>
      <c r="X81" s="3"/>
      <c r="Y81" s="3"/>
      <c r="Z81" s="3" t="s">
        <v>412</v>
      </c>
      <c r="AA81" s="3" t="s">
        <v>88</v>
      </c>
      <c r="AB81" s="3" t="s">
        <v>89</v>
      </c>
    </row>
    <row r="82" spans="1:28" ht="26" x14ac:dyDescent="0.5">
      <c r="A82" s="11">
        <v>81</v>
      </c>
      <c r="B82" s="11" t="s">
        <v>578</v>
      </c>
      <c r="C82" s="11" t="s">
        <v>585</v>
      </c>
      <c r="D82" s="11" t="s">
        <v>586</v>
      </c>
      <c r="E82" s="11" t="s">
        <v>587</v>
      </c>
      <c r="F82" s="11" t="s">
        <v>588</v>
      </c>
      <c r="G82" s="11" t="s">
        <v>26</v>
      </c>
      <c r="H82" s="11" t="s">
        <v>28</v>
      </c>
      <c r="I82" s="12">
        <v>35000</v>
      </c>
      <c r="J82" s="13">
        <v>42000</v>
      </c>
      <c r="K82" s="13">
        <v>28000</v>
      </c>
      <c r="L82" s="11" t="s">
        <v>177</v>
      </c>
      <c r="M82" s="11">
        <v>4400000</v>
      </c>
      <c r="N82" s="11">
        <v>1</v>
      </c>
      <c r="O82" s="11">
        <v>12</v>
      </c>
      <c r="P82" s="11">
        <v>0.04</v>
      </c>
      <c r="Q82" s="11">
        <v>0</v>
      </c>
      <c r="R82" s="11" t="s">
        <v>589</v>
      </c>
      <c r="S82" s="11" t="s">
        <v>84</v>
      </c>
      <c r="T82" s="11" t="s">
        <v>85</v>
      </c>
      <c r="U82" s="11" t="s">
        <v>590</v>
      </c>
      <c r="V82" s="11"/>
      <c r="W82" s="11"/>
      <c r="X82" s="11"/>
      <c r="Y82" s="11"/>
      <c r="Z82" s="11" t="s">
        <v>412</v>
      </c>
      <c r="AA82" s="11" t="s">
        <v>127</v>
      </c>
      <c r="AB82" s="11" t="s">
        <v>89</v>
      </c>
    </row>
    <row r="83" spans="1:28" ht="26" x14ac:dyDescent="0.5">
      <c r="A83" s="3">
        <v>82</v>
      </c>
      <c r="B83" s="3" t="s">
        <v>578</v>
      </c>
      <c r="C83" s="3" t="s">
        <v>591</v>
      </c>
      <c r="D83" s="3" t="s">
        <v>592</v>
      </c>
      <c r="E83" s="3" t="s">
        <v>593</v>
      </c>
      <c r="F83" s="3" t="s">
        <v>594</v>
      </c>
      <c r="G83" s="3" t="s">
        <v>26</v>
      </c>
      <c r="H83" s="3" t="s">
        <v>30</v>
      </c>
      <c r="I83" s="9">
        <v>22000</v>
      </c>
      <c r="J83" s="7">
        <v>27000</v>
      </c>
      <c r="K83" s="7">
        <v>19000</v>
      </c>
      <c r="L83" s="3" t="s">
        <v>177</v>
      </c>
      <c r="M83" s="3">
        <v>2750000</v>
      </c>
      <c r="N83" s="3">
        <v>3</v>
      </c>
      <c r="O83" s="3">
        <v>12</v>
      </c>
      <c r="P83" s="3">
        <v>0.05</v>
      </c>
      <c r="Q83" s="3">
        <v>0</v>
      </c>
      <c r="R83" s="3" t="s">
        <v>595</v>
      </c>
      <c r="S83" s="3" t="s">
        <v>140</v>
      </c>
      <c r="T83" s="3" t="s">
        <v>85</v>
      </c>
      <c r="U83" s="3" t="s">
        <v>596</v>
      </c>
      <c r="V83" s="3"/>
      <c r="W83" s="3"/>
      <c r="X83" s="3"/>
      <c r="Y83" s="3"/>
      <c r="Z83" s="3" t="s">
        <v>597</v>
      </c>
      <c r="AA83" s="3" t="s">
        <v>127</v>
      </c>
      <c r="AB83" s="3" t="s">
        <v>89</v>
      </c>
    </row>
    <row r="84" spans="1:28" ht="26" x14ac:dyDescent="0.5">
      <c r="A84" s="11">
        <v>83</v>
      </c>
      <c r="B84" s="11" t="s">
        <v>578</v>
      </c>
      <c r="C84" s="11" t="s">
        <v>598</v>
      </c>
      <c r="D84" s="11" t="s">
        <v>599</v>
      </c>
      <c r="E84" s="11" t="s">
        <v>600</v>
      </c>
      <c r="F84" s="11" t="s">
        <v>601</v>
      </c>
      <c r="G84" s="11" t="s">
        <v>26</v>
      </c>
      <c r="H84" s="11" t="s">
        <v>28</v>
      </c>
      <c r="I84" s="12">
        <v>14500</v>
      </c>
      <c r="J84" s="13">
        <v>18000</v>
      </c>
      <c r="K84" s="13">
        <v>12000</v>
      </c>
      <c r="L84" s="11" t="s">
        <v>177</v>
      </c>
      <c r="M84" s="11">
        <v>1800000</v>
      </c>
      <c r="N84" s="11">
        <v>2</v>
      </c>
      <c r="O84" s="11">
        <v>12</v>
      </c>
      <c r="P84" s="11">
        <v>0.05</v>
      </c>
      <c r="Q84" s="11">
        <v>0</v>
      </c>
      <c r="R84" s="11" t="s">
        <v>602</v>
      </c>
      <c r="S84" s="11" t="s">
        <v>140</v>
      </c>
      <c r="T84" s="11" t="s">
        <v>85</v>
      </c>
      <c r="U84" s="11" t="s">
        <v>603</v>
      </c>
      <c r="V84" s="11"/>
      <c r="W84" s="11"/>
      <c r="X84" s="11"/>
      <c r="Y84" s="11"/>
      <c r="Z84" s="11" t="s">
        <v>412</v>
      </c>
      <c r="AA84" s="11" t="s">
        <v>88</v>
      </c>
      <c r="AB84" s="11" t="s">
        <v>89</v>
      </c>
    </row>
    <row r="85" spans="1:28" ht="26" x14ac:dyDescent="0.5">
      <c r="A85" s="3">
        <v>84</v>
      </c>
      <c r="B85" s="3" t="s">
        <v>578</v>
      </c>
      <c r="C85" s="3" t="s">
        <v>604</v>
      </c>
      <c r="D85" s="3" t="s">
        <v>605</v>
      </c>
      <c r="E85" s="3" t="s">
        <v>606</v>
      </c>
      <c r="F85" s="3" t="s">
        <v>607</v>
      </c>
      <c r="G85" s="3" t="s">
        <v>26</v>
      </c>
      <c r="H85" s="3" t="s">
        <v>30</v>
      </c>
      <c r="I85" s="9">
        <v>75000</v>
      </c>
      <c r="J85" s="7">
        <v>90000</v>
      </c>
      <c r="K85" s="7">
        <v>60000</v>
      </c>
      <c r="L85" s="3" t="s">
        <v>177</v>
      </c>
      <c r="M85" s="3">
        <v>9500000</v>
      </c>
      <c r="N85" s="3">
        <v>1</v>
      </c>
      <c r="O85" s="3">
        <v>12</v>
      </c>
      <c r="P85" s="3">
        <v>0.05</v>
      </c>
      <c r="Q85" s="3">
        <v>0</v>
      </c>
      <c r="R85" s="3" t="s">
        <v>608</v>
      </c>
      <c r="S85" s="3" t="s">
        <v>140</v>
      </c>
      <c r="T85" s="3" t="s">
        <v>85</v>
      </c>
      <c r="U85" s="3" t="s">
        <v>609</v>
      </c>
      <c r="V85" s="3"/>
      <c r="W85" s="3"/>
      <c r="X85" s="3"/>
      <c r="Y85" s="3"/>
      <c r="Z85" s="3" t="s">
        <v>412</v>
      </c>
      <c r="AA85" s="3" t="s">
        <v>88</v>
      </c>
      <c r="AB85" s="3" t="s">
        <v>89</v>
      </c>
    </row>
    <row r="86" spans="1:28" ht="26" x14ac:dyDescent="0.5">
      <c r="A86" s="11">
        <v>85</v>
      </c>
      <c r="B86" s="11" t="s">
        <v>578</v>
      </c>
      <c r="C86" s="11" t="s">
        <v>610</v>
      </c>
      <c r="D86" s="11" t="s">
        <v>611</v>
      </c>
      <c r="E86" s="11" t="s">
        <v>612</v>
      </c>
      <c r="F86" s="11" t="s">
        <v>613</v>
      </c>
      <c r="G86" s="11" t="s">
        <v>26</v>
      </c>
      <c r="H86" s="11" t="s">
        <v>30</v>
      </c>
      <c r="I86" s="12">
        <v>28000</v>
      </c>
      <c r="J86" s="13">
        <v>34000</v>
      </c>
      <c r="K86" s="13">
        <v>22000</v>
      </c>
      <c r="L86" s="11" t="s">
        <v>177</v>
      </c>
      <c r="M86" s="11">
        <v>3500000</v>
      </c>
      <c r="N86" s="11">
        <v>4</v>
      </c>
      <c r="O86" s="11">
        <v>10</v>
      </c>
      <c r="P86" s="11">
        <v>0.05</v>
      </c>
      <c r="Q86" s="11">
        <v>0</v>
      </c>
      <c r="R86" s="11" t="s">
        <v>614</v>
      </c>
      <c r="S86" s="11" t="s">
        <v>140</v>
      </c>
      <c r="T86" s="11" t="s">
        <v>85</v>
      </c>
      <c r="U86" s="11" t="s">
        <v>615</v>
      </c>
      <c r="V86" s="11"/>
      <c r="W86" s="11"/>
      <c r="X86" s="11"/>
      <c r="Y86" s="11"/>
      <c r="Z86" s="11" t="s">
        <v>412</v>
      </c>
      <c r="AA86" s="11" t="s">
        <v>88</v>
      </c>
      <c r="AB86" s="11" t="s">
        <v>89</v>
      </c>
    </row>
    <row r="87" spans="1:28" ht="26" x14ac:dyDescent="0.5">
      <c r="A87" s="3">
        <v>86</v>
      </c>
      <c r="B87" s="3" t="s">
        <v>578</v>
      </c>
      <c r="C87" s="3" t="s">
        <v>616</v>
      </c>
      <c r="D87" s="3" t="s">
        <v>617</v>
      </c>
      <c r="E87" s="3" t="s">
        <v>618</v>
      </c>
      <c r="F87" s="3" t="s">
        <v>619</v>
      </c>
      <c r="G87" s="3" t="s">
        <v>26</v>
      </c>
      <c r="H87" s="3" t="s">
        <v>30</v>
      </c>
      <c r="I87" s="9">
        <v>95000</v>
      </c>
      <c r="J87" s="7">
        <v>115000</v>
      </c>
      <c r="K87" s="7">
        <v>75000</v>
      </c>
      <c r="L87" s="3" t="s">
        <v>177</v>
      </c>
      <c r="M87" s="3">
        <v>12500000</v>
      </c>
      <c r="N87" s="3">
        <v>1</v>
      </c>
      <c r="O87" s="3">
        <v>20</v>
      </c>
      <c r="P87" s="3">
        <v>0.03</v>
      </c>
      <c r="Q87" s="3">
        <v>0</v>
      </c>
      <c r="R87" s="3" t="s">
        <v>620</v>
      </c>
      <c r="S87" s="3" t="s">
        <v>84</v>
      </c>
      <c r="T87" s="3" t="s">
        <v>85</v>
      </c>
      <c r="U87" s="3" t="s">
        <v>621</v>
      </c>
      <c r="V87" s="3"/>
      <c r="W87" s="3"/>
      <c r="X87" s="3"/>
      <c r="Y87" s="3"/>
      <c r="Z87" s="3" t="s">
        <v>412</v>
      </c>
      <c r="AA87" s="3" t="s">
        <v>127</v>
      </c>
      <c r="AB87" s="3" t="s">
        <v>89</v>
      </c>
    </row>
    <row r="88" spans="1:28" ht="26" x14ac:dyDescent="0.5">
      <c r="A88" s="11">
        <v>87</v>
      </c>
      <c r="B88" s="11" t="s">
        <v>578</v>
      </c>
      <c r="C88" s="11" t="s">
        <v>622</v>
      </c>
      <c r="D88" s="11" t="s">
        <v>623</v>
      </c>
      <c r="E88" s="11" t="s">
        <v>624</v>
      </c>
      <c r="F88" s="11" t="s">
        <v>625</v>
      </c>
      <c r="G88" s="11" t="s">
        <v>26</v>
      </c>
      <c r="H88" s="11" t="s">
        <v>30</v>
      </c>
      <c r="I88" s="12">
        <v>65000</v>
      </c>
      <c r="J88" s="13">
        <v>72000</v>
      </c>
      <c r="K88" s="13">
        <v>58000</v>
      </c>
      <c r="L88" s="11" t="s">
        <v>201</v>
      </c>
      <c r="M88" s="11">
        <v>8200000</v>
      </c>
      <c r="N88" s="11">
        <v>1</v>
      </c>
      <c r="O88" s="11">
        <v>10</v>
      </c>
      <c r="P88" s="11">
        <v>0.05</v>
      </c>
      <c r="Q88" s="11">
        <v>0</v>
      </c>
      <c r="R88" s="11" t="s">
        <v>626</v>
      </c>
      <c r="S88" s="11" t="s">
        <v>84</v>
      </c>
      <c r="T88" s="11" t="s">
        <v>85</v>
      </c>
      <c r="U88" s="11" t="s">
        <v>627</v>
      </c>
      <c r="V88" s="11"/>
      <c r="W88" s="11"/>
      <c r="X88" s="11"/>
      <c r="Y88" s="11"/>
      <c r="Z88" s="11" t="s">
        <v>470</v>
      </c>
      <c r="AA88" s="11" t="s">
        <v>127</v>
      </c>
      <c r="AB88" s="11" t="s">
        <v>89</v>
      </c>
    </row>
    <row r="89" spans="1:28" ht="26" x14ac:dyDescent="0.5">
      <c r="A89" s="3">
        <v>88</v>
      </c>
      <c r="B89" s="3" t="s">
        <v>578</v>
      </c>
      <c r="C89" s="3" t="s">
        <v>628</v>
      </c>
      <c r="D89" s="3" t="s">
        <v>629</v>
      </c>
      <c r="E89" s="3" t="s">
        <v>630</v>
      </c>
      <c r="F89" s="3" t="s">
        <v>631</v>
      </c>
      <c r="G89" s="3" t="s">
        <v>26</v>
      </c>
      <c r="H89" s="3" t="s">
        <v>30</v>
      </c>
      <c r="I89" s="9">
        <v>9500</v>
      </c>
      <c r="J89" s="7">
        <v>9900</v>
      </c>
      <c r="K89" s="7">
        <v>8500</v>
      </c>
      <c r="L89" s="3" t="s">
        <v>201</v>
      </c>
      <c r="M89" s="3">
        <v>1200000</v>
      </c>
      <c r="N89" s="3">
        <v>2</v>
      </c>
      <c r="O89" s="3">
        <v>8</v>
      </c>
      <c r="P89" s="3">
        <v>0.06</v>
      </c>
      <c r="Q89" s="3">
        <v>0</v>
      </c>
      <c r="R89" s="3" t="s">
        <v>632</v>
      </c>
      <c r="S89" s="3" t="s">
        <v>140</v>
      </c>
      <c r="T89" s="3" t="s">
        <v>85</v>
      </c>
      <c r="U89" s="3" t="s">
        <v>633</v>
      </c>
      <c r="V89" s="3"/>
      <c r="W89" s="3"/>
      <c r="X89" s="3"/>
      <c r="Y89" s="3"/>
      <c r="Z89" s="3" t="s">
        <v>412</v>
      </c>
      <c r="AA89" s="3" t="s">
        <v>88</v>
      </c>
      <c r="AB89" s="3" t="s">
        <v>89</v>
      </c>
    </row>
    <row r="90" spans="1:28" ht="52" x14ac:dyDescent="0.5">
      <c r="A90" s="11">
        <v>89</v>
      </c>
      <c r="B90" s="11" t="s">
        <v>578</v>
      </c>
      <c r="C90" s="11" t="s">
        <v>634</v>
      </c>
      <c r="D90" s="11" t="s">
        <v>635</v>
      </c>
      <c r="E90" s="11" t="s">
        <v>636</v>
      </c>
      <c r="F90" s="11" t="s">
        <v>637</v>
      </c>
      <c r="G90" s="11" t="s">
        <v>26</v>
      </c>
      <c r="H90" s="11" t="s">
        <v>30</v>
      </c>
      <c r="I90" s="12">
        <v>95000</v>
      </c>
      <c r="J90" s="13">
        <v>110000</v>
      </c>
      <c r="K90" s="13">
        <v>75000</v>
      </c>
      <c r="L90" s="11" t="s">
        <v>177</v>
      </c>
      <c r="M90" s="11">
        <v>12000000</v>
      </c>
      <c r="N90" s="11">
        <v>1</v>
      </c>
      <c r="O90" s="11">
        <v>15</v>
      </c>
      <c r="P90" s="11">
        <v>0.03</v>
      </c>
      <c r="Q90" s="11">
        <v>0</v>
      </c>
      <c r="R90" s="11" t="s">
        <v>638</v>
      </c>
      <c r="S90" s="11" t="s">
        <v>84</v>
      </c>
      <c r="T90" s="11" t="s">
        <v>85</v>
      </c>
      <c r="U90" s="11" t="s">
        <v>639</v>
      </c>
      <c r="V90" s="11"/>
      <c r="W90" s="11"/>
      <c r="X90" s="11"/>
      <c r="Y90" s="11"/>
      <c r="Z90" s="11" t="s">
        <v>640</v>
      </c>
      <c r="AA90" s="11" t="s">
        <v>102</v>
      </c>
      <c r="AB90" s="11" t="s">
        <v>267</v>
      </c>
    </row>
    <row r="91" spans="1:28" ht="39" x14ac:dyDescent="0.5">
      <c r="A91" s="3">
        <v>90</v>
      </c>
      <c r="B91" s="3" t="s">
        <v>578</v>
      </c>
      <c r="C91" s="3" t="s">
        <v>641</v>
      </c>
      <c r="D91" s="3" t="s">
        <v>642</v>
      </c>
      <c r="E91" s="3" t="s">
        <v>643</v>
      </c>
      <c r="F91" s="3" t="s">
        <v>644</v>
      </c>
      <c r="G91" s="3" t="s">
        <v>26</v>
      </c>
      <c r="H91" s="3" t="s">
        <v>30</v>
      </c>
      <c r="I91" s="9">
        <v>180000</v>
      </c>
      <c r="J91" s="7">
        <v>210000</v>
      </c>
      <c r="K91" s="7">
        <v>130000</v>
      </c>
      <c r="L91" s="3" t="s">
        <v>177</v>
      </c>
      <c r="M91" s="3">
        <v>22000000</v>
      </c>
      <c r="N91" s="3">
        <v>1</v>
      </c>
      <c r="O91" s="3">
        <v>5</v>
      </c>
      <c r="P91" s="3">
        <v>0.15</v>
      </c>
      <c r="Q91" s="3">
        <v>0</v>
      </c>
      <c r="R91" s="3" t="s">
        <v>645</v>
      </c>
      <c r="S91" s="3" t="s">
        <v>84</v>
      </c>
      <c r="T91" s="3" t="s">
        <v>85</v>
      </c>
      <c r="U91" s="3" t="s">
        <v>646</v>
      </c>
      <c r="V91" s="3"/>
      <c r="W91" s="3"/>
      <c r="X91" s="3"/>
      <c r="Y91" s="3"/>
      <c r="Z91" s="3" t="s">
        <v>647</v>
      </c>
      <c r="AA91" s="3" t="s">
        <v>102</v>
      </c>
      <c r="AB91" s="3" t="s">
        <v>267</v>
      </c>
    </row>
    <row r="92" spans="1:28" ht="26" x14ac:dyDescent="0.5">
      <c r="A92" s="11">
        <v>91</v>
      </c>
      <c r="B92" s="11" t="s">
        <v>578</v>
      </c>
      <c r="C92" s="11" t="s">
        <v>648</v>
      </c>
      <c r="D92" s="11" t="s">
        <v>649</v>
      </c>
      <c r="E92" s="11" t="s">
        <v>650</v>
      </c>
      <c r="F92" s="11" t="s">
        <v>651</v>
      </c>
      <c r="G92" s="11" t="s">
        <v>26</v>
      </c>
      <c r="H92" s="11" t="s">
        <v>30</v>
      </c>
      <c r="I92" s="12">
        <v>120000</v>
      </c>
      <c r="J92" s="13">
        <v>140000</v>
      </c>
      <c r="K92" s="13">
        <v>80000</v>
      </c>
      <c r="L92" s="11" t="s">
        <v>177</v>
      </c>
      <c r="M92" s="11">
        <v>13000000</v>
      </c>
      <c r="N92" s="11">
        <v>1</v>
      </c>
      <c r="O92" s="11">
        <v>20</v>
      </c>
      <c r="P92" s="11">
        <v>0.01</v>
      </c>
      <c r="Q92" s="11">
        <v>0</v>
      </c>
      <c r="R92" s="11" t="s">
        <v>652</v>
      </c>
      <c r="S92" s="11" t="s">
        <v>84</v>
      </c>
      <c r="T92" s="11" t="s">
        <v>85</v>
      </c>
      <c r="U92" s="11" t="s">
        <v>653</v>
      </c>
      <c r="V92" s="11"/>
      <c r="W92" s="11"/>
      <c r="X92" s="11"/>
      <c r="Y92" s="11"/>
      <c r="Z92" s="11" t="s">
        <v>654</v>
      </c>
      <c r="AA92" s="11" t="s">
        <v>102</v>
      </c>
      <c r="AB92" s="11" t="s">
        <v>267</v>
      </c>
    </row>
    <row r="93" spans="1:28" ht="26" x14ac:dyDescent="0.5">
      <c r="A93" s="3">
        <v>92</v>
      </c>
      <c r="B93" s="3" t="s">
        <v>578</v>
      </c>
      <c r="C93" s="3" t="s">
        <v>655</v>
      </c>
      <c r="D93" s="3" t="s">
        <v>656</v>
      </c>
      <c r="E93" s="3" t="s">
        <v>657</v>
      </c>
      <c r="F93" s="3" t="s">
        <v>658</v>
      </c>
      <c r="G93" s="3" t="s">
        <v>26</v>
      </c>
      <c r="H93" s="3" t="s">
        <v>30</v>
      </c>
      <c r="I93" s="9">
        <v>38000</v>
      </c>
      <c r="J93" s="7">
        <v>45000</v>
      </c>
      <c r="K93" s="7">
        <v>28000</v>
      </c>
      <c r="L93" s="3" t="s">
        <v>177</v>
      </c>
      <c r="M93" s="3">
        <v>4800000</v>
      </c>
      <c r="N93" s="3">
        <v>1</v>
      </c>
      <c r="O93" s="3">
        <v>10</v>
      </c>
      <c r="P93" s="3">
        <v>0.05</v>
      </c>
      <c r="Q93" s="3">
        <v>0</v>
      </c>
      <c r="R93" s="3" t="s">
        <v>659</v>
      </c>
      <c r="S93" s="3" t="s">
        <v>84</v>
      </c>
      <c r="T93" s="3" t="s">
        <v>85</v>
      </c>
      <c r="U93" s="3" t="s">
        <v>660</v>
      </c>
      <c r="V93" s="3"/>
      <c r="W93" s="3"/>
      <c r="X93" s="3"/>
      <c r="Y93" s="3"/>
      <c r="Z93" s="3" t="s">
        <v>654</v>
      </c>
      <c r="AA93" s="3" t="s">
        <v>102</v>
      </c>
      <c r="AB93" s="3" t="s">
        <v>267</v>
      </c>
    </row>
    <row r="94" spans="1:28" ht="26" x14ac:dyDescent="0.5">
      <c r="A94" s="11">
        <v>93</v>
      </c>
      <c r="B94" s="11" t="s">
        <v>578</v>
      </c>
      <c r="C94" s="11" t="s">
        <v>661</v>
      </c>
      <c r="D94" s="11" t="s">
        <v>662</v>
      </c>
      <c r="E94" s="11" t="s">
        <v>663</v>
      </c>
      <c r="F94" s="11" t="s">
        <v>664</v>
      </c>
      <c r="G94" s="11" t="s">
        <v>26</v>
      </c>
      <c r="H94" s="11" t="s">
        <v>30</v>
      </c>
      <c r="I94" s="12">
        <v>85000</v>
      </c>
      <c r="J94" s="13">
        <v>95000</v>
      </c>
      <c r="K94" s="13">
        <v>65000</v>
      </c>
      <c r="L94" s="11" t="s">
        <v>177</v>
      </c>
      <c r="M94" s="11">
        <v>11000000</v>
      </c>
      <c r="N94" s="11">
        <v>1</v>
      </c>
      <c r="O94" s="11">
        <v>15</v>
      </c>
      <c r="P94" s="11">
        <v>0.04</v>
      </c>
      <c r="Q94" s="11">
        <v>0</v>
      </c>
      <c r="R94" s="11" t="s">
        <v>665</v>
      </c>
      <c r="S94" s="11" t="s">
        <v>140</v>
      </c>
      <c r="T94" s="11" t="s">
        <v>85</v>
      </c>
      <c r="U94" s="11" t="s">
        <v>666</v>
      </c>
      <c r="V94" s="11"/>
      <c r="W94" s="11"/>
      <c r="X94" s="11"/>
      <c r="Y94" s="11"/>
      <c r="Z94" s="11" t="s">
        <v>654</v>
      </c>
      <c r="AA94" s="11" t="s">
        <v>102</v>
      </c>
      <c r="AB94" s="11" t="s">
        <v>267</v>
      </c>
    </row>
    <row r="95" spans="1:28" ht="52" x14ac:dyDescent="0.5">
      <c r="A95" s="3">
        <v>94</v>
      </c>
      <c r="B95" s="3" t="s">
        <v>667</v>
      </c>
      <c r="C95" s="3" t="s">
        <v>668</v>
      </c>
      <c r="D95" s="3" t="s">
        <v>669</v>
      </c>
      <c r="E95" s="3" t="s">
        <v>670</v>
      </c>
      <c r="F95" s="3" t="s">
        <v>671</v>
      </c>
      <c r="G95" s="3" t="s">
        <v>28</v>
      </c>
      <c r="H95" s="3" t="s">
        <v>30</v>
      </c>
      <c r="I95" s="9">
        <v>0</v>
      </c>
      <c r="J95" s="7">
        <v>0</v>
      </c>
      <c r="K95" s="7">
        <v>0</v>
      </c>
      <c r="L95" s="3" t="s">
        <v>201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 t="s">
        <v>672</v>
      </c>
      <c r="S95" s="3" t="s">
        <v>140</v>
      </c>
      <c r="T95" s="3" t="s">
        <v>85</v>
      </c>
      <c r="U95" s="3" t="s">
        <v>673</v>
      </c>
      <c r="V95" s="3"/>
      <c r="W95" s="3"/>
      <c r="X95" s="3"/>
      <c r="Y95" s="3"/>
      <c r="Z95" s="3" t="s">
        <v>674</v>
      </c>
      <c r="AA95" s="3" t="s">
        <v>102</v>
      </c>
      <c r="AB95" s="3" t="s">
        <v>267</v>
      </c>
    </row>
    <row r="96" spans="1:28" ht="39" x14ac:dyDescent="0.5">
      <c r="A96" s="11">
        <v>95</v>
      </c>
      <c r="B96" s="11" t="s">
        <v>667</v>
      </c>
      <c r="C96" s="11" t="s">
        <v>675</v>
      </c>
      <c r="D96" s="11" t="s">
        <v>676</v>
      </c>
      <c r="E96" s="11" t="s">
        <v>677</v>
      </c>
      <c r="F96" s="11" t="s">
        <v>678</v>
      </c>
      <c r="G96" s="11" t="s">
        <v>28</v>
      </c>
      <c r="H96" s="11" t="s">
        <v>30</v>
      </c>
      <c r="I96" s="12">
        <v>70000</v>
      </c>
      <c r="J96" s="13">
        <v>80000</v>
      </c>
      <c r="K96" s="13">
        <v>55000</v>
      </c>
      <c r="L96" s="11" t="s">
        <v>177</v>
      </c>
      <c r="M96" s="11">
        <v>9700000</v>
      </c>
      <c r="N96" s="11">
        <v>1</v>
      </c>
      <c r="O96" s="11">
        <v>8</v>
      </c>
      <c r="P96" s="11">
        <v>0.1</v>
      </c>
      <c r="Q96" s="11">
        <v>0.5</v>
      </c>
      <c r="R96" s="11" t="s">
        <v>679</v>
      </c>
      <c r="S96" s="11" t="s">
        <v>84</v>
      </c>
      <c r="T96" s="11" t="s">
        <v>85</v>
      </c>
      <c r="U96" s="11" t="s">
        <v>680</v>
      </c>
      <c r="V96" s="11"/>
      <c r="W96" s="11"/>
      <c r="X96" s="11"/>
      <c r="Y96" s="11"/>
      <c r="Z96" s="11" t="s">
        <v>412</v>
      </c>
      <c r="AA96" s="11" t="s">
        <v>127</v>
      </c>
      <c r="AB96" s="11" t="s">
        <v>89</v>
      </c>
    </row>
    <row r="97" spans="1:28" ht="26" x14ac:dyDescent="0.5">
      <c r="A97" s="3">
        <v>96</v>
      </c>
      <c r="B97" s="3" t="s">
        <v>667</v>
      </c>
      <c r="C97" s="3" t="s">
        <v>681</v>
      </c>
      <c r="D97" s="3" t="s">
        <v>682</v>
      </c>
      <c r="E97" s="3" t="s">
        <v>683</v>
      </c>
      <c r="F97" s="3" t="s">
        <v>684</v>
      </c>
      <c r="G97" s="3" t="s">
        <v>28</v>
      </c>
      <c r="H97" s="3" t="s">
        <v>30</v>
      </c>
      <c r="I97" s="9">
        <v>20000</v>
      </c>
      <c r="J97" s="7">
        <v>23000</v>
      </c>
      <c r="K97" s="7">
        <v>15000</v>
      </c>
      <c r="L97" s="3" t="s">
        <v>685</v>
      </c>
      <c r="M97" s="3">
        <v>2750000</v>
      </c>
      <c r="N97" s="3">
        <v>2</v>
      </c>
      <c r="O97" s="3">
        <v>8</v>
      </c>
      <c r="P97" s="3">
        <v>0.04</v>
      </c>
      <c r="Q97" s="3">
        <v>0</v>
      </c>
      <c r="R97" s="3" t="s">
        <v>686</v>
      </c>
      <c r="S97" s="3" t="s">
        <v>140</v>
      </c>
      <c r="T97" s="3" t="s">
        <v>85</v>
      </c>
      <c r="U97" s="3" t="s">
        <v>687</v>
      </c>
      <c r="V97" s="3"/>
      <c r="W97" s="3"/>
      <c r="X97" s="3"/>
      <c r="Y97" s="3"/>
      <c r="Z97" s="3" t="s">
        <v>87</v>
      </c>
      <c r="AA97" s="3" t="s">
        <v>102</v>
      </c>
      <c r="AB97" s="3" t="s">
        <v>89</v>
      </c>
    </row>
    <row r="98" spans="1:28" ht="26" x14ac:dyDescent="0.5">
      <c r="A98" s="11">
        <v>97</v>
      </c>
      <c r="B98" s="11" t="s">
        <v>667</v>
      </c>
      <c r="C98" s="11" t="s">
        <v>688</v>
      </c>
      <c r="D98" s="11" t="s">
        <v>689</v>
      </c>
      <c r="E98" s="11" t="s">
        <v>690</v>
      </c>
      <c r="F98" s="11" t="s">
        <v>691</v>
      </c>
      <c r="G98" s="11" t="s">
        <v>28</v>
      </c>
      <c r="H98" s="11" t="s">
        <v>30</v>
      </c>
      <c r="I98" s="12">
        <v>0</v>
      </c>
      <c r="J98" s="13">
        <v>0</v>
      </c>
      <c r="K98" s="13">
        <v>0</v>
      </c>
      <c r="L98" s="11" t="s">
        <v>201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 t="s">
        <v>692</v>
      </c>
      <c r="S98" s="11" t="s">
        <v>140</v>
      </c>
      <c r="T98" s="11" t="s">
        <v>85</v>
      </c>
      <c r="U98" s="11" t="s">
        <v>693</v>
      </c>
      <c r="V98" s="11"/>
      <c r="W98" s="11"/>
      <c r="X98" s="11"/>
      <c r="Y98" s="11"/>
      <c r="Z98" s="11" t="s">
        <v>87</v>
      </c>
      <c r="AA98" s="11" t="s">
        <v>88</v>
      </c>
      <c r="AB98" s="11" t="s">
        <v>89</v>
      </c>
    </row>
    <row r="99" spans="1:28" ht="26" x14ac:dyDescent="0.5">
      <c r="A99" s="3">
        <v>98</v>
      </c>
      <c r="B99" s="3" t="s">
        <v>667</v>
      </c>
      <c r="C99" s="3" t="s">
        <v>694</v>
      </c>
      <c r="D99" s="3" t="s">
        <v>695</v>
      </c>
      <c r="E99" s="3" t="s">
        <v>696</v>
      </c>
      <c r="F99" s="3" t="s">
        <v>697</v>
      </c>
      <c r="G99" s="3" t="s">
        <v>28</v>
      </c>
      <c r="H99" s="3" t="s">
        <v>30</v>
      </c>
      <c r="I99" s="9">
        <v>35000</v>
      </c>
      <c r="J99" s="7">
        <v>40000</v>
      </c>
      <c r="K99" s="7">
        <v>25000</v>
      </c>
      <c r="L99" s="3" t="s">
        <v>177</v>
      </c>
      <c r="M99" s="3">
        <v>4800000</v>
      </c>
      <c r="N99" s="3">
        <v>1</v>
      </c>
      <c r="O99" s="3">
        <v>8</v>
      </c>
      <c r="P99" s="3">
        <v>0.1</v>
      </c>
      <c r="Q99" s="3">
        <v>0.2</v>
      </c>
      <c r="R99" s="3" t="s">
        <v>698</v>
      </c>
      <c r="S99" s="3" t="s">
        <v>84</v>
      </c>
      <c r="T99" s="3" t="s">
        <v>85</v>
      </c>
      <c r="U99" s="3" t="s">
        <v>699</v>
      </c>
      <c r="V99" s="3"/>
      <c r="W99" s="3"/>
      <c r="X99" s="3"/>
      <c r="Y99" s="3"/>
      <c r="Z99" s="3" t="s">
        <v>87</v>
      </c>
      <c r="AA99" s="3" t="s">
        <v>88</v>
      </c>
      <c r="AB99" s="3" t="s">
        <v>89</v>
      </c>
    </row>
    <row r="100" spans="1:28" ht="39" x14ac:dyDescent="0.5">
      <c r="A100" s="11">
        <v>99</v>
      </c>
      <c r="B100" s="11" t="s">
        <v>667</v>
      </c>
      <c r="C100" s="11" t="s">
        <v>700</v>
      </c>
      <c r="D100" s="11" t="s">
        <v>701</v>
      </c>
      <c r="E100" s="11" t="s">
        <v>702</v>
      </c>
      <c r="F100" s="11" t="s">
        <v>703</v>
      </c>
      <c r="G100" s="11" t="s">
        <v>28</v>
      </c>
      <c r="H100" s="11" t="s">
        <v>30</v>
      </c>
      <c r="I100" s="12">
        <v>0</v>
      </c>
      <c r="J100" s="13">
        <v>0</v>
      </c>
      <c r="K100" s="13">
        <v>0</v>
      </c>
      <c r="L100" s="11" t="s">
        <v>201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 t="s">
        <v>704</v>
      </c>
      <c r="S100" s="11" t="s">
        <v>140</v>
      </c>
      <c r="T100" s="11" t="s">
        <v>85</v>
      </c>
      <c r="U100" s="11" t="s">
        <v>705</v>
      </c>
      <c r="V100" s="11"/>
      <c r="W100" s="11"/>
      <c r="X100" s="11"/>
      <c r="Y100" s="11"/>
      <c r="Z100" s="11" t="s">
        <v>706</v>
      </c>
      <c r="AA100" s="11" t="s">
        <v>88</v>
      </c>
      <c r="AB100" s="11" t="s">
        <v>89</v>
      </c>
    </row>
    <row r="101" spans="1:28" ht="39" x14ac:dyDescent="0.5">
      <c r="A101" s="3">
        <v>100</v>
      </c>
      <c r="B101" s="3" t="s">
        <v>667</v>
      </c>
      <c r="C101" s="3" t="s">
        <v>707</v>
      </c>
      <c r="D101" s="3" t="s">
        <v>708</v>
      </c>
      <c r="E101" s="3" t="s">
        <v>709</v>
      </c>
      <c r="F101" s="3" t="s">
        <v>710</v>
      </c>
      <c r="G101" s="3" t="s">
        <v>28</v>
      </c>
      <c r="H101" s="3" t="s">
        <v>30</v>
      </c>
      <c r="I101" s="9">
        <v>0</v>
      </c>
      <c r="J101" s="7">
        <v>0</v>
      </c>
      <c r="K101" s="7">
        <v>0</v>
      </c>
      <c r="L101" s="3" t="s">
        <v>201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711</v>
      </c>
      <c r="S101" s="3" t="s">
        <v>140</v>
      </c>
      <c r="T101" s="3" t="s">
        <v>85</v>
      </c>
      <c r="U101" s="3" t="s">
        <v>712</v>
      </c>
      <c r="V101" s="3"/>
      <c r="W101" s="3"/>
      <c r="X101" s="3"/>
      <c r="Y101" s="3"/>
      <c r="Z101" s="3" t="s">
        <v>706</v>
      </c>
      <c r="AA101" s="3" t="s">
        <v>88</v>
      </c>
      <c r="AB101" s="3" t="s">
        <v>89</v>
      </c>
    </row>
    <row r="102" spans="1:28" ht="39" x14ac:dyDescent="0.5">
      <c r="A102" s="11">
        <v>101</v>
      </c>
      <c r="B102" s="11" t="s">
        <v>667</v>
      </c>
      <c r="C102" s="11" t="s">
        <v>713</v>
      </c>
      <c r="D102" s="11" t="s">
        <v>714</v>
      </c>
      <c r="E102" s="11" t="s">
        <v>715</v>
      </c>
      <c r="F102" s="11" t="s">
        <v>716</v>
      </c>
      <c r="G102" s="11" t="s">
        <v>28</v>
      </c>
      <c r="H102" s="11" t="s">
        <v>30</v>
      </c>
      <c r="I102" s="12">
        <v>45000</v>
      </c>
      <c r="J102" s="13">
        <v>50000</v>
      </c>
      <c r="K102" s="13">
        <v>35000</v>
      </c>
      <c r="L102" s="11" t="s">
        <v>177</v>
      </c>
      <c r="M102" s="11">
        <v>6200000</v>
      </c>
      <c r="N102" s="11">
        <v>1</v>
      </c>
      <c r="O102" s="11">
        <v>8</v>
      </c>
      <c r="P102" s="11">
        <v>0.1</v>
      </c>
      <c r="Q102" s="11">
        <v>0.5</v>
      </c>
      <c r="R102" s="11" t="s">
        <v>717</v>
      </c>
      <c r="S102" s="11" t="s">
        <v>140</v>
      </c>
      <c r="T102" s="11" t="s">
        <v>85</v>
      </c>
      <c r="U102" s="11" t="s">
        <v>718</v>
      </c>
      <c r="V102" s="11"/>
      <c r="W102" s="11"/>
      <c r="X102" s="11"/>
      <c r="Y102" s="11"/>
      <c r="Z102" s="11" t="s">
        <v>245</v>
      </c>
      <c r="AA102" s="11" t="s">
        <v>127</v>
      </c>
      <c r="AB102" s="11" t="s">
        <v>89</v>
      </c>
    </row>
    <row r="103" spans="1:28" ht="39" x14ac:dyDescent="0.5">
      <c r="A103" s="3">
        <v>102</v>
      </c>
      <c r="B103" s="3" t="s">
        <v>667</v>
      </c>
      <c r="C103" s="3" t="s">
        <v>719</v>
      </c>
      <c r="D103" s="3" t="s">
        <v>720</v>
      </c>
      <c r="E103" s="3" t="s">
        <v>721</v>
      </c>
      <c r="F103" s="3" t="s">
        <v>722</v>
      </c>
      <c r="G103" s="3" t="s">
        <v>28</v>
      </c>
      <c r="H103" s="3" t="s">
        <v>30</v>
      </c>
      <c r="I103" s="9">
        <v>75000</v>
      </c>
      <c r="J103" s="7">
        <v>85000</v>
      </c>
      <c r="K103" s="7">
        <v>60000</v>
      </c>
      <c r="L103" s="3" t="s">
        <v>177</v>
      </c>
      <c r="M103" s="3">
        <v>10400000</v>
      </c>
      <c r="N103" s="3">
        <v>1</v>
      </c>
      <c r="O103" s="3">
        <v>8</v>
      </c>
      <c r="P103" s="3">
        <v>0.1</v>
      </c>
      <c r="Q103" s="3">
        <v>0.3</v>
      </c>
      <c r="R103" s="3" t="s">
        <v>723</v>
      </c>
      <c r="S103" s="3" t="s">
        <v>140</v>
      </c>
      <c r="T103" s="3" t="s">
        <v>85</v>
      </c>
      <c r="U103" s="3" t="s">
        <v>724</v>
      </c>
      <c r="V103" s="3"/>
      <c r="W103" s="3"/>
      <c r="X103" s="3"/>
      <c r="Y103" s="3"/>
      <c r="Z103" s="3" t="s">
        <v>245</v>
      </c>
      <c r="AA103" s="3" t="s">
        <v>127</v>
      </c>
      <c r="AB103" s="3" t="s">
        <v>89</v>
      </c>
    </row>
    <row r="104" spans="1:28" ht="39" x14ac:dyDescent="0.5">
      <c r="A104" s="11">
        <v>103</v>
      </c>
      <c r="B104" s="11" t="s">
        <v>667</v>
      </c>
      <c r="C104" s="11" t="s">
        <v>725</v>
      </c>
      <c r="D104" s="11" t="s">
        <v>726</v>
      </c>
      <c r="E104" s="11" t="s">
        <v>727</v>
      </c>
      <c r="F104" s="11" t="s">
        <v>728</v>
      </c>
      <c r="G104" s="11" t="s">
        <v>28</v>
      </c>
      <c r="H104" s="11" t="s">
        <v>30</v>
      </c>
      <c r="I104" s="12">
        <v>0</v>
      </c>
      <c r="J104" s="13">
        <v>0</v>
      </c>
      <c r="K104" s="13">
        <v>0</v>
      </c>
      <c r="L104" s="11" t="s">
        <v>201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 t="s">
        <v>729</v>
      </c>
      <c r="S104" s="11" t="s">
        <v>140</v>
      </c>
      <c r="T104" s="11" t="s">
        <v>85</v>
      </c>
      <c r="U104" s="11" t="s">
        <v>730</v>
      </c>
      <c r="V104" s="11"/>
      <c r="W104" s="11"/>
      <c r="X104" s="11"/>
      <c r="Y104" s="11"/>
      <c r="Z104" s="11" t="s">
        <v>245</v>
      </c>
      <c r="AA104" s="11" t="s">
        <v>127</v>
      </c>
      <c r="AB104" s="11" t="s">
        <v>89</v>
      </c>
    </row>
    <row r="105" spans="1:28" ht="26" x14ac:dyDescent="0.5">
      <c r="A105" s="3">
        <v>104</v>
      </c>
      <c r="B105" s="3" t="s">
        <v>731</v>
      </c>
      <c r="C105" s="3" t="s">
        <v>732</v>
      </c>
      <c r="D105" s="3" t="s">
        <v>733</v>
      </c>
      <c r="E105" s="3" t="s">
        <v>734</v>
      </c>
      <c r="F105" s="3" t="s">
        <v>735</v>
      </c>
      <c r="G105" s="3" t="s">
        <v>30</v>
      </c>
      <c r="H105" s="3" t="s">
        <v>30</v>
      </c>
      <c r="I105" s="9">
        <v>280000</v>
      </c>
      <c r="J105" s="7">
        <v>340000</v>
      </c>
      <c r="K105" s="7">
        <v>220000</v>
      </c>
      <c r="L105" s="3" t="s">
        <v>201</v>
      </c>
      <c r="M105" s="3">
        <v>36000000</v>
      </c>
      <c r="N105" s="3">
        <v>1</v>
      </c>
      <c r="O105" s="3">
        <v>20</v>
      </c>
      <c r="P105" s="3">
        <v>0.05</v>
      </c>
      <c r="Q105" s="3">
        <v>0</v>
      </c>
      <c r="R105" s="3" t="s">
        <v>736</v>
      </c>
      <c r="S105" s="3" t="s">
        <v>321</v>
      </c>
      <c r="T105" s="3" t="s">
        <v>85</v>
      </c>
      <c r="U105" s="3" t="s">
        <v>737</v>
      </c>
      <c r="V105" s="3"/>
      <c r="W105" s="3"/>
      <c r="X105" s="3"/>
      <c r="Y105" s="3"/>
      <c r="Z105" s="3" t="s">
        <v>245</v>
      </c>
      <c r="AA105" s="3" t="s">
        <v>127</v>
      </c>
      <c r="AB105" s="3" t="s">
        <v>89</v>
      </c>
    </row>
    <row r="106" spans="1:28" ht="26" x14ac:dyDescent="0.5">
      <c r="A106" s="11">
        <v>105</v>
      </c>
      <c r="B106" s="11" t="s">
        <v>731</v>
      </c>
      <c r="C106" s="11" t="s">
        <v>738</v>
      </c>
      <c r="D106" s="11" t="s">
        <v>739</v>
      </c>
      <c r="E106" s="11" t="s">
        <v>740</v>
      </c>
      <c r="F106" s="11" t="s">
        <v>741</v>
      </c>
      <c r="G106" s="11" t="s">
        <v>30</v>
      </c>
      <c r="H106" s="11" t="s">
        <v>30</v>
      </c>
      <c r="I106" s="12">
        <v>85000</v>
      </c>
      <c r="J106" s="13">
        <v>100000</v>
      </c>
      <c r="K106" s="13">
        <v>65000</v>
      </c>
      <c r="L106" s="11" t="s">
        <v>177</v>
      </c>
      <c r="M106" s="11">
        <v>11000000</v>
      </c>
      <c r="N106" s="11">
        <v>1</v>
      </c>
      <c r="O106" s="11">
        <v>12</v>
      </c>
      <c r="P106" s="11">
        <v>7.0000000000000007E-2</v>
      </c>
      <c r="Q106" s="11">
        <v>0</v>
      </c>
      <c r="R106" s="11" t="s">
        <v>742</v>
      </c>
      <c r="S106" s="11" t="s">
        <v>84</v>
      </c>
      <c r="T106" s="11" t="s">
        <v>85</v>
      </c>
      <c r="U106" s="11" t="s">
        <v>743</v>
      </c>
      <c r="V106" s="11"/>
      <c r="W106" s="11"/>
      <c r="X106" s="11"/>
      <c r="Y106" s="11"/>
      <c r="Z106" s="11" t="s">
        <v>245</v>
      </c>
      <c r="AA106" s="11" t="s">
        <v>127</v>
      </c>
      <c r="AB106" s="11" t="s">
        <v>89</v>
      </c>
    </row>
    <row r="107" spans="1:28" ht="26" x14ac:dyDescent="0.5">
      <c r="A107" s="3">
        <v>106</v>
      </c>
      <c r="B107" s="3" t="s">
        <v>731</v>
      </c>
      <c r="C107" s="3" t="s">
        <v>744</v>
      </c>
      <c r="D107" s="3" t="s">
        <v>745</v>
      </c>
      <c r="E107" s="3" t="s">
        <v>746</v>
      </c>
      <c r="F107" s="3" t="s">
        <v>747</v>
      </c>
      <c r="G107" s="3" t="s">
        <v>30</v>
      </c>
      <c r="H107" s="3" t="s">
        <v>30</v>
      </c>
      <c r="I107" s="9">
        <v>220000</v>
      </c>
      <c r="J107" s="7">
        <v>260000</v>
      </c>
      <c r="K107" s="7">
        <v>170000</v>
      </c>
      <c r="L107" s="3" t="s">
        <v>177</v>
      </c>
      <c r="M107" s="3">
        <v>24000000</v>
      </c>
      <c r="N107" s="3">
        <v>1</v>
      </c>
      <c r="O107" s="3">
        <v>25</v>
      </c>
      <c r="P107" s="3">
        <v>0.03</v>
      </c>
      <c r="Q107" s="3">
        <v>0</v>
      </c>
      <c r="R107" s="3" t="s">
        <v>748</v>
      </c>
      <c r="S107" s="3" t="s">
        <v>140</v>
      </c>
      <c r="T107" s="3" t="s">
        <v>85</v>
      </c>
      <c r="U107" s="3" t="s">
        <v>749</v>
      </c>
      <c r="V107" s="3"/>
      <c r="W107" s="3"/>
      <c r="X107" s="3"/>
      <c r="Y107" s="3"/>
      <c r="Z107" s="3" t="s">
        <v>706</v>
      </c>
      <c r="AA107" s="3" t="s">
        <v>88</v>
      </c>
      <c r="AB107" s="3" t="s">
        <v>89</v>
      </c>
    </row>
    <row r="108" spans="1:28" ht="26" x14ac:dyDescent="0.5">
      <c r="A108" s="11">
        <v>107</v>
      </c>
      <c r="B108" s="11" t="s">
        <v>731</v>
      </c>
      <c r="C108" s="11" t="s">
        <v>750</v>
      </c>
      <c r="D108" s="11" t="s">
        <v>751</v>
      </c>
      <c r="E108" s="11" t="s">
        <v>752</v>
      </c>
      <c r="F108" s="11" t="s">
        <v>753</v>
      </c>
      <c r="G108" s="11" t="s">
        <v>30</v>
      </c>
      <c r="H108" s="11" t="s">
        <v>30</v>
      </c>
      <c r="I108" s="12">
        <v>280000</v>
      </c>
      <c r="J108" s="13">
        <v>340000</v>
      </c>
      <c r="K108" s="13">
        <v>220000</v>
      </c>
      <c r="L108" s="11" t="s">
        <v>201</v>
      </c>
      <c r="M108" s="11">
        <v>36000000</v>
      </c>
      <c r="N108" s="11">
        <v>1</v>
      </c>
      <c r="O108" s="11">
        <v>25</v>
      </c>
      <c r="P108" s="11">
        <v>0.04</v>
      </c>
      <c r="Q108" s="11">
        <v>0</v>
      </c>
      <c r="R108" s="11" t="s">
        <v>754</v>
      </c>
      <c r="S108" s="11" t="s">
        <v>321</v>
      </c>
      <c r="T108" s="11" t="s">
        <v>85</v>
      </c>
      <c r="U108" s="11" t="s">
        <v>755</v>
      </c>
      <c r="V108" s="11"/>
      <c r="W108" s="11"/>
      <c r="X108" s="11"/>
      <c r="Y108" s="11"/>
      <c r="Z108" s="11" t="s">
        <v>245</v>
      </c>
      <c r="AA108" s="11" t="s">
        <v>127</v>
      </c>
      <c r="AB108" s="11" t="s">
        <v>89</v>
      </c>
    </row>
    <row r="109" spans="1:28" ht="26" x14ac:dyDescent="0.5">
      <c r="A109" s="3">
        <v>108</v>
      </c>
      <c r="B109" s="3" t="s">
        <v>731</v>
      </c>
      <c r="C109" s="3" t="s">
        <v>756</v>
      </c>
      <c r="D109" s="3" t="s">
        <v>757</v>
      </c>
      <c r="E109" s="3" t="s">
        <v>758</v>
      </c>
      <c r="F109" s="3" t="s">
        <v>759</v>
      </c>
      <c r="G109" s="3" t="s">
        <v>28</v>
      </c>
      <c r="H109" s="3" t="s">
        <v>30</v>
      </c>
      <c r="I109" s="9">
        <v>95000</v>
      </c>
      <c r="J109" s="7">
        <v>115000</v>
      </c>
      <c r="K109" s="7">
        <v>70000</v>
      </c>
      <c r="L109" s="3" t="s">
        <v>177</v>
      </c>
      <c r="M109" s="3">
        <v>12000000</v>
      </c>
      <c r="N109" s="3">
        <v>1</v>
      </c>
      <c r="O109" s="3">
        <v>15</v>
      </c>
      <c r="P109" s="3">
        <v>0.05</v>
      </c>
      <c r="Q109" s="3">
        <v>0.25</v>
      </c>
      <c r="R109" s="3" t="s">
        <v>760</v>
      </c>
      <c r="S109" s="3" t="s">
        <v>321</v>
      </c>
      <c r="T109" s="3" t="s">
        <v>85</v>
      </c>
      <c r="U109" s="3" t="s">
        <v>761</v>
      </c>
      <c r="V109" s="3"/>
      <c r="W109" s="3"/>
      <c r="X109" s="3"/>
      <c r="Y109" s="3"/>
      <c r="Z109" s="3" t="s">
        <v>245</v>
      </c>
      <c r="AA109" s="3" t="s">
        <v>127</v>
      </c>
      <c r="AB109" s="3" t="s">
        <v>89</v>
      </c>
    </row>
    <row r="110" spans="1:28" ht="26" x14ac:dyDescent="0.5">
      <c r="A110" s="11">
        <v>109</v>
      </c>
      <c r="B110" s="11" t="s">
        <v>731</v>
      </c>
      <c r="C110" s="11" t="s">
        <v>762</v>
      </c>
      <c r="D110" s="11" t="s">
        <v>763</v>
      </c>
      <c r="E110" s="11" t="s">
        <v>764</v>
      </c>
      <c r="F110" s="11" t="s">
        <v>765</v>
      </c>
      <c r="G110" s="11" t="s">
        <v>30</v>
      </c>
      <c r="H110" s="11" t="s">
        <v>30</v>
      </c>
      <c r="I110" s="12">
        <v>85000</v>
      </c>
      <c r="J110" s="13">
        <v>100000</v>
      </c>
      <c r="K110" s="13">
        <v>65000</v>
      </c>
      <c r="L110" s="11" t="s">
        <v>177</v>
      </c>
      <c r="M110" s="11">
        <v>11000000</v>
      </c>
      <c r="N110" s="11">
        <v>1</v>
      </c>
      <c r="O110" s="11">
        <v>15</v>
      </c>
      <c r="P110" s="11">
        <v>0.06</v>
      </c>
      <c r="Q110" s="11">
        <v>0</v>
      </c>
      <c r="R110" s="11" t="s">
        <v>766</v>
      </c>
      <c r="S110" s="11" t="s">
        <v>140</v>
      </c>
      <c r="T110" s="11" t="s">
        <v>85</v>
      </c>
      <c r="U110" s="11" t="s">
        <v>767</v>
      </c>
      <c r="V110" s="11"/>
      <c r="W110" s="11"/>
      <c r="X110" s="11"/>
      <c r="Y110" s="11"/>
      <c r="Z110" s="11" t="s">
        <v>245</v>
      </c>
      <c r="AA110" s="11" t="s">
        <v>102</v>
      </c>
      <c r="AB110" s="11" t="s">
        <v>89</v>
      </c>
    </row>
    <row r="111" spans="1:28" ht="26" x14ac:dyDescent="0.5">
      <c r="A111" s="3">
        <v>110</v>
      </c>
      <c r="B111" s="3" t="s">
        <v>731</v>
      </c>
      <c r="C111" s="3" t="s">
        <v>768</v>
      </c>
      <c r="D111" s="3" t="s">
        <v>769</v>
      </c>
      <c r="E111" s="3" t="s">
        <v>770</v>
      </c>
      <c r="F111" s="3" t="s">
        <v>771</v>
      </c>
      <c r="G111" s="3" t="s">
        <v>28</v>
      </c>
      <c r="H111" s="3" t="s">
        <v>28</v>
      </c>
      <c r="I111" s="9">
        <v>16000</v>
      </c>
      <c r="J111" s="7">
        <v>20000</v>
      </c>
      <c r="K111" s="7">
        <v>12000</v>
      </c>
      <c r="L111" s="3" t="s">
        <v>177</v>
      </c>
      <c r="M111" s="3">
        <v>2000000</v>
      </c>
      <c r="N111" s="3">
        <v>2</v>
      </c>
      <c r="O111" s="3">
        <v>10</v>
      </c>
      <c r="P111" s="3">
        <v>0.06</v>
      </c>
      <c r="Q111" s="3">
        <v>0</v>
      </c>
      <c r="R111" s="3" t="s">
        <v>772</v>
      </c>
      <c r="S111" s="3" t="s">
        <v>140</v>
      </c>
      <c r="T111" s="3" t="s">
        <v>85</v>
      </c>
      <c r="U111" s="3" t="s">
        <v>773</v>
      </c>
      <c r="V111" s="3"/>
      <c r="W111" s="3"/>
      <c r="X111" s="3"/>
      <c r="Y111" s="3"/>
      <c r="Z111" s="3" t="s">
        <v>245</v>
      </c>
      <c r="AA111" s="3" t="s">
        <v>127</v>
      </c>
      <c r="AB111" s="3" t="s">
        <v>89</v>
      </c>
    </row>
    <row r="112" spans="1:28" ht="26" x14ac:dyDescent="0.5">
      <c r="A112" s="11">
        <v>111</v>
      </c>
      <c r="B112" s="11" t="s">
        <v>774</v>
      </c>
      <c r="C112" s="11" t="s">
        <v>775</v>
      </c>
      <c r="D112" s="11" t="s">
        <v>776</v>
      </c>
      <c r="E112" s="11" t="s">
        <v>777</v>
      </c>
      <c r="F112" s="11" t="s">
        <v>778</v>
      </c>
      <c r="G112" s="11" t="s">
        <v>30</v>
      </c>
      <c r="H112" s="11" t="s">
        <v>30</v>
      </c>
      <c r="I112" s="12">
        <v>60000</v>
      </c>
      <c r="J112" s="13">
        <v>70000</v>
      </c>
      <c r="K112" s="13">
        <v>56000</v>
      </c>
      <c r="L112" s="11" t="s">
        <v>82</v>
      </c>
      <c r="M112" s="11">
        <v>8200000</v>
      </c>
      <c r="N112" s="11">
        <v>1</v>
      </c>
      <c r="O112" s="11">
        <v>10</v>
      </c>
      <c r="P112" s="11">
        <v>0.08</v>
      </c>
      <c r="Q112" s="11">
        <v>0.4</v>
      </c>
      <c r="R112" s="11" t="s">
        <v>779</v>
      </c>
      <c r="S112" s="11" t="s">
        <v>84</v>
      </c>
      <c r="T112" s="11" t="s">
        <v>85</v>
      </c>
      <c r="U112" s="11" t="s">
        <v>780</v>
      </c>
      <c r="V112" s="11"/>
      <c r="W112" s="11"/>
      <c r="X112" s="11"/>
      <c r="Y112" s="11"/>
      <c r="Z112" s="11" t="s">
        <v>245</v>
      </c>
      <c r="AA112" s="11" t="s">
        <v>127</v>
      </c>
      <c r="AB112" s="11" t="s">
        <v>89</v>
      </c>
    </row>
    <row r="113" spans="1:28" ht="39" x14ac:dyDescent="0.5">
      <c r="A113" s="3">
        <v>112</v>
      </c>
      <c r="B113" s="3" t="s">
        <v>774</v>
      </c>
      <c r="C113" s="3" t="s">
        <v>781</v>
      </c>
      <c r="D113" s="3" t="s">
        <v>782</v>
      </c>
      <c r="E113" s="3" t="s">
        <v>783</v>
      </c>
      <c r="F113" s="3" t="s">
        <v>784</v>
      </c>
      <c r="G113" s="3" t="s">
        <v>26</v>
      </c>
      <c r="H113" s="3" t="s">
        <v>28</v>
      </c>
      <c r="I113" s="9">
        <v>12000</v>
      </c>
      <c r="J113" s="7">
        <v>14000</v>
      </c>
      <c r="K113" s="7">
        <v>11000</v>
      </c>
      <c r="L113" s="3" t="s">
        <v>82</v>
      </c>
      <c r="M113" s="3">
        <v>1650000</v>
      </c>
      <c r="N113" s="3">
        <v>2</v>
      </c>
      <c r="O113" s="3">
        <v>15</v>
      </c>
      <c r="P113" s="3">
        <v>0.03</v>
      </c>
      <c r="Q113" s="3">
        <v>0.5</v>
      </c>
      <c r="R113" s="3" t="s">
        <v>785</v>
      </c>
      <c r="S113" s="3" t="s">
        <v>321</v>
      </c>
      <c r="T113" s="3" t="s">
        <v>85</v>
      </c>
      <c r="U113" s="3" t="s">
        <v>786</v>
      </c>
      <c r="V113" s="3"/>
      <c r="W113" s="3"/>
      <c r="X113" s="3"/>
      <c r="Y113" s="3"/>
      <c r="Z113" s="3" t="s">
        <v>706</v>
      </c>
      <c r="AA113" s="3" t="s">
        <v>88</v>
      </c>
      <c r="AB113" s="3" t="s">
        <v>89</v>
      </c>
    </row>
    <row r="114" spans="1:28" ht="39" x14ac:dyDescent="0.5">
      <c r="A114" s="11">
        <v>113</v>
      </c>
      <c r="B114" s="11" t="s">
        <v>774</v>
      </c>
      <c r="C114" s="11" t="s">
        <v>787</v>
      </c>
      <c r="D114" s="11" t="s">
        <v>788</v>
      </c>
      <c r="E114" s="11" t="s">
        <v>789</v>
      </c>
      <c r="F114" s="11" t="s">
        <v>790</v>
      </c>
      <c r="G114" s="11" t="s">
        <v>30</v>
      </c>
      <c r="H114" s="11" t="s">
        <v>30</v>
      </c>
      <c r="I114" s="12">
        <v>320000</v>
      </c>
      <c r="J114" s="13">
        <v>380000</v>
      </c>
      <c r="K114" s="13">
        <v>305000</v>
      </c>
      <c r="L114" s="11" t="s">
        <v>82</v>
      </c>
      <c r="M114" s="11">
        <v>44000000</v>
      </c>
      <c r="N114" s="11">
        <v>1</v>
      </c>
      <c r="O114" s="11">
        <v>20</v>
      </c>
      <c r="P114" s="11">
        <v>0.05</v>
      </c>
      <c r="Q114" s="11">
        <v>0.8</v>
      </c>
      <c r="R114" s="11" t="s">
        <v>791</v>
      </c>
      <c r="S114" s="11" t="s">
        <v>321</v>
      </c>
      <c r="T114" s="11" t="s">
        <v>85</v>
      </c>
      <c r="U114" s="11" t="s">
        <v>792</v>
      </c>
      <c r="V114" s="11"/>
      <c r="W114" s="11"/>
      <c r="X114" s="11"/>
      <c r="Y114" s="11"/>
      <c r="Z114" s="11" t="s">
        <v>245</v>
      </c>
      <c r="AA114" s="11" t="s">
        <v>88</v>
      </c>
      <c r="AB114" s="11" t="s">
        <v>89</v>
      </c>
    </row>
    <row r="115" spans="1:28" ht="26" x14ac:dyDescent="0.5">
      <c r="A115" s="3">
        <v>114</v>
      </c>
      <c r="B115" s="3" t="s">
        <v>774</v>
      </c>
      <c r="C115" s="3" t="s">
        <v>793</v>
      </c>
      <c r="D115" s="3" t="s">
        <v>794</v>
      </c>
      <c r="E115" s="3" t="s">
        <v>795</v>
      </c>
      <c r="F115" s="3" t="s">
        <v>796</v>
      </c>
      <c r="G115" s="3" t="s">
        <v>26</v>
      </c>
      <c r="H115" s="3" t="s">
        <v>28</v>
      </c>
      <c r="I115" s="9">
        <v>38000</v>
      </c>
      <c r="J115" s="7">
        <v>45000</v>
      </c>
      <c r="K115" s="7">
        <v>36000</v>
      </c>
      <c r="L115" s="3" t="s">
        <v>82</v>
      </c>
      <c r="M115" s="3">
        <v>5200000</v>
      </c>
      <c r="N115" s="3">
        <v>1</v>
      </c>
      <c r="O115" s="3">
        <v>12</v>
      </c>
      <c r="P115" s="3">
        <v>0.04</v>
      </c>
      <c r="Q115" s="3">
        <v>1.5</v>
      </c>
      <c r="R115" s="3" t="s">
        <v>797</v>
      </c>
      <c r="S115" s="3" t="s">
        <v>140</v>
      </c>
      <c r="T115" s="3" t="s">
        <v>85</v>
      </c>
      <c r="U115" s="3" t="s">
        <v>798</v>
      </c>
      <c r="V115" s="3"/>
      <c r="W115" s="3"/>
      <c r="X115" s="3"/>
      <c r="Y115" s="3"/>
      <c r="Z115" s="3" t="s">
        <v>245</v>
      </c>
      <c r="AA115" s="3" t="s">
        <v>88</v>
      </c>
      <c r="AB115" s="3" t="s">
        <v>89</v>
      </c>
    </row>
    <row r="116" spans="1:28" ht="26" x14ac:dyDescent="0.5">
      <c r="A116" s="11">
        <v>115</v>
      </c>
      <c r="B116" s="11" t="s">
        <v>774</v>
      </c>
      <c r="C116" s="11" t="s">
        <v>799</v>
      </c>
      <c r="D116" s="11" t="s">
        <v>800</v>
      </c>
      <c r="E116" s="11" t="s">
        <v>801</v>
      </c>
      <c r="F116" s="11" t="s">
        <v>802</v>
      </c>
      <c r="G116" s="11" t="s">
        <v>26</v>
      </c>
      <c r="H116" s="11" t="s">
        <v>28</v>
      </c>
      <c r="I116" s="12">
        <v>9000</v>
      </c>
      <c r="J116" s="13">
        <v>11000</v>
      </c>
      <c r="K116" s="13">
        <v>8500</v>
      </c>
      <c r="L116" s="11" t="s">
        <v>82</v>
      </c>
      <c r="M116" s="11">
        <v>1240000</v>
      </c>
      <c r="N116" s="11">
        <v>2</v>
      </c>
      <c r="O116" s="11">
        <v>15</v>
      </c>
      <c r="P116" s="11">
        <v>0.03</v>
      </c>
      <c r="Q116" s="11">
        <v>0</v>
      </c>
      <c r="R116" s="11" t="s">
        <v>803</v>
      </c>
      <c r="S116" s="11" t="s">
        <v>84</v>
      </c>
      <c r="T116" s="11" t="s">
        <v>85</v>
      </c>
      <c r="U116" s="11" t="s">
        <v>804</v>
      </c>
      <c r="V116" s="11"/>
      <c r="W116" s="11"/>
      <c r="X116" s="11"/>
      <c r="Y116" s="11"/>
      <c r="Z116" s="11" t="s">
        <v>245</v>
      </c>
      <c r="AA116" s="11" t="s">
        <v>127</v>
      </c>
      <c r="AB116" s="11" t="s">
        <v>89</v>
      </c>
    </row>
    <row r="117" spans="1:28" ht="26" x14ac:dyDescent="0.5">
      <c r="A117" s="3">
        <v>116</v>
      </c>
      <c r="B117" s="3" t="s">
        <v>774</v>
      </c>
      <c r="C117" s="3" t="s">
        <v>805</v>
      </c>
      <c r="D117" s="3" t="s">
        <v>806</v>
      </c>
      <c r="E117" s="3" t="s">
        <v>807</v>
      </c>
      <c r="F117" s="3" t="s">
        <v>808</v>
      </c>
      <c r="G117" s="3" t="s">
        <v>26</v>
      </c>
      <c r="H117" s="3" t="s">
        <v>26</v>
      </c>
      <c r="I117" s="9">
        <v>12000</v>
      </c>
      <c r="J117" s="7">
        <v>14000</v>
      </c>
      <c r="K117" s="7">
        <v>11000</v>
      </c>
      <c r="L117" s="3" t="s">
        <v>82</v>
      </c>
      <c r="M117" s="3">
        <v>1650000</v>
      </c>
      <c r="N117" s="3">
        <v>2</v>
      </c>
      <c r="O117" s="3">
        <v>5</v>
      </c>
      <c r="P117" s="3">
        <v>0.08</v>
      </c>
      <c r="Q117" s="3">
        <v>0.2</v>
      </c>
      <c r="R117" s="3" t="s">
        <v>809</v>
      </c>
      <c r="S117" s="3" t="s">
        <v>140</v>
      </c>
      <c r="T117" s="3" t="s">
        <v>85</v>
      </c>
      <c r="U117" s="3" t="s">
        <v>810</v>
      </c>
      <c r="V117" s="3"/>
      <c r="W117" s="3"/>
      <c r="X117" s="3"/>
      <c r="Y117" s="3"/>
      <c r="Z117" s="3" t="s">
        <v>245</v>
      </c>
      <c r="AA117" s="3" t="s">
        <v>127</v>
      </c>
      <c r="AB117" s="3" t="s">
        <v>89</v>
      </c>
    </row>
    <row r="118" spans="1:28" ht="39" x14ac:dyDescent="0.5">
      <c r="A118" s="11">
        <v>117</v>
      </c>
      <c r="B118" s="11" t="s">
        <v>774</v>
      </c>
      <c r="C118" s="11" t="s">
        <v>811</v>
      </c>
      <c r="D118" s="11" t="s">
        <v>812</v>
      </c>
      <c r="E118" s="11" t="s">
        <v>813</v>
      </c>
      <c r="F118" s="11" t="s">
        <v>814</v>
      </c>
      <c r="G118" s="11" t="s">
        <v>30</v>
      </c>
      <c r="H118" s="11" t="s">
        <v>30</v>
      </c>
      <c r="I118" s="12">
        <v>350000</v>
      </c>
      <c r="J118" s="13">
        <v>420000</v>
      </c>
      <c r="K118" s="13">
        <v>335000</v>
      </c>
      <c r="L118" s="11" t="s">
        <v>82</v>
      </c>
      <c r="M118" s="11">
        <v>48000000</v>
      </c>
      <c r="N118" s="11">
        <v>1</v>
      </c>
      <c r="O118" s="11">
        <v>12</v>
      </c>
      <c r="P118" s="11">
        <v>0.1</v>
      </c>
      <c r="Q118" s="11">
        <v>1</v>
      </c>
      <c r="R118" s="11" t="s">
        <v>815</v>
      </c>
      <c r="S118" s="11" t="s">
        <v>84</v>
      </c>
      <c r="T118" s="11" t="s">
        <v>85</v>
      </c>
      <c r="U118" s="11" t="s">
        <v>816</v>
      </c>
      <c r="V118" s="11"/>
      <c r="W118" s="11"/>
      <c r="X118" s="11"/>
      <c r="Y118" s="11"/>
      <c r="Z118" s="11" t="s">
        <v>817</v>
      </c>
      <c r="AA118" s="11" t="s">
        <v>127</v>
      </c>
      <c r="AB118" s="11" t="s">
        <v>89</v>
      </c>
    </row>
    <row r="119" spans="1:28" ht="26" x14ac:dyDescent="0.5">
      <c r="A119" s="3">
        <v>118</v>
      </c>
      <c r="B119" s="3" t="s">
        <v>774</v>
      </c>
      <c r="C119" s="3" t="s">
        <v>818</v>
      </c>
      <c r="D119" s="3" t="s">
        <v>819</v>
      </c>
      <c r="E119" s="3" t="s">
        <v>820</v>
      </c>
      <c r="F119" s="3" t="s">
        <v>821</v>
      </c>
      <c r="G119" s="3" t="s">
        <v>30</v>
      </c>
      <c r="H119" s="3" t="s">
        <v>28</v>
      </c>
      <c r="I119" s="9">
        <v>12000</v>
      </c>
      <c r="J119" s="7">
        <v>14000</v>
      </c>
      <c r="K119" s="7">
        <v>11000</v>
      </c>
      <c r="L119" s="3" t="s">
        <v>82</v>
      </c>
      <c r="M119" s="3">
        <v>1650000</v>
      </c>
      <c r="N119" s="3">
        <v>2</v>
      </c>
      <c r="O119" s="3">
        <v>12</v>
      </c>
      <c r="P119" s="3">
        <v>0.03</v>
      </c>
      <c r="Q119" s="3">
        <v>0.2</v>
      </c>
      <c r="R119" s="3" t="s">
        <v>822</v>
      </c>
      <c r="S119" s="3" t="s">
        <v>84</v>
      </c>
      <c r="T119" s="3" t="s">
        <v>85</v>
      </c>
      <c r="U119" s="3" t="s">
        <v>823</v>
      </c>
      <c r="V119" s="3"/>
      <c r="W119" s="3"/>
      <c r="X119" s="3"/>
      <c r="Y119" s="3"/>
      <c r="Z119" s="3" t="s">
        <v>245</v>
      </c>
      <c r="AA119" s="3" t="s">
        <v>127</v>
      </c>
      <c r="AB119" s="3" t="s">
        <v>89</v>
      </c>
    </row>
    <row r="120" spans="1:28" ht="26" x14ac:dyDescent="0.5">
      <c r="A120" s="11">
        <v>119</v>
      </c>
      <c r="B120" s="11" t="s">
        <v>774</v>
      </c>
      <c r="C120" s="11" t="s">
        <v>824</v>
      </c>
      <c r="D120" s="11" t="s">
        <v>825</v>
      </c>
      <c r="E120" s="11" t="s">
        <v>826</v>
      </c>
      <c r="F120" s="11" t="s">
        <v>827</v>
      </c>
      <c r="G120" s="11" t="s">
        <v>26</v>
      </c>
      <c r="H120" s="11" t="s">
        <v>26</v>
      </c>
      <c r="I120" s="12">
        <v>9000</v>
      </c>
      <c r="J120" s="13">
        <v>10500</v>
      </c>
      <c r="K120" s="13">
        <v>8500</v>
      </c>
      <c r="L120" s="11" t="s">
        <v>82</v>
      </c>
      <c r="M120" s="11">
        <v>1240000</v>
      </c>
      <c r="N120" s="11">
        <v>2</v>
      </c>
      <c r="O120" s="11">
        <v>8</v>
      </c>
      <c r="P120" s="11">
        <v>0.06</v>
      </c>
      <c r="Q120" s="11">
        <v>0.1</v>
      </c>
      <c r="R120" s="11" t="s">
        <v>828</v>
      </c>
      <c r="S120" s="11" t="s">
        <v>84</v>
      </c>
      <c r="T120" s="11" t="s">
        <v>85</v>
      </c>
      <c r="U120" s="11" t="s">
        <v>829</v>
      </c>
      <c r="V120" s="11"/>
      <c r="W120" s="11"/>
      <c r="X120" s="11"/>
      <c r="Y120" s="11"/>
      <c r="Z120" s="11" t="s">
        <v>245</v>
      </c>
      <c r="AA120" s="11" t="s">
        <v>102</v>
      </c>
      <c r="AB120" s="11" t="s">
        <v>89</v>
      </c>
    </row>
    <row r="121" spans="1:28" ht="26" x14ac:dyDescent="0.5">
      <c r="A121" s="3">
        <v>120</v>
      </c>
      <c r="B121" s="3" t="s">
        <v>774</v>
      </c>
      <c r="C121" s="3" t="s">
        <v>830</v>
      </c>
      <c r="D121" s="3" t="s">
        <v>831</v>
      </c>
      <c r="E121" s="3" t="s">
        <v>832</v>
      </c>
      <c r="F121" s="3" t="s">
        <v>833</v>
      </c>
      <c r="G121" s="3" t="s">
        <v>26</v>
      </c>
      <c r="H121" s="3" t="s">
        <v>26</v>
      </c>
      <c r="I121" s="9">
        <v>18000</v>
      </c>
      <c r="J121" s="7">
        <v>22000</v>
      </c>
      <c r="K121" s="7">
        <v>17000</v>
      </c>
      <c r="L121" s="3" t="s">
        <v>82</v>
      </c>
      <c r="M121" s="3">
        <v>2480000</v>
      </c>
      <c r="N121" s="3">
        <v>1</v>
      </c>
      <c r="O121" s="3">
        <v>8</v>
      </c>
      <c r="P121" s="3">
        <v>0.04</v>
      </c>
      <c r="Q121" s="3">
        <v>0.5</v>
      </c>
      <c r="R121" s="3" t="s">
        <v>834</v>
      </c>
      <c r="S121" s="3" t="s">
        <v>84</v>
      </c>
      <c r="T121" s="3" t="s">
        <v>85</v>
      </c>
      <c r="U121" s="3" t="s">
        <v>835</v>
      </c>
      <c r="V121" s="3"/>
      <c r="W121" s="3"/>
      <c r="X121" s="3"/>
      <c r="Y121" s="3"/>
      <c r="Z121" s="3" t="s">
        <v>245</v>
      </c>
      <c r="AA121" s="3" t="s">
        <v>127</v>
      </c>
      <c r="AB121" s="3" t="s">
        <v>89</v>
      </c>
    </row>
    <row r="122" spans="1:28" ht="26" x14ac:dyDescent="0.5">
      <c r="A122" s="11">
        <v>121</v>
      </c>
      <c r="B122" s="11" t="s">
        <v>836</v>
      </c>
      <c r="C122" s="11" t="s">
        <v>837</v>
      </c>
      <c r="D122" s="11" t="s">
        <v>838</v>
      </c>
      <c r="E122" s="11" t="s">
        <v>839</v>
      </c>
      <c r="F122" s="11" t="s">
        <v>840</v>
      </c>
      <c r="G122" s="11" t="s">
        <v>28</v>
      </c>
      <c r="H122" s="11" t="s">
        <v>28</v>
      </c>
      <c r="I122" s="12">
        <v>11000</v>
      </c>
      <c r="J122" s="13">
        <v>13000</v>
      </c>
      <c r="K122" s="13">
        <v>10000</v>
      </c>
      <c r="L122" s="11" t="s">
        <v>82</v>
      </c>
      <c r="M122" s="11">
        <v>1500000</v>
      </c>
      <c r="N122" s="11">
        <v>2</v>
      </c>
      <c r="O122" s="11">
        <v>12</v>
      </c>
      <c r="P122" s="11">
        <v>0.05</v>
      </c>
      <c r="Q122" s="11">
        <v>0.8</v>
      </c>
      <c r="R122" s="11" t="s">
        <v>841</v>
      </c>
      <c r="S122" s="11" t="s">
        <v>140</v>
      </c>
      <c r="T122" s="11" t="s">
        <v>85</v>
      </c>
      <c r="U122" s="11" t="s">
        <v>842</v>
      </c>
      <c r="V122" s="11"/>
      <c r="W122" s="11"/>
      <c r="X122" s="11"/>
      <c r="Y122" s="11"/>
      <c r="Z122" s="11" t="s">
        <v>245</v>
      </c>
      <c r="AA122" s="11" t="s">
        <v>88</v>
      </c>
      <c r="AB122" s="11" t="s">
        <v>89</v>
      </c>
    </row>
    <row r="123" spans="1:28" ht="26" x14ac:dyDescent="0.5">
      <c r="A123" s="3">
        <v>122</v>
      </c>
      <c r="B123" s="3" t="s">
        <v>836</v>
      </c>
      <c r="C123" s="3" t="s">
        <v>843</v>
      </c>
      <c r="D123" s="3" t="s">
        <v>844</v>
      </c>
      <c r="E123" s="3" t="s">
        <v>845</v>
      </c>
      <c r="F123" s="3" t="s">
        <v>846</v>
      </c>
      <c r="G123" s="3" t="s">
        <v>28</v>
      </c>
      <c r="H123" s="3" t="s">
        <v>28</v>
      </c>
      <c r="I123" s="9">
        <v>9000</v>
      </c>
      <c r="J123" s="7">
        <v>11000</v>
      </c>
      <c r="K123" s="7">
        <v>8500</v>
      </c>
      <c r="L123" s="3" t="s">
        <v>82</v>
      </c>
      <c r="M123" s="3">
        <v>1240000</v>
      </c>
      <c r="N123" s="3">
        <v>1</v>
      </c>
      <c r="O123" s="3">
        <v>8</v>
      </c>
      <c r="P123" s="3">
        <v>0.06</v>
      </c>
      <c r="Q123" s="3">
        <v>0.1</v>
      </c>
      <c r="R123" s="3" t="s">
        <v>847</v>
      </c>
      <c r="S123" s="3" t="s">
        <v>84</v>
      </c>
      <c r="T123" s="3" t="s">
        <v>85</v>
      </c>
      <c r="U123" s="3" t="s">
        <v>848</v>
      </c>
      <c r="V123" s="3"/>
      <c r="W123" s="3"/>
      <c r="X123" s="3"/>
      <c r="Y123" s="3"/>
      <c r="Z123" s="3" t="s">
        <v>245</v>
      </c>
      <c r="AA123" s="3" t="s">
        <v>88</v>
      </c>
      <c r="AB123" s="3" t="s">
        <v>89</v>
      </c>
    </row>
    <row r="124" spans="1:28" ht="26" x14ac:dyDescent="0.5">
      <c r="A124" s="11">
        <v>123</v>
      </c>
      <c r="B124" s="11" t="s">
        <v>836</v>
      </c>
      <c r="C124" s="11" t="s">
        <v>849</v>
      </c>
      <c r="D124" s="11" t="s">
        <v>850</v>
      </c>
      <c r="E124" s="11" t="s">
        <v>851</v>
      </c>
      <c r="F124" s="11" t="s">
        <v>852</v>
      </c>
      <c r="G124" s="11" t="s">
        <v>28</v>
      </c>
      <c r="H124" s="11" t="s">
        <v>28</v>
      </c>
      <c r="I124" s="12">
        <v>7000</v>
      </c>
      <c r="J124" s="13">
        <v>8500</v>
      </c>
      <c r="K124" s="13">
        <v>6700</v>
      </c>
      <c r="L124" s="11" t="s">
        <v>82</v>
      </c>
      <c r="M124" s="11">
        <v>970000</v>
      </c>
      <c r="N124" s="11">
        <v>1</v>
      </c>
      <c r="O124" s="11">
        <v>8</v>
      </c>
      <c r="P124" s="11">
        <v>0.05</v>
      </c>
      <c r="Q124" s="11">
        <v>0.1</v>
      </c>
      <c r="R124" s="11" t="s">
        <v>853</v>
      </c>
      <c r="S124" s="11" t="s">
        <v>140</v>
      </c>
      <c r="T124" s="11" t="s">
        <v>85</v>
      </c>
      <c r="U124" s="11" t="s">
        <v>854</v>
      </c>
      <c r="V124" s="11"/>
      <c r="W124" s="11"/>
      <c r="X124" s="11"/>
      <c r="Y124" s="11"/>
      <c r="Z124" s="11" t="s">
        <v>245</v>
      </c>
      <c r="AA124" s="11" t="s">
        <v>102</v>
      </c>
      <c r="AB124" s="11" t="s">
        <v>89</v>
      </c>
    </row>
    <row r="125" spans="1:28" ht="26" x14ac:dyDescent="0.5">
      <c r="A125" s="3">
        <v>124</v>
      </c>
      <c r="B125" s="3" t="s">
        <v>836</v>
      </c>
      <c r="C125" s="3" t="s">
        <v>855</v>
      </c>
      <c r="D125" s="3" t="s">
        <v>856</v>
      </c>
      <c r="E125" s="3" t="s">
        <v>857</v>
      </c>
      <c r="F125" s="3" t="s">
        <v>858</v>
      </c>
      <c r="G125" s="3" t="s">
        <v>28</v>
      </c>
      <c r="H125" s="3" t="s">
        <v>30</v>
      </c>
      <c r="I125" s="9">
        <v>70000</v>
      </c>
      <c r="J125" s="7">
        <v>82000</v>
      </c>
      <c r="K125" s="7">
        <v>65000</v>
      </c>
      <c r="L125" s="3" t="s">
        <v>82</v>
      </c>
      <c r="M125" s="3">
        <v>9700000</v>
      </c>
      <c r="N125" s="3">
        <v>1</v>
      </c>
      <c r="O125" s="3">
        <v>8</v>
      </c>
      <c r="P125" s="3">
        <v>7.0000000000000007E-2</v>
      </c>
      <c r="Q125" s="3">
        <v>0.3</v>
      </c>
      <c r="R125" s="3" t="s">
        <v>859</v>
      </c>
      <c r="S125" s="3" t="s">
        <v>84</v>
      </c>
      <c r="T125" s="3" t="s">
        <v>85</v>
      </c>
      <c r="U125" s="3" t="s">
        <v>860</v>
      </c>
      <c r="V125" s="3"/>
      <c r="W125" s="3"/>
      <c r="X125" s="3"/>
      <c r="Y125" s="3"/>
      <c r="Z125" s="3" t="s">
        <v>245</v>
      </c>
      <c r="AA125" s="3" t="s">
        <v>102</v>
      </c>
      <c r="AB125" s="3" t="s">
        <v>89</v>
      </c>
    </row>
    <row r="126" spans="1:28" ht="52" x14ac:dyDescent="0.5">
      <c r="A126" s="11">
        <v>125</v>
      </c>
      <c r="B126" s="11" t="s">
        <v>861</v>
      </c>
      <c r="C126" s="11" t="s">
        <v>862</v>
      </c>
      <c r="D126" s="11" t="s">
        <v>863</v>
      </c>
      <c r="E126" s="11" t="s">
        <v>864</v>
      </c>
      <c r="F126" s="11" t="s">
        <v>865</v>
      </c>
      <c r="G126" s="11" t="s">
        <v>30</v>
      </c>
      <c r="H126" s="11" t="s">
        <v>30</v>
      </c>
      <c r="I126" s="12">
        <v>15000</v>
      </c>
      <c r="J126" s="13">
        <v>17000</v>
      </c>
      <c r="K126" s="13">
        <v>12000</v>
      </c>
      <c r="L126" s="11" t="s">
        <v>201</v>
      </c>
      <c r="M126" s="11">
        <v>2100000</v>
      </c>
      <c r="N126" s="11">
        <v>1</v>
      </c>
      <c r="O126" s="11">
        <v>5</v>
      </c>
      <c r="P126" s="11">
        <v>0.2</v>
      </c>
      <c r="Q126" s="11">
        <v>0</v>
      </c>
      <c r="R126" s="11" t="s">
        <v>866</v>
      </c>
      <c r="S126" s="11" t="s">
        <v>321</v>
      </c>
      <c r="T126" s="11" t="s">
        <v>85</v>
      </c>
      <c r="U126" s="11" t="s">
        <v>867</v>
      </c>
      <c r="V126" s="11"/>
      <c r="W126" s="11"/>
      <c r="X126" s="11"/>
      <c r="Y126" s="11"/>
      <c r="Z126" s="11" t="s">
        <v>245</v>
      </c>
      <c r="AA126" s="11" t="s">
        <v>102</v>
      </c>
      <c r="AB126" s="11" t="s">
        <v>89</v>
      </c>
    </row>
    <row r="127" spans="1:28" ht="39" x14ac:dyDescent="0.5">
      <c r="A127" s="3">
        <v>126</v>
      </c>
      <c r="B127" s="3" t="s">
        <v>861</v>
      </c>
      <c r="C127" s="3" t="s">
        <v>868</v>
      </c>
      <c r="D127" s="3" t="s">
        <v>869</v>
      </c>
      <c r="E127" s="3" t="s">
        <v>870</v>
      </c>
      <c r="F127" s="3" t="s">
        <v>871</v>
      </c>
      <c r="G127" s="3" t="s">
        <v>30</v>
      </c>
      <c r="H127" s="3" t="s">
        <v>30</v>
      </c>
      <c r="I127" s="9">
        <v>45000</v>
      </c>
      <c r="J127" s="7">
        <v>52000</v>
      </c>
      <c r="K127" s="7">
        <v>38000</v>
      </c>
      <c r="L127" s="3" t="s">
        <v>177</v>
      </c>
      <c r="M127" s="3">
        <v>6200000</v>
      </c>
      <c r="N127" s="3">
        <v>1</v>
      </c>
      <c r="O127" s="3">
        <v>8</v>
      </c>
      <c r="P127" s="3">
        <v>7.0000000000000007E-2</v>
      </c>
      <c r="Q127" s="3">
        <v>0.3</v>
      </c>
      <c r="R127" s="3" t="s">
        <v>872</v>
      </c>
      <c r="S127" s="3" t="s">
        <v>84</v>
      </c>
      <c r="T127" s="3" t="s">
        <v>85</v>
      </c>
      <c r="U127" s="3" t="s">
        <v>873</v>
      </c>
      <c r="V127" s="3"/>
      <c r="W127" s="3"/>
      <c r="X127" s="3"/>
      <c r="Y127" s="3"/>
      <c r="Z127" s="3" t="s">
        <v>245</v>
      </c>
      <c r="AA127" s="3" t="s">
        <v>102</v>
      </c>
      <c r="AB127" s="3" t="s">
        <v>89</v>
      </c>
    </row>
    <row r="128" spans="1:28" ht="39" x14ac:dyDescent="0.5">
      <c r="A128" s="11">
        <v>127</v>
      </c>
      <c r="B128" s="11" t="s">
        <v>861</v>
      </c>
      <c r="C128" s="11" t="s">
        <v>874</v>
      </c>
      <c r="D128" s="11" t="s">
        <v>875</v>
      </c>
      <c r="E128" s="11" t="s">
        <v>876</v>
      </c>
      <c r="F128" s="11" t="s">
        <v>877</v>
      </c>
      <c r="G128" s="11" t="s">
        <v>28</v>
      </c>
      <c r="H128" s="11" t="s">
        <v>30</v>
      </c>
      <c r="I128" s="12">
        <v>18000</v>
      </c>
      <c r="J128" s="13">
        <v>20000</v>
      </c>
      <c r="K128" s="13">
        <v>14000</v>
      </c>
      <c r="L128" s="11" t="s">
        <v>177</v>
      </c>
      <c r="M128" s="11">
        <v>2500000</v>
      </c>
      <c r="N128" s="11">
        <v>5</v>
      </c>
      <c r="O128" s="11">
        <v>5</v>
      </c>
      <c r="P128" s="11">
        <v>0.05</v>
      </c>
      <c r="Q128" s="11">
        <v>0</v>
      </c>
      <c r="R128" s="11" t="s">
        <v>878</v>
      </c>
      <c r="S128" s="11" t="s">
        <v>84</v>
      </c>
      <c r="T128" s="11" t="s">
        <v>85</v>
      </c>
      <c r="U128" s="11" t="s">
        <v>879</v>
      </c>
      <c r="V128" s="11"/>
      <c r="W128" s="11"/>
      <c r="X128" s="11"/>
      <c r="Y128" s="11"/>
      <c r="Z128" s="11" t="s">
        <v>245</v>
      </c>
      <c r="AA128" s="11" t="s">
        <v>102</v>
      </c>
      <c r="AB128" s="11" t="s">
        <v>89</v>
      </c>
    </row>
    <row r="129" spans="1:28" ht="39" x14ac:dyDescent="0.5">
      <c r="A129" s="3">
        <v>128</v>
      </c>
      <c r="B129" s="3" t="s">
        <v>861</v>
      </c>
      <c r="C129" s="3" t="s">
        <v>880</v>
      </c>
      <c r="D129" s="3" t="s">
        <v>881</v>
      </c>
      <c r="E129" s="3" t="s">
        <v>882</v>
      </c>
      <c r="F129" s="3" t="s">
        <v>883</v>
      </c>
      <c r="G129" s="3" t="s">
        <v>30</v>
      </c>
      <c r="H129" s="3" t="s">
        <v>30</v>
      </c>
      <c r="I129" s="9">
        <v>90000</v>
      </c>
      <c r="J129" s="7">
        <v>105000</v>
      </c>
      <c r="K129" s="7">
        <v>70000</v>
      </c>
      <c r="L129" s="3" t="s">
        <v>177</v>
      </c>
      <c r="M129" s="3">
        <v>12500000</v>
      </c>
      <c r="N129" s="3">
        <v>1</v>
      </c>
      <c r="O129" s="3">
        <v>8</v>
      </c>
      <c r="P129" s="3">
        <v>0.08</v>
      </c>
      <c r="Q129" s="3">
        <v>0.5</v>
      </c>
      <c r="R129" s="3" t="s">
        <v>884</v>
      </c>
      <c r="S129" s="3" t="s">
        <v>84</v>
      </c>
      <c r="T129" s="3" t="s">
        <v>85</v>
      </c>
      <c r="U129" s="3" t="s">
        <v>885</v>
      </c>
      <c r="V129" s="3"/>
      <c r="W129" s="3"/>
      <c r="X129" s="3"/>
      <c r="Y129" s="3"/>
      <c r="Z129" s="3" t="s">
        <v>245</v>
      </c>
      <c r="AA129" s="3" t="s">
        <v>102</v>
      </c>
      <c r="AB129" s="3" t="s">
        <v>89</v>
      </c>
    </row>
    <row r="130" spans="1:28" ht="39" x14ac:dyDescent="0.5">
      <c r="A130" s="11">
        <v>129</v>
      </c>
      <c r="B130" s="11" t="s">
        <v>861</v>
      </c>
      <c r="C130" s="11" t="s">
        <v>886</v>
      </c>
      <c r="D130" s="11" t="s">
        <v>887</v>
      </c>
      <c r="E130" s="11" t="s">
        <v>888</v>
      </c>
      <c r="F130" s="11" t="s">
        <v>889</v>
      </c>
      <c r="G130" s="11" t="s">
        <v>28</v>
      </c>
      <c r="H130" s="11" t="s">
        <v>30</v>
      </c>
      <c r="I130" s="12">
        <v>8000</v>
      </c>
      <c r="J130" s="13">
        <v>9000</v>
      </c>
      <c r="K130" s="13">
        <v>6500</v>
      </c>
      <c r="L130" s="11" t="s">
        <v>177</v>
      </c>
      <c r="M130" s="11">
        <v>1100000</v>
      </c>
      <c r="N130" s="11">
        <v>25</v>
      </c>
      <c r="O130" s="11">
        <v>3</v>
      </c>
      <c r="P130" s="11">
        <v>0.1</v>
      </c>
      <c r="Q130" s="11">
        <v>0</v>
      </c>
      <c r="R130" s="11" t="s">
        <v>890</v>
      </c>
      <c r="S130" s="11" t="s">
        <v>140</v>
      </c>
      <c r="T130" s="11" t="s">
        <v>85</v>
      </c>
      <c r="U130" s="11" t="s">
        <v>891</v>
      </c>
      <c r="V130" s="11"/>
      <c r="W130" s="11"/>
      <c r="X130" s="11"/>
      <c r="Y130" s="11"/>
      <c r="Z130" s="11" t="s">
        <v>245</v>
      </c>
      <c r="AA130" s="11" t="s">
        <v>102</v>
      </c>
      <c r="AB130" s="11" t="s">
        <v>89</v>
      </c>
    </row>
    <row r="131" spans="1:28" ht="26" x14ac:dyDescent="0.5">
      <c r="A131" s="3">
        <v>130</v>
      </c>
      <c r="B131" s="3" t="s">
        <v>892</v>
      </c>
      <c r="C131" s="3" t="s">
        <v>893</v>
      </c>
      <c r="D131" s="3" t="s">
        <v>894</v>
      </c>
      <c r="E131" s="3" t="s">
        <v>895</v>
      </c>
      <c r="F131" s="3" t="s">
        <v>896</v>
      </c>
      <c r="G131" s="3" t="s">
        <v>26</v>
      </c>
      <c r="H131" s="3" t="s">
        <v>28</v>
      </c>
      <c r="I131" s="9">
        <v>18000</v>
      </c>
      <c r="J131" s="7">
        <v>22000</v>
      </c>
      <c r="K131" s="7">
        <v>15000</v>
      </c>
      <c r="L131" s="3" t="s">
        <v>201</v>
      </c>
      <c r="M131" s="3">
        <v>2200000</v>
      </c>
      <c r="N131" s="3">
        <v>1</v>
      </c>
      <c r="O131" s="3">
        <v>5</v>
      </c>
      <c r="P131" s="3">
        <v>0</v>
      </c>
      <c r="Q131" s="3">
        <v>0</v>
      </c>
      <c r="R131" s="3" t="s">
        <v>897</v>
      </c>
      <c r="S131" s="3" t="s">
        <v>321</v>
      </c>
      <c r="T131" s="3" t="s">
        <v>85</v>
      </c>
      <c r="U131" s="3" t="s">
        <v>898</v>
      </c>
      <c r="V131" s="3">
        <v>14000</v>
      </c>
      <c r="W131" s="3">
        <v>17000</v>
      </c>
      <c r="X131" s="3">
        <v>11000</v>
      </c>
      <c r="Y131" s="3">
        <v>1400000</v>
      </c>
      <c r="Z131" s="3" t="s">
        <v>899</v>
      </c>
      <c r="AA131" s="3" t="s">
        <v>88</v>
      </c>
      <c r="AB131" s="3" t="s">
        <v>89</v>
      </c>
    </row>
    <row r="132" spans="1:28" ht="26" x14ac:dyDescent="0.5">
      <c r="A132" s="11">
        <v>131</v>
      </c>
      <c r="B132" s="11" t="s">
        <v>892</v>
      </c>
      <c r="C132" s="11" t="s">
        <v>900</v>
      </c>
      <c r="D132" s="11" t="s">
        <v>901</v>
      </c>
      <c r="E132" s="11" t="s">
        <v>902</v>
      </c>
      <c r="F132" s="11" t="s">
        <v>903</v>
      </c>
      <c r="G132" s="11" t="s">
        <v>26</v>
      </c>
      <c r="H132" s="11" t="s">
        <v>30</v>
      </c>
      <c r="I132" s="12">
        <v>65000</v>
      </c>
      <c r="J132" s="13">
        <v>80000</v>
      </c>
      <c r="K132" s="13">
        <v>55000</v>
      </c>
      <c r="L132" s="11" t="s">
        <v>201</v>
      </c>
      <c r="M132" s="11">
        <v>7500000</v>
      </c>
      <c r="N132" s="11">
        <v>1</v>
      </c>
      <c r="O132" s="11">
        <v>5</v>
      </c>
      <c r="P132" s="11">
        <v>0</v>
      </c>
      <c r="Q132" s="11">
        <v>1</v>
      </c>
      <c r="R132" s="11" t="s">
        <v>904</v>
      </c>
      <c r="S132" s="11" t="s">
        <v>321</v>
      </c>
      <c r="T132" s="11" t="s">
        <v>85</v>
      </c>
      <c r="U132" s="11" t="s">
        <v>905</v>
      </c>
      <c r="V132" s="11">
        <v>30000</v>
      </c>
      <c r="W132" s="11">
        <v>38000</v>
      </c>
      <c r="X132" s="11">
        <v>24000</v>
      </c>
      <c r="Y132" s="11">
        <v>2400000</v>
      </c>
      <c r="Z132" s="11" t="s">
        <v>87</v>
      </c>
      <c r="AA132" s="11" t="s">
        <v>88</v>
      </c>
      <c r="AB132" s="11" t="s">
        <v>89</v>
      </c>
    </row>
    <row r="133" spans="1:28" ht="26" x14ac:dyDescent="0.5">
      <c r="A133" s="3">
        <v>132</v>
      </c>
      <c r="B133" s="3" t="s">
        <v>892</v>
      </c>
      <c r="C133" s="3" t="s">
        <v>906</v>
      </c>
      <c r="D133" s="3" t="s">
        <v>907</v>
      </c>
      <c r="E133" s="3" t="s">
        <v>908</v>
      </c>
      <c r="F133" s="3" t="s">
        <v>909</v>
      </c>
      <c r="G133" s="3" t="s">
        <v>26</v>
      </c>
      <c r="H133" s="3" t="s">
        <v>30</v>
      </c>
      <c r="I133" s="9">
        <v>25000</v>
      </c>
      <c r="J133" s="7">
        <v>32000</v>
      </c>
      <c r="K133" s="7">
        <v>22000</v>
      </c>
      <c r="L133" s="3" t="s">
        <v>201</v>
      </c>
      <c r="M133" s="3">
        <v>2500000</v>
      </c>
      <c r="N133" s="3">
        <v>1</v>
      </c>
      <c r="O133" s="3">
        <v>5</v>
      </c>
      <c r="P133" s="3">
        <v>0</v>
      </c>
      <c r="Q133" s="3">
        <v>0</v>
      </c>
      <c r="R133" s="3" t="s">
        <v>910</v>
      </c>
      <c r="S133" s="3" t="s">
        <v>140</v>
      </c>
      <c r="T133" s="3" t="s">
        <v>85</v>
      </c>
      <c r="U133" s="3" t="s">
        <v>911</v>
      </c>
      <c r="V133" s="3">
        <v>22000</v>
      </c>
      <c r="W133" s="3">
        <v>28000</v>
      </c>
      <c r="X133" s="3">
        <v>18000</v>
      </c>
      <c r="Y133" s="3">
        <v>1800000</v>
      </c>
      <c r="Z133" s="3" t="s">
        <v>87</v>
      </c>
      <c r="AA133" s="3" t="s">
        <v>88</v>
      </c>
      <c r="AB133" s="3" t="s">
        <v>89</v>
      </c>
    </row>
    <row r="134" spans="1:28" ht="26" x14ac:dyDescent="0.5">
      <c r="A134" s="11">
        <v>133</v>
      </c>
      <c r="B134" s="11" t="s">
        <v>892</v>
      </c>
      <c r="C134" s="11" t="s">
        <v>912</v>
      </c>
      <c r="D134" s="11" t="s">
        <v>913</v>
      </c>
      <c r="E134" s="11" t="s">
        <v>914</v>
      </c>
      <c r="F134" s="11" t="s">
        <v>915</v>
      </c>
      <c r="G134" s="11" t="s">
        <v>32</v>
      </c>
      <c r="H134" s="11" t="s">
        <v>32</v>
      </c>
      <c r="I134" s="12">
        <v>35000</v>
      </c>
      <c r="J134" s="13">
        <v>42000</v>
      </c>
      <c r="K134" s="13">
        <v>28000</v>
      </c>
      <c r="L134" s="11" t="s">
        <v>201</v>
      </c>
      <c r="M134" s="11">
        <v>4200000</v>
      </c>
      <c r="N134" s="11">
        <v>1</v>
      </c>
      <c r="O134" s="11">
        <v>4</v>
      </c>
      <c r="P134" s="11">
        <v>0</v>
      </c>
      <c r="Q134" s="11">
        <v>0</v>
      </c>
      <c r="R134" s="11" t="s">
        <v>916</v>
      </c>
      <c r="S134" s="11" t="s">
        <v>321</v>
      </c>
      <c r="T134" s="11" t="s">
        <v>85</v>
      </c>
      <c r="U134" s="11" t="s">
        <v>917</v>
      </c>
      <c r="V134" s="11">
        <v>25000</v>
      </c>
      <c r="W134" s="11">
        <v>30000</v>
      </c>
      <c r="X134" s="11">
        <v>20000</v>
      </c>
      <c r="Y134" s="11">
        <v>2400000</v>
      </c>
      <c r="Z134" s="11" t="s">
        <v>87</v>
      </c>
      <c r="AA134" s="11" t="s">
        <v>102</v>
      </c>
      <c r="AB134" s="11" t="s">
        <v>89</v>
      </c>
    </row>
    <row r="135" spans="1:28" ht="26" x14ac:dyDescent="0.5">
      <c r="A135" s="3">
        <v>134</v>
      </c>
      <c r="B135" s="3" t="s">
        <v>892</v>
      </c>
      <c r="C135" s="3" t="s">
        <v>918</v>
      </c>
      <c r="D135" s="3" t="s">
        <v>919</v>
      </c>
      <c r="E135" s="3" t="s">
        <v>920</v>
      </c>
      <c r="F135" s="3" t="s">
        <v>921</v>
      </c>
      <c r="G135" s="3" t="s">
        <v>26</v>
      </c>
      <c r="H135" s="3" t="s">
        <v>30</v>
      </c>
      <c r="I135" s="9">
        <v>65000</v>
      </c>
      <c r="J135" s="7">
        <v>80000</v>
      </c>
      <c r="K135" s="7">
        <v>55000</v>
      </c>
      <c r="L135" s="3" t="s">
        <v>201</v>
      </c>
      <c r="M135" s="3">
        <v>7500000</v>
      </c>
      <c r="N135" s="3">
        <v>1</v>
      </c>
      <c r="O135" s="3">
        <v>4</v>
      </c>
      <c r="P135" s="3">
        <v>0</v>
      </c>
      <c r="Q135" s="3">
        <v>0</v>
      </c>
      <c r="R135" s="3" t="s">
        <v>922</v>
      </c>
      <c r="S135" s="3" t="s">
        <v>84</v>
      </c>
      <c r="T135" s="3" t="s">
        <v>85</v>
      </c>
      <c r="U135" s="3" t="s">
        <v>923</v>
      </c>
      <c r="V135" s="3">
        <v>18000</v>
      </c>
      <c r="W135" s="3">
        <v>22000</v>
      </c>
      <c r="X135" s="3">
        <v>14000</v>
      </c>
      <c r="Y135" s="3">
        <v>1800000</v>
      </c>
      <c r="Z135" s="3" t="s">
        <v>817</v>
      </c>
      <c r="AA135" s="3" t="s">
        <v>127</v>
      </c>
      <c r="AB135" s="3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5"/>
  <sheetViews>
    <sheetView showGridLines="0" zoomScaleNormal="100" workbookViewId="0">
      <pane ySplit="2" topLeftCell="A3" activePane="bottomLeft" state="frozen"/>
      <selection pane="bottomLeft" sqref="A1:D1"/>
    </sheetView>
  </sheetViews>
  <sheetFormatPr defaultColWidth="8.703125" defaultRowHeight="14.35" x14ac:dyDescent="0.5"/>
  <cols>
    <col min="1" max="1" width="56.46875" customWidth="1"/>
    <col min="2" max="4" width="26.46875" customWidth="1"/>
    <col min="5" max="8" width="28" customWidth="1"/>
  </cols>
  <sheetData>
    <row r="1" spans="1:4" ht="36" customHeight="1" x14ac:dyDescent="0.5">
      <c r="A1" s="45" t="s">
        <v>924</v>
      </c>
      <c r="B1" s="45"/>
      <c r="C1" s="45"/>
      <c r="D1" s="45"/>
    </row>
    <row r="2" spans="1:4" x14ac:dyDescent="0.5">
      <c r="A2" s="21" t="s">
        <v>925</v>
      </c>
      <c r="B2" s="21"/>
      <c r="C2" s="21"/>
      <c r="D2" s="21"/>
    </row>
    <row r="3" spans="1:4" ht="35" x14ac:dyDescent="0.5">
      <c r="A3" s="23" t="s">
        <v>926</v>
      </c>
      <c r="B3" s="46">
        <v>90</v>
      </c>
      <c r="C3" s="47" t="s">
        <v>927</v>
      </c>
      <c r="D3" s="2"/>
    </row>
    <row r="4" spans="1:4" x14ac:dyDescent="0.5">
      <c r="A4" s="23" t="s">
        <v>928</v>
      </c>
      <c r="B4" s="48">
        <v>92</v>
      </c>
      <c r="C4" s="47"/>
      <c r="D4" s="2"/>
    </row>
    <row r="5" spans="1:4" x14ac:dyDescent="0.5">
      <c r="A5" s="23" t="s">
        <v>929</v>
      </c>
      <c r="B5" s="49">
        <v>85</v>
      </c>
      <c r="C5" s="47"/>
      <c r="D5" s="2"/>
    </row>
    <row r="6" spans="1:4" ht="8" customHeight="1" x14ac:dyDescent="0.5">
      <c r="A6" s="2"/>
      <c r="B6" s="2"/>
      <c r="C6" s="2"/>
      <c r="D6" s="2"/>
    </row>
    <row r="7" spans="1:4" x14ac:dyDescent="0.5">
      <c r="A7" s="22" t="s">
        <v>930</v>
      </c>
      <c r="B7" s="22"/>
      <c r="C7" s="22"/>
      <c r="D7" s="22"/>
    </row>
    <row r="8" spans="1:4" ht="26" x14ac:dyDescent="0.5">
      <c r="A8" s="5" t="s">
        <v>931</v>
      </c>
      <c r="B8" s="5" t="s">
        <v>30</v>
      </c>
      <c r="C8" s="5" t="s">
        <v>28</v>
      </c>
      <c r="D8" s="5" t="s">
        <v>26</v>
      </c>
    </row>
    <row r="9" spans="1:4" x14ac:dyDescent="0.5">
      <c r="A9" s="11" t="s">
        <v>932</v>
      </c>
      <c r="B9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оборудования'!$I$2:$I$135+0,0))</f>
        <v>3250000</v>
      </c>
      <c r="C9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оборудования'!$I$2:$I$135+0,0))</f>
        <v>2200000</v>
      </c>
      <c r="D9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оборудования'!$I$2:$I$135+0,0))</f>
        <v>300000</v>
      </c>
    </row>
    <row r="10" spans="1:4" x14ac:dyDescent="0.5">
      <c r="A10" s="3" t="s">
        <v>933</v>
      </c>
      <c r="B10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оборудования'!$I$2:$I$135+0,0))</f>
        <v>1064000</v>
      </c>
      <c r="C10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оборудования'!$I$2:$I$135+0,0))</f>
        <v>1064000</v>
      </c>
      <c r="D10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оборудования'!$I$2:$I$135+0,0))</f>
        <v>1064000</v>
      </c>
    </row>
    <row r="11" spans="1:4" x14ac:dyDescent="0.5">
      <c r="A11" s="11" t="s">
        <v>934</v>
      </c>
      <c r="B11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оборудования'!$I$2:$I$135+0,0))</f>
        <v>720000</v>
      </c>
      <c r="C11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оборудования'!$I$2:$I$135+0,0))</f>
        <v>540000</v>
      </c>
      <c r="D11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оборудования'!$I$2:$I$135+0,0))</f>
        <v>540000</v>
      </c>
    </row>
    <row r="12" spans="1:4" x14ac:dyDescent="0.5">
      <c r="A12" s="3" t="s">
        <v>935</v>
      </c>
      <c r="B12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оборудования'!$B$2:$B$135="ИТ, МИС, ПО для пациентов"))*IFERROR('Реестр оборудования'!$N$2:$N$135+0,0)*IFERROR('Реестр оборудования'!$I$2:$I$135+0,0))</f>
        <v>855000</v>
      </c>
      <c r="C12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оборудования'!$B$2:$B$135="ИТ, МИС, ПО для пациентов"))*IFERROR('Реестр оборудования'!$N$2:$N$135+0,0)*IFERROR('Реестр оборудования'!$I$2:$I$135+0,0))</f>
        <v>855000</v>
      </c>
      <c r="D12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оборудования'!$B$2:$B$135="ИТ, МИС, ПО для пациентов"))*IFERROR('Реестр оборудования'!$N$2:$N$135+0,0)*IFERROR('Реестр оборудования'!$I$2:$I$135+0,0))</f>
        <v>760000</v>
      </c>
    </row>
    <row r="13" spans="1:4" x14ac:dyDescent="0.5">
      <c r="A13" s="11" t="s">
        <v>936</v>
      </c>
      <c r="B13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оборудования'!$B$2:$B$135="Кухня и F&amp;B"))*IFERROR('Реестр оборудования'!$N$2:$N$135+0,0)*IFERROR('Реестр оборудования'!$I$2:$I$135+0,0))</f>
        <v>630000</v>
      </c>
      <c r="C13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оборудования'!$B$2:$B$135="Кухня и F&amp;B"))*IFERROR('Реестр оборудования'!$N$2:$N$135+0,0)*IFERROR('Реестр оборудования'!$I$2:$I$135+0,0))</f>
        <v>630000</v>
      </c>
      <c r="D13" s="5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оборудования'!$B$2:$B$135="Кухня и F&amp;B"))*IFERROR('Реестр оборудования'!$N$2:$N$135+0,0)*IFERROR('Реестр оборудования'!$I$2:$I$135+0,0))</f>
        <v>630000</v>
      </c>
    </row>
    <row r="14" spans="1:4" x14ac:dyDescent="0.5">
      <c r="A14" s="3" t="s">
        <v>937</v>
      </c>
      <c r="B14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оборудования'!$B$2:$B$135="Медицинская инфраструктура"))*IFERROR('Реестр оборудования'!$N$2:$N$135+0,0)*IFERROR('Реестр оборудования'!$I$2:$I$135+0,0))</f>
        <v>910000</v>
      </c>
      <c r="C14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оборудования'!$B$2:$B$135="Медицинская инфраструктура"))*IFERROR('Реестр оборудования'!$N$2:$N$135+0,0)*IFERROR('Реестр оборудования'!$I$2:$I$135+0,0))</f>
        <v>260000</v>
      </c>
      <c r="D14" s="5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оборудования'!$B$2:$B$135="Медицинская инфраструктура"))*IFERROR('Реестр оборудования'!$N$2:$N$135+0,0)*IFERROR('Реестр оборудования'!$I$2:$I$135+0,0))</f>
        <v>0</v>
      </c>
    </row>
    <row r="15" spans="1:4" x14ac:dyDescent="0.5">
      <c r="A15" s="52" t="s">
        <v>938</v>
      </c>
      <c r="B15" s="53">
        <f>SUM(B9:B14)</f>
        <v>7429000</v>
      </c>
      <c r="C15" s="53">
        <f>SUM(C9:C14)</f>
        <v>5549000</v>
      </c>
      <c r="D15" s="53">
        <f>SUM(D9:D14)</f>
        <v>3294000</v>
      </c>
    </row>
    <row r="16" spans="1:4" x14ac:dyDescent="0.5">
      <c r="A16" s="54" t="s">
        <v>939</v>
      </c>
      <c r="B16" s="55">
        <f>B15/$B$3</f>
        <v>82544.444444444438</v>
      </c>
      <c r="C16" s="55">
        <f>C15/$B$3</f>
        <v>61655.555555555555</v>
      </c>
      <c r="D16" s="55">
        <f>D15/$B$3</f>
        <v>36600</v>
      </c>
    </row>
    <row r="17" spans="1:4" ht="8" customHeight="1" x14ac:dyDescent="0.5">
      <c r="A17" s="2"/>
      <c r="B17" s="2"/>
      <c r="C17" s="2"/>
      <c r="D17" s="2"/>
    </row>
    <row r="18" spans="1:4" x14ac:dyDescent="0.5">
      <c r="A18" s="22" t="s">
        <v>940</v>
      </c>
      <c r="B18" s="22"/>
      <c r="C18" s="22"/>
      <c r="D18" s="22"/>
    </row>
    <row r="19" spans="1:4" ht="26" x14ac:dyDescent="0.5">
      <c r="A19" s="5" t="s">
        <v>931</v>
      </c>
      <c r="B19" s="5" t="s">
        <v>30</v>
      </c>
      <c r="C19" s="5" t="s">
        <v>28</v>
      </c>
      <c r="D19" s="5" t="s">
        <v>26</v>
      </c>
    </row>
    <row r="20" spans="1:4" x14ac:dyDescent="0.5">
      <c r="A20" s="11" t="s">
        <v>932</v>
      </c>
      <c r="B20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оборудования'!$J$2:$J$135+0,0))</f>
        <v>0</v>
      </c>
      <c r="C20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оборудования'!$J$2:$J$135+0,0))</f>
        <v>0</v>
      </c>
      <c r="D20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оборудования'!$J$2:$J$135+0,0))</f>
        <v>0</v>
      </c>
    </row>
    <row r="21" spans="1:4" x14ac:dyDescent="0.5">
      <c r="A21" s="3" t="s">
        <v>933</v>
      </c>
      <c r="B21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оборудования'!$J$2:$J$135+0,0))</f>
        <v>798000</v>
      </c>
      <c r="C21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оборудования'!$J$2:$J$135+0,0))</f>
        <v>798000</v>
      </c>
      <c r="D21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оборудования'!$J$2:$J$135+0,0))</f>
        <v>798000</v>
      </c>
    </row>
    <row r="22" spans="1:4" x14ac:dyDescent="0.5">
      <c r="A22" s="11" t="s">
        <v>934</v>
      </c>
      <c r="B22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оборудования'!$J$2:$J$135+0,0))</f>
        <v>896000</v>
      </c>
      <c r="C22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оборудования'!$J$2:$J$135+0,0))</f>
        <v>672000</v>
      </c>
      <c r="D22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оборудования'!$J$2:$J$135+0,0))</f>
        <v>672000</v>
      </c>
    </row>
    <row r="23" spans="1:4" x14ac:dyDescent="0.5">
      <c r="A23" s="3" t="s">
        <v>935</v>
      </c>
      <c r="B23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оборудования'!$B$2:$B$135="ИТ, МИС, ПО для пациентов"))*IFERROR('Реестр оборудования'!$N$2:$N$135+0,0)*IFERROR('Реестр оборудования'!$J$2:$J$135+0,0))</f>
        <v>90000</v>
      </c>
      <c r="C23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оборудования'!$B$2:$B$135="ИТ, МИС, ПО для пациентов"))*IFERROR('Реестр оборудования'!$N$2:$N$135+0,0)*IFERROR('Реестр оборудования'!$J$2:$J$135+0,0))</f>
        <v>90000</v>
      </c>
      <c r="D23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оборудования'!$B$2:$B$135="ИТ, МИС, ПО для пациентов"))*IFERROR('Реестр оборудования'!$N$2:$N$135+0,0)*IFERROR('Реестр оборудования'!$J$2:$J$135+0,0))</f>
        <v>80000</v>
      </c>
    </row>
    <row r="24" spans="1:4" x14ac:dyDescent="0.5">
      <c r="A24" s="11" t="s">
        <v>936</v>
      </c>
      <c r="B24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оборудования'!$B$2:$B$135="Кухня и F&amp;B"))*IFERROR('Реестр оборудования'!$N$2:$N$135+0,0)*IFERROR('Реестр оборудования'!$J$2:$J$135+0,0))</f>
        <v>448000</v>
      </c>
      <c r="C24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оборудования'!$B$2:$B$135="Кухня и F&amp;B"))*IFERROR('Реестр оборудования'!$N$2:$N$135+0,0)*IFERROR('Реестр оборудования'!$J$2:$J$135+0,0))</f>
        <v>448000</v>
      </c>
      <c r="D24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оборудования'!$B$2:$B$135="Кухня и F&amp;B"))*IFERROR('Реестр оборудования'!$N$2:$N$135+0,0)*IFERROR('Реестр оборудования'!$J$2:$J$135+0,0))</f>
        <v>448000</v>
      </c>
    </row>
    <row r="25" spans="1:4" x14ac:dyDescent="0.5">
      <c r="A25" s="3" t="s">
        <v>937</v>
      </c>
      <c r="B25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оборудования'!$B$2:$B$135="Медицинская инфраструктура"))*IFERROR('Реестр оборудования'!$N$2:$N$135+0,0)*IFERROR('Реестр оборудования'!$J$2:$J$135+0,0))</f>
        <v>175000</v>
      </c>
      <c r="C25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оборудования'!$B$2:$B$135="Медицинская инфраструктура"))*IFERROR('Реестр оборудования'!$N$2:$N$135+0,0)*IFERROR('Реестр оборудования'!$J$2:$J$135+0,0))</f>
        <v>50000</v>
      </c>
      <c r="D25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оборудования'!$B$2:$B$135="Медицинская инфраструктура"))*IFERROR('Реестр оборудования'!$N$2:$N$135+0,0)*IFERROR('Реестр оборудования'!$J$2:$J$135+0,0))</f>
        <v>0</v>
      </c>
    </row>
    <row r="26" spans="1:4" x14ac:dyDescent="0.5">
      <c r="A26" s="52" t="s">
        <v>938</v>
      </c>
      <c r="B26" s="58">
        <f>SUM(B20:B25)</f>
        <v>2407000</v>
      </c>
      <c r="C26" s="58">
        <f>SUM(C20:C25)</f>
        <v>2058000</v>
      </c>
      <c r="D26" s="58">
        <f>SUM(D20:D25)</f>
        <v>1998000</v>
      </c>
    </row>
    <row r="27" spans="1:4" x14ac:dyDescent="0.5">
      <c r="A27" s="54" t="s">
        <v>939</v>
      </c>
      <c r="B27" s="59">
        <f>B26/$B$3</f>
        <v>26744.444444444445</v>
      </c>
      <c r="C27" s="59">
        <f>C26/$B$3</f>
        <v>22866.666666666668</v>
      </c>
      <c r="D27" s="59">
        <f>D26/$B$3</f>
        <v>22200</v>
      </c>
    </row>
    <row r="28" spans="1:4" ht="8" customHeight="1" x14ac:dyDescent="0.5">
      <c r="A28" s="2"/>
      <c r="B28" s="2"/>
      <c r="C28" s="2"/>
      <c r="D28" s="2"/>
    </row>
    <row r="29" spans="1:4" x14ac:dyDescent="0.5">
      <c r="A29" s="22" t="s">
        <v>941</v>
      </c>
      <c r="B29" s="22"/>
      <c r="C29" s="22"/>
      <c r="D29" s="22"/>
    </row>
    <row r="30" spans="1:4" ht="26" x14ac:dyDescent="0.5">
      <c r="A30" s="5" t="s">
        <v>931</v>
      </c>
      <c r="B30" s="5" t="s">
        <v>30</v>
      </c>
      <c r="C30" s="5" t="s">
        <v>28</v>
      </c>
      <c r="D30" s="5" t="s">
        <v>26</v>
      </c>
    </row>
    <row r="31" spans="1:4" x14ac:dyDescent="0.5">
      <c r="A31" s="11" t="s">
        <v>932</v>
      </c>
      <c r="B31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оборудования'!$K$2:$K$135+0,0))</f>
        <v>1690000</v>
      </c>
      <c r="C31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оборудования'!$K$2:$K$135+0,0))</f>
        <v>1144000</v>
      </c>
      <c r="D31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оборудования'!$K$2:$K$135+0,0))</f>
        <v>156000</v>
      </c>
    </row>
    <row r="32" spans="1:4" x14ac:dyDescent="0.5">
      <c r="A32" s="3" t="s">
        <v>933</v>
      </c>
      <c r="B32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оборудования'!$K$2:$K$135+0,0))</f>
        <v>570000</v>
      </c>
      <c r="C32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оборудования'!$K$2:$K$135+0,0))</f>
        <v>570000</v>
      </c>
      <c r="D32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оборудования'!$K$2:$K$135+0,0))</f>
        <v>570000</v>
      </c>
    </row>
    <row r="33" spans="1:4" x14ac:dyDescent="0.5">
      <c r="A33" s="11" t="s">
        <v>934</v>
      </c>
      <c r="B33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оборудования'!$K$2:$K$135+0,0))</f>
        <v>1120000</v>
      </c>
      <c r="C33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оборудования'!$K$2:$K$135+0,0))</f>
        <v>840000</v>
      </c>
      <c r="D33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оборудования'!$K$2:$K$135+0,0))</f>
        <v>840000</v>
      </c>
    </row>
    <row r="34" spans="1:4" x14ac:dyDescent="0.5">
      <c r="A34" s="3" t="s">
        <v>935</v>
      </c>
      <c r="B34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оборудования'!$B$2:$B$135="ИТ, МИС, ПО для пациентов"))*IFERROR('Реестр оборудования'!$N$2:$N$135+0,0)*IFERROR('Реестр оборудования'!$K$2:$K$135+0,0))</f>
        <v>423000</v>
      </c>
      <c r="C34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оборудования'!$B$2:$B$135="ИТ, МИС, ПО для пациентов"))*IFERROR('Реестр оборудования'!$N$2:$N$135+0,0)*IFERROR('Реестр оборудования'!$K$2:$K$135+0,0))</f>
        <v>423000</v>
      </c>
      <c r="D34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оборудования'!$B$2:$B$135="ИТ, МИС, ПО для пациентов"))*IFERROR('Реестр оборудования'!$N$2:$N$135+0,0)*IFERROR('Реестр оборудования'!$K$2:$K$135+0,0))</f>
        <v>376000</v>
      </c>
    </row>
    <row r="35" spans="1:4" x14ac:dyDescent="0.5">
      <c r="A35" s="11" t="s">
        <v>936</v>
      </c>
      <c r="B35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оборудования'!$B$2:$B$135="Кухня и F&amp;B"))*IFERROR('Реестр оборудования'!$N$2:$N$135+0,0)*IFERROR('Реестр оборудования'!$K$2:$K$135+0,0))</f>
        <v>588000</v>
      </c>
      <c r="C35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оборудования'!$B$2:$B$135="Кухня и F&amp;B"))*IFERROR('Реестр оборудования'!$N$2:$N$135+0,0)*IFERROR('Реестр оборудования'!$K$2:$K$135+0,0))</f>
        <v>588000</v>
      </c>
      <c r="D35" s="56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оборудования'!$B$2:$B$135="Кухня и F&amp;B"))*IFERROR('Реестр оборудования'!$N$2:$N$135+0,0)*IFERROR('Реестр оборудования'!$K$2:$K$135+0,0))</f>
        <v>588000</v>
      </c>
    </row>
    <row r="36" spans="1:4" x14ac:dyDescent="0.5">
      <c r="A36" s="3" t="s">
        <v>937</v>
      </c>
      <c r="B36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оборудования'!$B$2:$B$135="Медицинская инфраструктура"))*IFERROR('Реестр оборудования'!$N$2:$N$135+0,0)*IFERROR('Реестр оборудования'!$K$2:$K$135+0,0))</f>
        <v>805000</v>
      </c>
      <c r="C36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оборудования'!$B$2:$B$135="Медицинская инфраструктура"))*IFERROR('Реестр оборудования'!$N$2:$N$135+0,0)*IFERROR('Реестр оборудования'!$K$2:$K$135+0,0))</f>
        <v>230000</v>
      </c>
      <c r="D36" s="57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оборудования'!$B$2:$B$135="Медицинская инфраструктура"))*IFERROR('Реестр оборудования'!$N$2:$N$135+0,0)*IFERROR('Реестр оборудования'!$K$2:$K$135+0,0))</f>
        <v>0</v>
      </c>
    </row>
    <row r="37" spans="1:4" x14ac:dyDescent="0.5">
      <c r="A37" s="52" t="s">
        <v>938</v>
      </c>
      <c r="B37" s="58">
        <f>SUM(B31:B36)</f>
        <v>5196000</v>
      </c>
      <c r="C37" s="58">
        <f>SUM(C31:C36)</f>
        <v>3795000</v>
      </c>
      <c r="D37" s="58">
        <f>SUM(D31:D36)</f>
        <v>2530000</v>
      </c>
    </row>
    <row r="38" spans="1:4" x14ac:dyDescent="0.5">
      <c r="A38" s="54" t="s">
        <v>939</v>
      </c>
      <c r="B38" s="59">
        <f>B37/$B$3</f>
        <v>57733.333333333336</v>
      </c>
      <c r="C38" s="59">
        <f>C37/$B$3</f>
        <v>42166.666666666664</v>
      </c>
      <c r="D38" s="59">
        <f>D37/$B$3</f>
        <v>28111.111111111109</v>
      </c>
    </row>
    <row r="39" spans="1:4" ht="8" customHeight="1" x14ac:dyDescent="0.5">
      <c r="A39" s="2"/>
      <c r="B39" s="2"/>
      <c r="C39" s="2"/>
      <c r="D39" s="2"/>
    </row>
    <row r="40" spans="1:4" x14ac:dyDescent="0.5">
      <c r="A40" s="22" t="s">
        <v>942</v>
      </c>
      <c r="B40" s="22"/>
      <c r="C40" s="22"/>
      <c r="D40" s="22"/>
    </row>
    <row r="41" spans="1:4" ht="26" x14ac:dyDescent="0.5">
      <c r="A41" s="5" t="s">
        <v>931</v>
      </c>
      <c r="B41" s="5" t="s">
        <v>30</v>
      </c>
      <c r="C41" s="5" t="s">
        <v>28</v>
      </c>
      <c r="D41" s="5" t="s">
        <v>26</v>
      </c>
    </row>
    <row r="42" spans="1:4" x14ac:dyDescent="0.5">
      <c r="A42" s="11" t="s">
        <v>932</v>
      </c>
      <c r="B42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оборудования'!$M$2:$M$135+0,0))</f>
        <v>845000000</v>
      </c>
      <c r="C42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оборудования'!$M$2:$M$135+0,0))</f>
        <v>572000000</v>
      </c>
      <c r="D42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оборудования'!$B$2:$B$135="Лучевая диагностика")+('Реестр оборудования'!$B$2:$B$135="Лаборатория и биомаркеры")+('Реестр оборудования'!$B$2:$B$135="Кардиология и пульмонология")+('Реестр оборудования'!$B$2:$B$135="Сон и неврология")+('Реестр оборудования'!$B$2:$B$135="Инфузионная терапия")+('Реестр оборудования'!$B$2:$B$135="Эстетика и регенеративные процедуры")+('Реестр оборудования'!$B$2:$B$135="Нутрициология и ЖКТ-диагностика")+('Реестр оборудования'!$B$2:$B$135="Состав тела и функциональная диагностика")+('Реестр оборудования'!$B$2:$B$135="Телемедицина и цифровое здоровье"))*IFERROR('Реестр оборудования'!$N$2:$N$135+0,0)*IFERROR('Реестр оборудования'!$M$2:$M$135+0,0))</f>
        <v>78000000</v>
      </c>
    </row>
    <row r="43" spans="1:4" x14ac:dyDescent="0.5">
      <c r="A43" s="3" t="s">
        <v>933</v>
      </c>
      <c r="B43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оборудования'!$M$2:$M$135+0,0))</f>
        <v>209000000</v>
      </c>
      <c r="C43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оборудования'!$M$2:$M$135+0,0))</f>
        <v>209000000</v>
      </c>
      <c r="D43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оборудования'!$B$2:$B$135="Гидротерапия и SPA")+('Реестр оборудования'!$B$2:$B$135="Криотерапия и термальные зоны"))*IFERROR('Реестр оборудования'!$N$2:$N$135+0,0)*IFERROR('Реестр оборудования'!$M$2:$M$135+0,0))</f>
        <v>209000000</v>
      </c>
    </row>
    <row r="44" spans="1:4" x14ac:dyDescent="0.5">
      <c r="A44" s="11" t="s">
        <v>934</v>
      </c>
      <c r="B44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оборудования'!$M$2:$M$135+0,0))</f>
        <v>2080000000</v>
      </c>
      <c r="C44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оборудования'!$M$2:$M$135+0,0))</f>
        <v>1560000000</v>
      </c>
      <c r="D44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оборудования'!$B$2:$B$135="Движение и реабилитация")+('Реестр оборудования'!$B$2:$B$135="Тренажёрный зал и силовая зона"))*IFERROR('Реестр оборудования'!$N$2:$N$135+0,0)*IFERROR('Реестр оборудования'!$M$2:$M$135+0,0))</f>
        <v>1560000000</v>
      </c>
    </row>
    <row r="45" spans="1:4" x14ac:dyDescent="0.5">
      <c r="A45" s="3" t="s">
        <v>935</v>
      </c>
      <c r="B45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оборудования'!$B$2:$B$135="ИТ, МИС, ПО для пациентов"))*IFERROR('Реестр оборудования'!$N$2:$N$135+0,0)*IFERROR('Реестр оборудования'!$M$2:$M$135+0,0))</f>
        <v>2610000000</v>
      </c>
      <c r="C45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оборудования'!$B$2:$B$135="ИТ, МИС, ПО для пациентов"))*IFERROR('Реестр оборудования'!$N$2:$N$135+0,0)*IFERROR('Реестр оборудования'!$M$2:$M$135+0,0))</f>
        <v>2610000000</v>
      </c>
      <c r="D45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оборудования'!$B$2:$B$135="ИТ, МИС, ПО для пациентов"))*IFERROR('Реестр оборудования'!$N$2:$N$135+0,0)*IFERROR('Реестр оборудования'!$M$2:$M$135+0,0))</f>
        <v>2320000000</v>
      </c>
    </row>
    <row r="46" spans="1:4" x14ac:dyDescent="0.5">
      <c r="A46" s="11" t="s">
        <v>936</v>
      </c>
      <c r="B46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оборудования'!$B$2:$B$135="Кухня и F&amp;B"))*IFERROR('Реестр оборудования'!$N$2:$N$135+0,0)*IFERROR('Реестр оборудования'!$M$2:$M$135+0,0))</f>
        <v>539000000</v>
      </c>
      <c r="C46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оборудования'!$B$2:$B$135="Кухня и F&amp;B"))*IFERROR('Реестр оборудования'!$N$2:$N$135+0,0)*IFERROR('Реестр оборудования'!$M$2:$M$135+0,0))</f>
        <v>539000000</v>
      </c>
      <c r="D46" s="60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оборудования'!$B$2:$B$135="Кухня и F&amp;B"))*IFERROR('Реестр оборудования'!$N$2:$N$135+0,0)*IFERROR('Реестр оборудования'!$M$2:$M$135+0,0))</f>
        <v>539000000</v>
      </c>
    </row>
    <row r="47" spans="1:4" x14ac:dyDescent="0.5">
      <c r="A47" s="3" t="s">
        <v>937</v>
      </c>
      <c r="B47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медицинский)"))&lt;=3))*(('Реестр оборудования'!$B$2:$B$135="Медицинская инфраструктура"))*IFERROR('Реестр оборудования'!$N$2:$N$135+0,0)*IFERROR('Реестр оборудования'!$M$2:$M$135+0,0))</f>
        <v>91000000</v>
      </c>
      <c r="C47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медицинский)"))&lt;=2))*(('Реестр оборудования'!$B$2:$B$135="Медицинская инфраструктура"))*IFERROR('Реестр оборудования'!$N$2:$N$135+0,0)*IFERROR('Реестр оборудования'!$M$2:$M$135+0,0))</f>
        <v>26000000</v>
      </c>
      <c r="D47" s="61">
        <f>SUMPRODUCT((((1*('Реестр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медицинский)"))&gt;0)*((1*('Реестр оборудования'!$G$2:$G$135="Уровень Six Senses Place (велнес-плюс)")+2*('Реестр оборудования'!$G$2:$G$135="Уровень SHA/Chenot (медицина-лайт)")+3*('Реестр оборудования'!$G$2:$G$135="Уровень Lanserhof/CLP (полный медицинский)"))&lt;=1))*(('Реестр оборудования'!$B$2:$B$135="Медицинская инфраструктура"))*IFERROR('Реестр оборудования'!$N$2:$N$135+0,0)*IFERROR('Реестр оборудования'!$M$2:$M$135+0,0))</f>
        <v>0</v>
      </c>
    </row>
    <row r="48" spans="1:4" x14ac:dyDescent="0.5">
      <c r="A48" s="52" t="s">
        <v>938</v>
      </c>
      <c r="B48" s="62">
        <f>SUM(B42:B47)</f>
        <v>6374000000</v>
      </c>
      <c r="C48" s="62">
        <f>SUM(C42:C47)</f>
        <v>5516000000</v>
      </c>
      <c r="D48" s="62">
        <f>SUM(D42:D47)</f>
        <v>4706000000</v>
      </c>
    </row>
    <row r="49" spans="1:4" x14ac:dyDescent="0.5">
      <c r="A49" s="54" t="s">
        <v>939</v>
      </c>
      <c r="B49" s="63">
        <f>B48/$B$3</f>
        <v>70822222.222222224</v>
      </c>
      <c r="C49" s="63">
        <f>C48/$B$3</f>
        <v>61288888.888888888</v>
      </c>
      <c r="D49" s="63">
        <f>D48/$B$3</f>
        <v>52288888.888888888</v>
      </c>
    </row>
    <row r="50" spans="1:4" ht="8" customHeight="1" x14ac:dyDescent="0.5">
      <c r="A50" s="2"/>
      <c r="B50" s="2"/>
      <c r="C50" s="2"/>
      <c r="D50" s="2"/>
    </row>
    <row r="51" spans="1:4" ht="28" customHeight="1" x14ac:dyDescent="0.5">
      <c r="A51" s="22" t="s">
        <v>943</v>
      </c>
      <c r="B51" s="22"/>
      <c r="C51" s="22"/>
      <c r="D51" s="22"/>
    </row>
    <row r="52" spans="1:4" ht="26" x14ac:dyDescent="0.5">
      <c r="A52" s="23" t="s">
        <v>944</v>
      </c>
      <c r="B52" s="2" t="s">
        <v>945</v>
      </c>
      <c r="C52" s="2"/>
      <c r="D52" s="2" t="s">
        <v>946</v>
      </c>
    </row>
    <row r="53" spans="1:4" ht="39" x14ac:dyDescent="0.5">
      <c r="A53" s="23" t="s">
        <v>947</v>
      </c>
      <c r="B53" s="2" t="s">
        <v>948</v>
      </c>
      <c r="C53" s="2"/>
      <c r="D53" s="2" t="s">
        <v>949</v>
      </c>
    </row>
    <row r="54" spans="1:4" ht="39" x14ac:dyDescent="0.5">
      <c r="A54" s="23" t="s">
        <v>950</v>
      </c>
      <c r="B54" s="2" t="s">
        <v>951</v>
      </c>
      <c r="C54" s="2"/>
      <c r="D54" s="2" t="s">
        <v>952</v>
      </c>
    </row>
    <row r="55" spans="1:4" ht="52" x14ac:dyDescent="0.5">
      <c r="A55" s="23" t="s">
        <v>953</v>
      </c>
      <c r="B55" s="2" t="s">
        <v>954</v>
      </c>
      <c r="C55" s="2"/>
      <c r="D55" s="2" t="s">
        <v>955</v>
      </c>
    </row>
    <row r="56" spans="1:4" ht="8" customHeight="1" x14ac:dyDescent="0.5">
      <c r="A56" s="2"/>
      <c r="B56" s="2"/>
      <c r="C56" s="2"/>
      <c r="D56" s="2"/>
    </row>
    <row r="57" spans="1:4" ht="8" customHeight="1" x14ac:dyDescent="0.5">
      <c r="A57" s="2"/>
      <c r="B57" s="2"/>
      <c r="C57" s="2"/>
      <c r="D57" s="2"/>
    </row>
    <row r="58" spans="1:4" ht="28" customHeight="1" x14ac:dyDescent="0.5">
      <c r="A58" s="22" t="s">
        <v>956</v>
      </c>
      <c r="B58" s="22"/>
      <c r="C58" s="22"/>
      <c r="D58" s="22"/>
    </row>
    <row r="59" spans="1:4" ht="8" customHeight="1" x14ac:dyDescent="0.5">
      <c r="A59" s="2"/>
      <c r="B59" s="2"/>
      <c r="C59" s="2"/>
      <c r="D59" s="2"/>
    </row>
    <row r="60" spans="1:4" x14ac:dyDescent="0.5">
      <c r="A60" s="64" t="s">
        <v>957</v>
      </c>
      <c r="B60" s="65" t="s">
        <v>958</v>
      </c>
      <c r="C60" s="65" t="s">
        <v>959</v>
      </c>
      <c r="D60" s="65" t="s">
        <v>960</v>
      </c>
    </row>
    <row r="61" spans="1:4" x14ac:dyDescent="0.5">
      <c r="A61" s="23" t="s">
        <v>961</v>
      </c>
      <c r="B61" s="66">
        <v>1061000</v>
      </c>
      <c r="C61" s="66">
        <v>2953000</v>
      </c>
      <c r="D61" s="66">
        <v>3883000</v>
      </c>
    </row>
    <row r="62" spans="1:4" x14ac:dyDescent="0.5">
      <c r="A62" s="23" t="s">
        <v>962</v>
      </c>
      <c r="B62" s="67">
        <v>97569000</v>
      </c>
      <c r="C62" s="67">
        <v>271648000</v>
      </c>
      <c r="D62" s="67">
        <v>357271000</v>
      </c>
    </row>
    <row r="63" spans="1:4" x14ac:dyDescent="0.5">
      <c r="A63" s="23" t="s">
        <v>963</v>
      </c>
      <c r="B63" s="66">
        <v>27029100</v>
      </c>
      <c r="C63" s="66">
        <v>27029100</v>
      </c>
      <c r="D63" s="66">
        <v>27029100</v>
      </c>
    </row>
    <row r="64" spans="1:4" x14ac:dyDescent="0.5">
      <c r="A64" s="23" t="s">
        <v>964</v>
      </c>
      <c r="B64" s="67">
        <v>2486677200</v>
      </c>
      <c r="C64" s="67">
        <v>2486677200</v>
      </c>
      <c r="D64" s="67">
        <v>2486677200</v>
      </c>
    </row>
    <row r="65" spans="1:4" x14ac:dyDescent="0.5">
      <c r="A65" s="23" t="s">
        <v>965</v>
      </c>
      <c r="B65" s="66">
        <v>14866005</v>
      </c>
      <c r="C65" s="66">
        <v>14866005</v>
      </c>
      <c r="D65" s="66">
        <v>14866005</v>
      </c>
    </row>
  </sheetData>
  <mergeCells count="8">
    <mergeCell ref="A58:D58"/>
    <mergeCell ref="A1:D1"/>
    <mergeCell ref="A2:D2"/>
    <mergeCell ref="A7:D7"/>
    <mergeCell ref="A18:D18"/>
    <mergeCell ref="A29:D29"/>
    <mergeCell ref="A40:D40"/>
    <mergeCell ref="A51:D5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3"/>
  <sheetViews>
    <sheetView showGridLines="0" zoomScaleNormal="100" workbookViewId="0">
      <pane ySplit="2" topLeftCell="A66" activePane="bottomLeft" state="frozen"/>
      <selection pane="bottomLeft" activeCell="B97" sqref="B97"/>
    </sheetView>
  </sheetViews>
  <sheetFormatPr defaultColWidth="8.703125" defaultRowHeight="14.35" x14ac:dyDescent="0.5"/>
  <cols>
    <col min="1" max="1" width="42.3515625" customWidth="1"/>
    <col min="2" max="2" width="56.46875" customWidth="1"/>
    <col min="3" max="3" width="16.76171875" customWidth="1"/>
    <col min="4" max="4" width="40.5859375" customWidth="1"/>
    <col min="5" max="5" width="49.41015625" customWidth="1"/>
    <col min="6" max="6" width="116.46875" customWidth="1"/>
    <col min="7" max="7" width="49.41015625" customWidth="1"/>
    <col min="8" max="11" width="16.76171875" customWidth="1"/>
  </cols>
  <sheetData>
    <row r="1" spans="1:11" ht="36" customHeight="1" x14ac:dyDescent="0.5">
      <c r="A1" s="90" t="s">
        <v>966</v>
      </c>
      <c r="B1" s="90"/>
      <c r="C1" s="90"/>
      <c r="D1" s="90"/>
      <c r="E1" s="90"/>
      <c r="F1" s="90"/>
      <c r="G1" s="90"/>
      <c r="H1" s="90"/>
      <c r="I1" s="90"/>
      <c r="J1" s="90"/>
      <c r="K1" s="90"/>
    </row>
    <row r="2" spans="1:11" x14ac:dyDescent="0.5">
      <c r="A2" s="21" t="s">
        <v>967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8" customHeight="1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8" customHeight="1" x14ac:dyDescent="0.5">
      <c r="A4" s="22" t="s">
        <v>968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26" customHeight="1" x14ac:dyDescent="0.5">
      <c r="A5" s="23" t="s">
        <v>969</v>
      </c>
      <c r="B5" s="24">
        <v>90</v>
      </c>
      <c r="C5" s="2"/>
      <c r="D5" s="2"/>
      <c r="E5" s="2"/>
      <c r="F5" s="2"/>
      <c r="G5" s="2"/>
      <c r="H5" s="2"/>
      <c r="I5" s="2"/>
      <c r="J5" s="2"/>
      <c r="K5" s="2"/>
    </row>
    <row r="6" spans="1:11" x14ac:dyDescent="0.5">
      <c r="A6" s="23" t="s">
        <v>970</v>
      </c>
      <c r="B6" s="24">
        <v>0.65</v>
      </c>
      <c r="C6" s="2"/>
      <c r="D6" s="2"/>
      <c r="E6" s="2"/>
      <c r="F6" s="2"/>
      <c r="G6" s="2"/>
      <c r="H6" s="2"/>
      <c r="I6" s="2"/>
      <c r="J6" s="2"/>
      <c r="K6" s="2"/>
    </row>
    <row r="7" spans="1:11" x14ac:dyDescent="0.5">
      <c r="A7" s="23" t="s">
        <v>971</v>
      </c>
      <c r="B7" s="25">
        <v>21352</v>
      </c>
      <c r="C7" s="2"/>
      <c r="D7" s="2"/>
      <c r="E7" s="2"/>
      <c r="F7" s="2"/>
      <c r="G7" s="2"/>
      <c r="H7" s="2"/>
      <c r="I7" s="2"/>
      <c r="J7" s="2"/>
      <c r="K7" s="2"/>
    </row>
    <row r="8" spans="1:11" x14ac:dyDescent="0.5">
      <c r="A8" s="23" t="s">
        <v>972</v>
      </c>
      <c r="B8" s="25">
        <v>3050</v>
      </c>
      <c r="C8" s="2"/>
      <c r="D8" s="2"/>
      <c r="E8" s="2"/>
      <c r="F8" s="2"/>
      <c r="G8" s="2"/>
      <c r="H8" s="2"/>
      <c r="I8" s="2"/>
      <c r="J8" s="2"/>
      <c r="K8" s="2"/>
    </row>
    <row r="9" spans="1:11" x14ac:dyDescent="0.5">
      <c r="A9" s="23" t="s">
        <v>928</v>
      </c>
      <c r="B9" s="26">
        <v>92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5">
      <c r="A10" s="23" t="s">
        <v>973</v>
      </c>
      <c r="B10" s="25">
        <v>320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5">
      <c r="A11" s="23" t="s">
        <v>974</v>
      </c>
      <c r="B11" s="25">
        <v>10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5">
      <c r="A12" s="23" t="s">
        <v>975</v>
      </c>
      <c r="B12" s="25">
        <v>3200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 ht="8" customHeight="1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5">
      <c r="A14" s="22" t="s">
        <v>976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x14ac:dyDescent="0.5">
      <c r="A15" s="5" t="s">
        <v>977</v>
      </c>
      <c r="B15" s="5" t="s">
        <v>978</v>
      </c>
      <c r="C15" s="5" t="s">
        <v>979</v>
      </c>
      <c r="D15" s="5" t="s">
        <v>980</v>
      </c>
      <c r="E15" s="5" t="s">
        <v>981</v>
      </c>
      <c r="F15" s="5" t="s">
        <v>982</v>
      </c>
      <c r="G15" s="5" t="s">
        <v>983</v>
      </c>
      <c r="H15" s="5" t="s">
        <v>984</v>
      </c>
      <c r="I15" s="5" t="s">
        <v>985</v>
      </c>
      <c r="J15" s="5" t="s">
        <v>986</v>
      </c>
      <c r="K15" s="5" t="s">
        <v>69</v>
      </c>
    </row>
    <row r="16" spans="1:11" ht="208" x14ac:dyDescent="0.5">
      <c r="A16" s="11" t="s">
        <v>987</v>
      </c>
      <c r="B16" s="11" t="s">
        <v>30</v>
      </c>
      <c r="C16" s="27">
        <v>290000000</v>
      </c>
      <c r="D16" s="27">
        <v>32200000</v>
      </c>
      <c r="E16" s="27">
        <v>110000</v>
      </c>
      <c r="F16" s="28">
        <v>1210</v>
      </c>
      <c r="G16" s="27">
        <v>133100000</v>
      </c>
      <c r="H16" s="27">
        <v>100900000</v>
      </c>
      <c r="I16" s="29">
        <v>2.87</v>
      </c>
      <c r="J16" s="11" t="s">
        <v>988</v>
      </c>
      <c r="K16" s="11" t="s">
        <v>989</v>
      </c>
    </row>
    <row r="17" spans="1:11" ht="143" x14ac:dyDescent="0.5">
      <c r="A17" s="3" t="s">
        <v>990</v>
      </c>
      <c r="B17" s="3" t="s">
        <v>30</v>
      </c>
      <c r="C17" s="30">
        <v>130000000</v>
      </c>
      <c r="D17" s="30">
        <v>16300000</v>
      </c>
      <c r="E17" s="30">
        <v>70000</v>
      </c>
      <c r="F17" s="31">
        <v>810</v>
      </c>
      <c r="G17" s="30">
        <v>56700000</v>
      </c>
      <c r="H17" s="30">
        <v>40400000</v>
      </c>
      <c r="I17" s="32">
        <v>3.22</v>
      </c>
      <c r="J17" s="3" t="s">
        <v>988</v>
      </c>
      <c r="K17" s="3" t="s">
        <v>991</v>
      </c>
    </row>
    <row r="18" spans="1:11" ht="104" x14ac:dyDescent="0.5">
      <c r="A18" s="11" t="s">
        <v>992</v>
      </c>
      <c r="B18" s="11" t="s">
        <v>30</v>
      </c>
      <c r="C18" s="27">
        <v>117000000</v>
      </c>
      <c r="D18" s="27">
        <v>16660000</v>
      </c>
      <c r="E18" s="27">
        <v>45000</v>
      </c>
      <c r="F18" s="28">
        <v>800</v>
      </c>
      <c r="G18" s="27">
        <v>36000000</v>
      </c>
      <c r="H18" s="27">
        <v>19340000</v>
      </c>
      <c r="I18" s="29">
        <v>6.05</v>
      </c>
      <c r="J18" s="11" t="s">
        <v>988</v>
      </c>
      <c r="K18" s="11" t="s">
        <v>993</v>
      </c>
    </row>
    <row r="19" spans="1:11" ht="104" x14ac:dyDescent="0.5">
      <c r="A19" s="3" t="s">
        <v>994</v>
      </c>
      <c r="B19" s="3" t="s">
        <v>30</v>
      </c>
      <c r="C19" s="30">
        <v>13000000</v>
      </c>
      <c r="D19" s="30">
        <v>2010000</v>
      </c>
      <c r="E19" s="30">
        <v>12000</v>
      </c>
      <c r="F19" s="31">
        <v>1375</v>
      </c>
      <c r="G19" s="30">
        <v>16500000</v>
      </c>
      <c r="H19" s="30">
        <v>14490000</v>
      </c>
      <c r="I19" s="32">
        <v>0.9</v>
      </c>
      <c r="J19" s="3" t="s">
        <v>988</v>
      </c>
      <c r="K19" s="3" t="s">
        <v>995</v>
      </c>
    </row>
    <row r="20" spans="1:11" ht="143" x14ac:dyDescent="0.5">
      <c r="A20" s="11" t="s">
        <v>996</v>
      </c>
      <c r="B20" s="11" t="s">
        <v>30</v>
      </c>
      <c r="C20" s="27">
        <v>12500000</v>
      </c>
      <c r="D20" s="27">
        <v>4950000</v>
      </c>
      <c r="E20" s="27">
        <v>80000</v>
      </c>
      <c r="F20" s="28">
        <v>192</v>
      </c>
      <c r="G20" s="27">
        <v>15360000</v>
      </c>
      <c r="H20" s="27">
        <v>10410000</v>
      </c>
      <c r="I20" s="29">
        <v>1.2</v>
      </c>
      <c r="J20" s="11" t="s">
        <v>988</v>
      </c>
      <c r="K20" s="11" t="s">
        <v>997</v>
      </c>
    </row>
    <row r="21" spans="1:11" ht="78" x14ac:dyDescent="0.5">
      <c r="A21" s="3" t="s">
        <v>998</v>
      </c>
      <c r="B21" s="3" t="s">
        <v>30</v>
      </c>
      <c r="C21" s="30">
        <v>9000000</v>
      </c>
      <c r="D21" s="30">
        <v>4450000</v>
      </c>
      <c r="E21" s="30">
        <v>25000</v>
      </c>
      <c r="F21" s="31">
        <v>990</v>
      </c>
      <c r="G21" s="30">
        <v>24750000</v>
      </c>
      <c r="H21" s="30">
        <v>20300000</v>
      </c>
      <c r="I21" s="32">
        <v>0.44</v>
      </c>
      <c r="J21" s="3" t="s">
        <v>988</v>
      </c>
      <c r="K21" s="3" t="s">
        <v>999</v>
      </c>
    </row>
    <row r="22" spans="1:11" ht="91" x14ac:dyDescent="0.5">
      <c r="A22" s="11" t="s">
        <v>1000</v>
      </c>
      <c r="B22" s="11" t="s">
        <v>30</v>
      </c>
      <c r="C22" s="27">
        <v>18000000</v>
      </c>
      <c r="D22" s="27">
        <v>6040000</v>
      </c>
      <c r="E22" s="27">
        <v>15000</v>
      </c>
      <c r="F22" s="28">
        <v>800</v>
      </c>
      <c r="G22" s="27">
        <v>12000000</v>
      </c>
      <c r="H22" s="27">
        <v>5960000</v>
      </c>
      <c r="I22" s="29">
        <v>3.02</v>
      </c>
      <c r="J22" s="11" t="s">
        <v>988</v>
      </c>
      <c r="K22" s="11" t="s">
        <v>1001</v>
      </c>
    </row>
    <row r="23" spans="1:11" ht="117" x14ac:dyDescent="0.5">
      <c r="A23" s="3" t="s">
        <v>1002</v>
      </c>
      <c r="B23" s="3" t="s">
        <v>30</v>
      </c>
      <c r="C23" s="30">
        <v>10400000</v>
      </c>
      <c r="D23" s="30">
        <v>4840000</v>
      </c>
      <c r="E23" s="30">
        <v>8000</v>
      </c>
      <c r="F23" s="31">
        <v>1600</v>
      </c>
      <c r="G23" s="30">
        <v>12800000</v>
      </c>
      <c r="H23" s="30">
        <v>15960000</v>
      </c>
      <c r="I23" s="32">
        <v>0.65</v>
      </c>
      <c r="J23" s="3" t="s">
        <v>988</v>
      </c>
      <c r="K23" s="3" t="s">
        <v>1003</v>
      </c>
    </row>
    <row r="24" spans="1:11" ht="65" x14ac:dyDescent="0.5">
      <c r="A24" s="11" t="s">
        <v>714</v>
      </c>
      <c r="B24" s="11" t="s">
        <v>30</v>
      </c>
      <c r="C24" s="27">
        <v>6200000</v>
      </c>
      <c r="D24" s="27">
        <v>3020000</v>
      </c>
      <c r="E24" s="27">
        <v>2500</v>
      </c>
      <c r="F24" s="28">
        <v>2000</v>
      </c>
      <c r="G24" s="27">
        <v>5000000</v>
      </c>
      <c r="H24" s="27">
        <v>5980000</v>
      </c>
      <c r="I24" s="29">
        <v>1.04</v>
      </c>
      <c r="J24" s="11" t="s">
        <v>988</v>
      </c>
      <c r="K24" s="11" t="s">
        <v>1004</v>
      </c>
    </row>
    <row r="25" spans="1:11" ht="130" x14ac:dyDescent="0.5">
      <c r="A25" s="3" t="s">
        <v>1005</v>
      </c>
      <c r="B25" s="3" t="s">
        <v>30</v>
      </c>
      <c r="C25" s="30">
        <v>2880000</v>
      </c>
      <c r="D25" s="30">
        <v>7715200</v>
      </c>
      <c r="E25" s="30">
        <v>22000</v>
      </c>
      <c r="F25" s="31">
        <v>2880</v>
      </c>
      <c r="G25" s="30">
        <v>63360000</v>
      </c>
      <c r="H25" s="30">
        <v>55644800</v>
      </c>
      <c r="I25" s="32">
        <v>0.05</v>
      </c>
      <c r="J25" s="3" t="s">
        <v>988</v>
      </c>
      <c r="K25" s="3" t="s">
        <v>1006</v>
      </c>
    </row>
    <row r="26" spans="1:11" ht="91" x14ac:dyDescent="0.5">
      <c r="A26" s="11" t="s">
        <v>1007</v>
      </c>
      <c r="B26" s="11" t="s">
        <v>30</v>
      </c>
      <c r="C26" s="27">
        <v>28000000</v>
      </c>
      <c r="D26" s="27">
        <v>4080000</v>
      </c>
      <c r="E26" s="27">
        <v>4500</v>
      </c>
      <c r="F26" s="28">
        <v>2400</v>
      </c>
      <c r="G26" s="27">
        <v>10800000</v>
      </c>
      <c r="H26" s="27">
        <v>6720000</v>
      </c>
      <c r="I26" s="29">
        <v>4.17</v>
      </c>
      <c r="J26" s="11" t="s">
        <v>988</v>
      </c>
      <c r="K26" s="11" t="s">
        <v>1008</v>
      </c>
    </row>
    <row r="27" spans="1:11" ht="117" x14ac:dyDescent="0.5">
      <c r="A27" s="3" t="s">
        <v>1009</v>
      </c>
      <c r="B27" s="3" t="s">
        <v>30</v>
      </c>
      <c r="C27" s="30">
        <v>44000000</v>
      </c>
      <c r="D27" s="30">
        <v>4800000</v>
      </c>
      <c r="E27" s="30">
        <v>0</v>
      </c>
      <c r="F27" s="31">
        <v>0</v>
      </c>
      <c r="G27" s="30">
        <v>0</v>
      </c>
      <c r="H27" s="30">
        <v>0</v>
      </c>
      <c r="I27" s="32" t="s">
        <v>1010</v>
      </c>
      <c r="J27" s="3" t="s">
        <v>988</v>
      </c>
      <c r="K27" s="3" t="s">
        <v>1011</v>
      </c>
    </row>
    <row r="28" spans="1:11" ht="91" x14ac:dyDescent="0.5">
      <c r="A28" s="11" t="s">
        <v>1012</v>
      </c>
      <c r="B28" s="11" t="s">
        <v>30</v>
      </c>
      <c r="C28" s="27">
        <v>48000000</v>
      </c>
      <c r="D28" s="27">
        <v>5580000</v>
      </c>
      <c r="E28" s="27">
        <v>8500</v>
      </c>
      <c r="F28" s="28">
        <v>200</v>
      </c>
      <c r="G28" s="27">
        <v>1700000</v>
      </c>
      <c r="H28" s="27">
        <v>-3880000</v>
      </c>
      <c r="I28" s="29" t="s">
        <v>1013</v>
      </c>
      <c r="J28" s="11" t="s">
        <v>1014</v>
      </c>
      <c r="K28" s="11" t="s">
        <v>1015</v>
      </c>
    </row>
    <row r="29" spans="1:11" ht="78" x14ac:dyDescent="0.5">
      <c r="A29" s="3" t="s">
        <v>1016</v>
      </c>
      <c r="B29" s="3" t="s">
        <v>28</v>
      </c>
      <c r="C29" s="30">
        <v>5200000</v>
      </c>
      <c r="D29" s="30">
        <v>4058000</v>
      </c>
      <c r="E29" s="30">
        <v>0</v>
      </c>
      <c r="F29" s="31">
        <v>0</v>
      </c>
      <c r="G29" s="30">
        <v>0</v>
      </c>
      <c r="H29" s="30">
        <v>0</v>
      </c>
      <c r="I29" s="32" t="s">
        <v>1010</v>
      </c>
      <c r="J29" s="3" t="s">
        <v>1014</v>
      </c>
      <c r="K29" s="3" t="s">
        <v>1017</v>
      </c>
    </row>
    <row r="30" spans="1:11" ht="65" x14ac:dyDescent="0.5">
      <c r="A30" s="11" t="s">
        <v>1018</v>
      </c>
      <c r="B30" s="11" t="s">
        <v>26</v>
      </c>
      <c r="C30" s="27">
        <v>60930000</v>
      </c>
      <c r="D30" s="27">
        <v>5846500</v>
      </c>
      <c r="E30" s="27">
        <v>0</v>
      </c>
      <c r="F30" s="28">
        <v>0</v>
      </c>
      <c r="G30" s="27">
        <v>0</v>
      </c>
      <c r="H30" s="27">
        <v>0</v>
      </c>
      <c r="I30" s="29" t="s">
        <v>1010</v>
      </c>
      <c r="J30" s="11" t="s">
        <v>1014</v>
      </c>
      <c r="K30" s="11" t="s">
        <v>1019</v>
      </c>
    </row>
    <row r="31" spans="1:11" ht="65" x14ac:dyDescent="0.5">
      <c r="A31" s="3" t="s">
        <v>1020</v>
      </c>
      <c r="B31" s="3" t="s">
        <v>28</v>
      </c>
      <c r="C31" s="30">
        <v>17700000</v>
      </c>
      <c r="D31" s="30">
        <v>4185000</v>
      </c>
      <c r="E31" s="30">
        <v>15000</v>
      </c>
      <c r="F31" s="31">
        <v>600</v>
      </c>
      <c r="G31" s="30">
        <v>9000000</v>
      </c>
      <c r="H31" s="30">
        <v>4815000</v>
      </c>
      <c r="I31" s="32">
        <v>3.68</v>
      </c>
      <c r="J31" s="3" t="s">
        <v>1021</v>
      </c>
      <c r="K31" s="3" t="s">
        <v>1022</v>
      </c>
    </row>
    <row r="32" spans="1:11" ht="65" x14ac:dyDescent="0.5">
      <c r="A32" s="11" t="s">
        <v>1023</v>
      </c>
      <c r="B32" s="11" t="s">
        <v>28</v>
      </c>
      <c r="C32" s="27">
        <v>35000000</v>
      </c>
      <c r="D32" s="27">
        <v>4250000</v>
      </c>
      <c r="E32" s="27">
        <v>11000</v>
      </c>
      <c r="F32" s="28">
        <v>800</v>
      </c>
      <c r="G32" s="27">
        <v>8800000</v>
      </c>
      <c r="H32" s="27">
        <v>4550000</v>
      </c>
      <c r="I32" s="29">
        <v>7.69</v>
      </c>
      <c r="J32" s="11" t="s">
        <v>1024</v>
      </c>
      <c r="K32" s="11" t="s">
        <v>1025</v>
      </c>
    </row>
    <row r="33" spans="1:11" ht="65" x14ac:dyDescent="0.5">
      <c r="A33" s="3" t="s">
        <v>1026</v>
      </c>
      <c r="B33" s="3" t="s">
        <v>26</v>
      </c>
      <c r="C33" s="30">
        <v>130950000</v>
      </c>
      <c r="D33" s="30">
        <v>7857000</v>
      </c>
      <c r="E33" s="30">
        <v>0</v>
      </c>
      <c r="F33" s="31">
        <v>0</v>
      </c>
      <c r="G33" s="30">
        <v>0</v>
      </c>
      <c r="H33" s="30">
        <v>0</v>
      </c>
      <c r="I33" s="32" t="s">
        <v>1027</v>
      </c>
      <c r="J33" s="3" t="s">
        <v>1024</v>
      </c>
      <c r="K33" s="3" t="s">
        <v>1028</v>
      </c>
    </row>
    <row r="34" spans="1:11" ht="104" x14ac:dyDescent="0.5">
      <c r="A34" s="11" t="s">
        <v>1029</v>
      </c>
      <c r="B34" s="11" t="s">
        <v>30</v>
      </c>
      <c r="C34" s="27">
        <v>12000000</v>
      </c>
      <c r="D34" s="27">
        <v>6900000</v>
      </c>
      <c r="E34" s="27">
        <v>0</v>
      </c>
      <c r="F34" s="28">
        <v>0</v>
      </c>
      <c r="G34" s="27">
        <v>0</v>
      </c>
      <c r="H34" s="27">
        <v>0</v>
      </c>
      <c r="I34" s="29" t="s">
        <v>1027</v>
      </c>
      <c r="J34" s="11" t="s">
        <v>1024</v>
      </c>
      <c r="K34" s="11" t="s">
        <v>1030</v>
      </c>
    </row>
    <row r="35" spans="1:11" ht="65" x14ac:dyDescent="0.5">
      <c r="A35" s="3" t="s">
        <v>1031</v>
      </c>
      <c r="B35" s="3" t="s">
        <v>26</v>
      </c>
      <c r="C35" s="30">
        <v>15500000</v>
      </c>
      <c r="D35" s="30">
        <v>5800000</v>
      </c>
      <c r="E35" s="30">
        <v>0</v>
      </c>
      <c r="F35" s="31">
        <v>0</v>
      </c>
      <c r="G35" s="30">
        <v>0</v>
      </c>
      <c r="H35" s="30">
        <v>0</v>
      </c>
      <c r="I35" s="32" t="s">
        <v>1027</v>
      </c>
      <c r="J35" s="3" t="s">
        <v>1024</v>
      </c>
      <c r="K35" s="3" t="s">
        <v>1032</v>
      </c>
    </row>
    <row r="36" spans="1:11" ht="8" customHeight="1" x14ac:dyDescent="0.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8" customHeight="1" x14ac:dyDescent="0.5">
      <c r="A37" s="22" t="s">
        <v>1033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26" customHeight="1" x14ac:dyDescent="0.5">
      <c r="A38" s="5" t="s">
        <v>1034</v>
      </c>
      <c r="B38" s="5" t="s">
        <v>1035</v>
      </c>
      <c r="C38" s="5" t="s">
        <v>1036</v>
      </c>
      <c r="D38" s="5" t="s">
        <v>1037</v>
      </c>
      <c r="E38" s="5" t="s">
        <v>1038</v>
      </c>
      <c r="F38" s="5" t="s">
        <v>1039</v>
      </c>
      <c r="G38" s="5" t="s">
        <v>69</v>
      </c>
      <c r="H38" s="2"/>
      <c r="I38" s="2"/>
      <c r="J38" s="2"/>
      <c r="K38" s="2"/>
    </row>
    <row r="39" spans="1:11" ht="65" x14ac:dyDescent="0.5">
      <c r="A39" s="11" t="s">
        <v>1040</v>
      </c>
      <c r="B39" s="33">
        <v>2200</v>
      </c>
      <c r="C39" s="33">
        <v>1800</v>
      </c>
      <c r="D39" s="33">
        <v>2500</v>
      </c>
      <c r="E39" s="27">
        <v>111000</v>
      </c>
      <c r="F39" s="33">
        <v>1207</v>
      </c>
      <c r="G39" s="11" t="s">
        <v>1041</v>
      </c>
      <c r="H39" s="2"/>
      <c r="I39" s="2"/>
      <c r="J39" s="2"/>
      <c r="K39" s="2"/>
    </row>
    <row r="40" spans="1:11" ht="52" x14ac:dyDescent="0.5">
      <c r="A40" s="3" t="s">
        <v>1042</v>
      </c>
      <c r="B40" s="34">
        <v>200</v>
      </c>
      <c r="C40" s="34">
        <v>180</v>
      </c>
      <c r="D40" s="34">
        <v>250</v>
      </c>
      <c r="E40" s="30">
        <v>10000</v>
      </c>
      <c r="F40" s="34">
        <v>109</v>
      </c>
      <c r="G40" s="3" t="s">
        <v>1043</v>
      </c>
      <c r="H40" s="2"/>
      <c r="I40" s="2"/>
      <c r="J40" s="2"/>
      <c r="K40" s="2"/>
    </row>
    <row r="41" spans="1:11" ht="39" x14ac:dyDescent="0.5">
      <c r="A41" s="11" t="s">
        <v>1044</v>
      </c>
      <c r="B41" s="33">
        <v>400</v>
      </c>
      <c r="C41" s="33">
        <v>350</v>
      </c>
      <c r="D41" s="33">
        <v>500</v>
      </c>
      <c r="E41" s="27">
        <v>20000</v>
      </c>
      <c r="F41" s="33">
        <v>217</v>
      </c>
      <c r="G41" s="11" t="s">
        <v>1045</v>
      </c>
      <c r="H41" s="2"/>
      <c r="I41" s="2"/>
      <c r="J41" s="2"/>
      <c r="K41" s="2"/>
    </row>
    <row r="42" spans="1:11" ht="26" x14ac:dyDescent="0.5">
      <c r="A42" s="3" t="s">
        <v>1046</v>
      </c>
      <c r="B42" s="34">
        <v>1500</v>
      </c>
      <c r="C42" s="34">
        <v>1300</v>
      </c>
      <c r="D42" s="34">
        <v>1800</v>
      </c>
      <c r="E42" s="30">
        <v>76000</v>
      </c>
      <c r="F42" s="34">
        <v>826</v>
      </c>
      <c r="G42" s="3" t="s">
        <v>1047</v>
      </c>
      <c r="H42" s="2"/>
      <c r="I42" s="2"/>
      <c r="J42" s="2"/>
      <c r="K42" s="2"/>
    </row>
    <row r="43" spans="1:11" ht="26" x14ac:dyDescent="0.5">
      <c r="A43" s="11" t="s">
        <v>1048</v>
      </c>
      <c r="B43" s="33">
        <v>4046</v>
      </c>
      <c r="C43" s="33">
        <v>3825</v>
      </c>
      <c r="D43" s="33">
        <v>8500</v>
      </c>
      <c r="E43" s="27">
        <v>223000</v>
      </c>
      <c r="F43" s="33">
        <v>2424</v>
      </c>
      <c r="G43" s="11" t="s">
        <v>1049</v>
      </c>
      <c r="H43" s="2"/>
      <c r="I43" s="2"/>
      <c r="J43" s="2"/>
      <c r="K43" s="2"/>
    </row>
    <row r="44" spans="1:11" ht="26" x14ac:dyDescent="0.5">
      <c r="A44" s="3" t="s">
        <v>1050</v>
      </c>
      <c r="B44" s="34">
        <v>8053</v>
      </c>
      <c r="C44" s="34">
        <v>7500</v>
      </c>
      <c r="D44" s="34">
        <v>21300</v>
      </c>
      <c r="E44" s="30">
        <v>407000</v>
      </c>
      <c r="F44" s="34">
        <v>4424</v>
      </c>
      <c r="G44" s="3" t="s">
        <v>1051</v>
      </c>
      <c r="H44" s="2"/>
      <c r="I44" s="2"/>
      <c r="J44" s="2"/>
      <c r="K44" s="2"/>
    </row>
    <row r="45" spans="1:11" ht="52" x14ac:dyDescent="0.5">
      <c r="A45" s="11" t="s">
        <v>1052</v>
      </c>
      <c r="B45" s="33">
        <v>600</v>
      </c>
      <c r="C45" s="33">
        <v>500</v>
      </c>
      <c r="D45" s="33">
        <v>800</v>
      </c>
      <c r="E45" s="27">
        <v>33000</v>
      </c>
      <c r="F45" s="33">
        <v>359</v>
      </c>
      <c r="G45" s="11" t="s">
        <v>1053</v>
      </c>
      <c r="H45" s="2"/>
      <c r="I45" s="2"/>
      <c r="J45" s="2"/>
      <c r="K45" s="2"/>
    </row>
    <row r="46" spans="1:11" ht="39" x14ac:dyDescent="0.5">
      <c r="A46" s="3" t="s">
        <v>1054</v>
      </c>
      <c r="B46" s="34">
        <v>450</v>
      </c>
      <c r="C46" s="34">
        <v>400</v>
      </c>
      <c r="D46" s="34">
        <v>600</v>
      </c>
      <c r="E46" s="30">
        <v>23000</v>
      </c>
      <c r="F46" s="34">
        <v>250</v>
      </c>
      <c r="G46" s="3" t="s">
        <v>1055</v>
      </c>
      <c r="H46" s="2"/>
      <c r="I46" s="2"/>
      <c r="J46" s="2"/>
      <c r="K46" s="2"/>
    </row>
    <row r="47" spans="1:11" ht="39" x14ac:dyDescent="0.5">
      <c r="A47" s="11" t="s">
        <v>1056</v>
      </c>
      <c r="B47" s="33">
        <v>5000</v>
      </c>
      <c r="C47" s="33">
        <v>4000</v>
      </c>
      <c r="D47" s="33">
        <v>7000</v>
      </c>
      <c r="E47" s="27">
        <v>253000</v>
      </c>
      <c r="F47" s="33">
        <v>2750</v>
      </c>
      <c r="G47" s="11" t="s">
        <v>1057</v>
      </c>
      <c r="H47" s="2"/>
      <c r="I47" s="2"/>
      <c r="J47" s="2"/>
      <c r="K47" s="2"/>
    </row>
    <row r="48" spans="1:11" ht="8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8" customHeight="1" x14ac:dyDescent="0.5">
      <c r="A49" s="22" t="s">
        <v>1058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1" ht="26" customHeight="1" x14ac:dyDescent="0.5">
      <c r="A50" s="5" t="s">
        <v>1059</v>
      </c>
      <c r="B50" s="5" t="s">
        <v>1060</v>
      </c>
      <c r="C50" s="5" t="s">
        <v>1061</v>
      </c>
      <c r="D50" s="5" t="s">
        <v>1062</v>
      </c>
      <c r="E50" s="5" t="s">
        <v>1063</v>
      </c>
      <c r="F50" s="5" t="s">
        <v>66</v>
      </c>
      <c r="G50" s="2"/>
      <c r="H50" s="2"/>
      <c r="I50" s="2"/>
      <c r="J50" s="2"/>
      <c r="K50" s="2"/>
    </row>
    <row r="51" spans="1:11" ht="78" x14ac:dyDescent="0.5">
      <c r="A51" s="11" t="s">
        <v>1064</v>
      </c>
      <c r="B51" s="11" t="s">
        <v>1065</v>
      </c>
      <c r="C51" s="33">
        <v>8053</v>
      </c>
      <c r="D51" s="33">
        <v>8175</v>
      </c>
      <c r="E51" s="11" t="s">
        <v>1066</v>
      </c>
      <c r="F51" s="11" t="s">
        <v>1067</v>
      </c>
      <c r="G51" s="2"/>
      <c r="H51" s="2"/>
      <c r="I51" s="2"/>
      <c r="J51" s="2"/>
      <c r="K51" s="2"/>
    </row>
    <row r="52" spans="1:11" ht="78" x14ac:dyDescent="0.5">
      <c r="A52" s="3" t="s">
        <v>1068</v>
      </c>
      <c r="B52" s="3" t="s">
        <v>1069</v>
      </c>
      <c r="C52" s="3">
        <v>12520</v>
      </c>
      <c r="D52" s="3"/>
      <c r="E52" s="3" t="s">
        <v>1070</v>
      </c>
      <c r="F52" s="3" t="s">
        <v>1071</v>
      </c>
      <c r="G52" s="2"/>
      <c r="H52" s="2"/>
      <c r="I52" s="2"/>
      <c r="J52" s="2"/>
      <c r="K52" s="2"/>
    </row>
    <row r="53" spans="1:11" ht="65" x14ac:dyDescent="0.5">
      <c r="A53" s="11" t="s">
        <v>1072</v>
      </c>
      <c r="B53" s="11" t="s">
        <v>1073</v>
      </c>
      <c r="C53" s="11"/>
      <c r="D53" s="11"/>
      <c r="E53" s="11" t="s">
        <v>1074</v>
      </c>
      <c r="F53" s="11" t="s">
        <v>1075</v>
      </c>
      <c r="G53" s="2"/>
      <c r="H53" s="2"/>
      <c r="I53" s="2"/>
      <c r="J53" s="2"/>
      <c r="K53" s="2"/>
    </row>
    <row r="54" spans="1:11" ht="52" x14ac:dyDescent="0.5">
      <c r="A54" s="3" t="s">
        <v>1072</v>
      </c>
      <c r="B54" s="3" t="s">
        <v>1076</v>
      </c>
      <c r="C54" s="3"/>
      <c r="D54" s="3"/>
      <c r="E54" s="3" t="s">
        <v>1077</v>
      </c>
      <c r="F54" s="3" t="s">
        <v>1078</v>
      </c>
      <c r="G54" s="2"/>
      <c r="H54" s="2"/>
      <c r="I54" s="2"/>
      <c r="J54" s="2"/>
      <c r="K54" s="2"/>
    </row>
    <row r="55" spans="1:11" ht="78" x14ac:dyDescent="0.5">
      <c r="A55" s="11" t="s">
        <v>1079</v>
      </c>
      <c r="B55" s="11" t="s">
        <v>1080</v>
      </c>
      <c r="C55" s="11"/>
      <c r="D55" s="11"/>
      <c r="E55" s="11" t="s">
        <v>1081</v>
      </c>
      <c r="F55" s="11" t="s">
        <v>1082</v>
      </c>
      <c r="G55" s="2"/>
      <c r="H55" s="2"/>
      <c r="I55" s="2"/>
      <c r="J55" s="2"/>
      <c r="K55" s="2"/>
    </row>
    <row r="56" spans="1:11" ht="65" x14ac:dyDescent="0.5">
      <c r="A56" s="3" t="s">
        <v>1083</v>
      </c>
      <c r="B56" s="3" t="s">
        <v>1084</v>
      </c>
      <c r="C56" s="3"/>
      <c r="D56" s="3"/>
      <c r="E56" s="3" t="s">
        <v>1085</v>
      </c>
      <c r="F56" s="3" t="s">
        <v>1086</v>
      </c>
      <c r="G56" s="2"/>
      <c r="H56" s="2"/>
      <c r="I56" s="2"/>
      <c r="J56" s="2"/>
      <c r="K56" s="2"/>
    </row>
    <row r="57" spans="1:11" ht="78" x14ac:dyDescent="0.5">
      <c r="A57" s="11" t="s">
        <v>1087</v>
      </c>
      <c r="B57" s="11" t="s">
        <v>1088</v>
      </c>
      <c r="C57" s="11"/>
      <c r="D57" s="11"/>
      <c r="E57" s="11" t="s">
        <v>1089</v>
      </c>
      <c r="F57" s="11" t="s">
        <v>1090</v>
      </c>
      <c r="G57" s="2"/>
      <c r="H57" s="2"/>
      <c r="I57" s="2"/>
      <c r="J57" s="2"/>
      <c r="K57" s="2"/>
    </row>
    <row r="58" spans="1:11" ht="65" x14ac:dyDescent="0.5">
      <c r="A58" s="3" t="s">
        <v>1091</v>
      </c>
      <c r="B58" s="3" t="s">
        <v>1092</v>
      </c>
      <c r="C58" s="3"/>
      <c r="D58" s="3"/>
      <c r="E58" s="3" t="s">
        <v>1093</v>
      </c>
      <c r="F58" s="3" t="s">
        <v>1094</v>
      </c>
      <c r="G58" s="2"/>
      <c r="H58" s="2"/>
      <c r="I58" s="2"/>
      <c r="J58" s="2"/>
      <c r="K58" s="2"/>
    </row>
    <row r="59" spans="1:11" ht="8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5">
      <c r="A60" s="22" t="s">
        <v>1095</v>
      </c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1" x14ac:dyDescent="0.5">
      <c r="A61" s="5" t="s">
        <v>1096</v>
      </c>
      <c r="B61" s="5" t="s">
        <v>1097</v>
      </c>
      <c r="C61" s="5" t="s">
        <v>1098</v>
      </c>
      <c r="D61" s="5" t="s">
        <v>69</v>
      </c>
      <c r="E61" s="2"/>
      <c r="F61" s="2"/>
      <c r="G61" s="2"/>
      <c r="H61" s="2"/>
      <c r="I61" s="2"/>
      <c r="J61" s="2"/>
      <c r="K61" s="2"/>
    </row>
    <row r="62" spans="1:11" x14ac:dyDescent="0.5">
      <c r="A62" s="11" t="s">
        <v>1099</v>
      </c>
      <c r="B62" s="35">
        <v>0.3</v>
      </c>
      <c r="C62" s="33">
        <v>4500</v>
      </c>
      <c r="D62" s="11" t="s">
        <v>1100</v>
      </c>
      <c r="E62" s="2"/>
      <c r="F62" s="2"/>
      <c r="G62" s="2"/>
      <c r="H62" s="2"/>
      <c r="I62" s="2"/>
      <c r="J62" s="2"/>
      <c r="K62" s="2"/>
    </row>
    <row r="63" spans="1:11" ht="26" x14ac:dyDescent="0.5">
      <c r="A63" s="3" t="s">
        <v>1101</v>
      </c>
      <c r="B63" s="36">
        <v>0.25</v>
      </c>
      <c r="C63" s="34">
        <v>3750</v>
      </c>
      <c r="D63" s="3" t="s">
        <v>1102</v>
      </c>
      <c r="E63" s="2"/>
      <c r="F63" s="2"/>
      <c r="G63" s="2"/>
      <c r="H63" s="2"/>
      <c r="I63" s="2"/>
      <c r="J63" s="2"/>
      <c r="K63" s="2"/>
    </row>
    <row r="64" spans="1:11" ht="26" x14ac:dyDescent="0.5">
      <c r="A64" s="11" t="s">
        <v>1103</v>
      </c>
      <c r="B64" s="35">
        <v>0.15</v>
      </c>
      <c r="C64" s="33">
        <v>2250</v>
      </c>
      <c r="D64" s="11" t="s">
        <v>1104</v>
      </c>
      <c r="E64" s="2"/>
      <c r="F64" s="2"/>
      <c r="G64" s="2"/>
      <c r="H64" s="2"/>
      <c r="I64" s="2"/>
      <c r="J64" s="2"/>
      <c r="K64" s="2"/>
    </row>
    <row r="65" spans="1:11" x14ac:dyDescent="0.5">
      <c r="A65" s="3" t="s">
        <v>1105</v>
      </c>
      <c r="B65" s="36">
        <v>0.12</v>
      </c>
      <c r="C65" s="34">
        <v>1800</v>
      </c>
      <c r="D65" s="3" t="s">
        <v>1106</v>
      </c>
      <c r="E65" s="2"/>
      <c r="F65" s="2"/>
      <c r="G65" s="2"/>
      <c r="H65" s="2"/>
      <c r="I65" s="2"/>
      <c r="J65" s="2"/>
      <c r="K65" s="2"/>
    </row>
    <row r="66" spans="1:11" ht="26" x14ac:dyDescent="0.5">
      <c r="A66" s="11" t="s">
        <v>1107</v>
      </c>
      <c r="B66" s="35">
        <v>0.13</v>
      </c>
      <c r="C66" s="33">
        <v>1950</v>
      </c>
      <c r="D66" s="11" t="s">
        <v>1108</v>
      </c>
      <c r="E66" s="2"/>
      <c r="F66" s="2"/>
      <c r="G66" s="2"/>
      <c r="H66" s="2"/>
      <c r="I66" s="2"/>
      <c r="J66" s="2"/>
      <c r="K66" s="2"/>
    </row>
    <row r="67" spans="1:11" x14ac:dyDescent="0.5">
      <c r="A67" s="37" t="s">
        <v>1109</v>
      </c>
      <c r="B67" s="38">
        <v>0.05</v>
      </c>
      <c r="C67" s="39">
        <v>750</v>
      </c>
      <c r="D67" s="37" t="s">
        <v>1110</v>
      </c>
      <c r="E67" s="2"/>
      <c r="F67" s="2"/>
      <c r="G67" s="2"/>
      <c r="H67" s="2"/>
      <c r="I67" s="2"/>
      <c r="J67" s="2"/>
      <c r="K67" s="2"/>
    </row>
    <row r="68" spans="1:11" x14ac:dyDescent="0.5">
      <c r="A68" s="40" t="s">
        <v>1111</v>
      </c>
      <c r="B68" s="41">
        <f>SUM(B62:B67)</f>
        <v>1</v>
      </c>
      <c r="C68" s="42">
        <f>SUM(C62:C67)</f>
        <v>15000</v>
      </c>
      <c r="D68" s="40"/>
      <c r="E68" s="2"/>
      <c r="F68" s="2"/>
      <c r="G68" s="2"/>
      <c r="H68" s="2"/>
      <c r="I68" s="2"/>
      <c r="J68" s="2"/>
      <c r="K68" s="2"/>
    </row>
    <row r="69" spans="1:11" ht="8" customHeight="1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28" customHeight="1" x14ac:dyDescent="0.5">
      <c r="A70" s="22" t="s">
        <v>1112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1" ht="52" x14ac:dyDescent="0.5">
      <c r="A71" s="23" t="s">
        <v>1113</v>
      </c>
      <c r="B71" s="14" t="s">
        <v>1114</v>
      </c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5">
      <c r="A72" s="23" t="s">
        <v>1115</v>
      </c>
      <c r="B72" s="15">
        <v>250</v>
      </c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5">
      <c r="A73" s="23" t="s">
        <v>1116</v>
      </c>
      <c r="B73" s="16">
        <v>23000</v>
      </c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5">
      <c r="A74" s="23" t="s">
        <v>971</v>
      </c>
      <c r="B74" s="17">
        <v>21352</v>
      </c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5">
      <c r="A75" s="23" t="s">
        <v>1117</v>
      </c>
      <c r="B75" s="16">
        <v>491096000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5">
      <c r="A76" s="23" t="s">
        <v>1118</v>
      </c>
      <c r="B76" s="15">
        <v>5338000</v>
      </c>
      <c r="C76" s="2"/>
      <c r="D76" s="2"/>
      <c r="E76" s="2"/>
      <c r="F76" s="2"/>
      <c r="G76" s="2"/>
      <c r="H76" s="2"/>
      <c r="I76" s="2"/>
      <c r="J76" s="2"/>
      <c r="K76" s="2"/>
    </row>
    <row r="77" spans="1:11" ht="52" x14ac:dyDescent="0.5">
      <c r="A77" s="23" t="s">
        <v>69</v>
      </c>
      <c r="B77" s="14" t="s">
        <v>1119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ht="8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28" customHeight="1" x14ac:dyDescent="0.5">
      <c r="A79" s="22" t="s">
        <v>1120</v>
      </c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1" ht="26" x14ac:dyDescent="0.5">
      <c r="A80" s="23" t="s">
        <v>1121</v>
      </c>
      <c r="B80" s="2" t="s">
        <v>1122</v>
      </c>
      <c r="C80" s="2"/>
      <c r="D80" s="2"/>
      <c r="E80" s="2"/>
      <c r="F80" s="2"/>
      <c r="G80" s="2"/>
      <c r="H80" s="2"/>
      <c r="I80" s="2"/>
      <c r="J80" s="2"/>
      <c r="K80" s="2"/>
    </row>
    <row r="81" spans="1:11" ht="39" x14ac:dyDescent="0.5">
      <c r="A81" s="23" t="s">
        <v>1123</v>
      </c>
      <c r="B81" s="2" t="s">
        <v>1124</v>
      </c>
      <c r="C81" s="2"/>
      <c r="D81" s="2"/>
      <c r="E81" s="2"/>
      <c r="F81" s="2"/>
      <c r="G81" s="2"/>
      <c r="H81" s="2"/>
      <c r="I81" s="2"/>
      <c r="J81" s="2"/>
      <c r="K81" s="2"/>
    </row>
    <row r="82" spans="1:11" ht="26" x14ac:dyDescent="0.5">
      <c r="A82" s="23" t="s">
        <v>1125</v>
      </c>
      <c r="B82" s="2" t="s">
        <v>1126</v>
      </c>
      <c r="C82" s="2"/>
      <c r="D82" s="2"/>
      <c r="E82" s="2"/>
      <c r="F82" s="2"/>
      <c r="G82" s="2"/>
      <c r="H82" s="2"/>
      <c r="I82" s="2"/>
      <c r="J82" s="2"/>
      <c r="K82" s="2"/>
    </row>
    <row r="83" spans="1:11" ht="52" x14ac:dyDescent="0.5">
      <c r="A83" s="23" t="s">
        <v>1127</v>
      </c>
      <c r="B83" s="2" t="s">
        <v>1128</v>
      </c>
      <c r="C83" s="2"/>
      <c r="D83" s="2"/>
      <c r="E83" s="2"/>
      <c r="F83" s="2"/>
      <c r="G83" s="2"/>
      <c r="H83" s="2"/>
      <c r="I83" s="2"/>
      <c r="J83" s="2"/>
      <c r="K83" s="2"/>
    </row>
  </sheetData>
  <mergeCells count="9">
    <mergeCell ref="A60:K60"/>
    <mergeCell ref="A70:K70"/>
    <mergeCell ref="A79:K79"/>
    <mergeCell ref="A1:K1"/>
    <mergeCell ref="A2:K2"/>
    <mergeCell ref="A4:K4"/>
    <mergeCell ref="A14:K14"/>
    <mergeCell ref="A37:K37"/>
    <mergeCell ref="A49:K4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1"/>
  <sheetViews>
    <sheetView showGridLines="0" zoomScaleNormal="100" workbookViewId="0">
      <pane ySplit="2" topLeftCell="A36" activePane="bottomLeft" state="frozen"/>
      <selection pane="bottomLeft" activeCell="G15" sqref="G15"/>
    </sheetView>
  </sheetViews>
  <sheetFormatPr defaultColWidth="8.703125" defaultRowHeight="14.35" x14ac:dyDescent="0.5"/>
  <cols>
    <col min="1" max="1" width="42.3515625" customWidth="1"/>
    <col min="2" max="2" width="123.52734375" customWidth="1"/>
  </cols>
  <sheetData>
    <row r="1" spans="1:2" ht="36" customHeight="1" x14ac:dyDescent="0.5">
      <c r="A1" s="68" t="s">
        <v>1129</v>
      </c>
      <c r="B1" s="68"/>
    </row>
    <row r="2" spans="1:2" x14ac:dyDescent="0.5">
      <c r="A2" s="21" t="s">
        <v>1130</v>
      </c>
      <c r="B2" s="21"/>
    </row>
    <row r="3" spans="1:2" ht="8" customHeight="1" x14ac:dyDescent="0.5">
      <c r="A3" s="2"/>
      <c r="B3" s="2"/>
    </row>
    <row r="4" spans="1:2" ht="28" customHeight="1" x14ac:dyDescent="0.5">
      <c r="A4" s="22" t="s">
        <v>1131</v>
      </c>
      <c r="B4" s="22"/>
    </row>
    <row r="5" spans="1:2" ht="39" x14ac:dyDescent="0.5">
      <c r="A5" s="69" t="s">
        <v>1132</v>
      </c>
      <c r="B5" s="11" t="s">
        <v>1133</v>
      </c>
    </row>
    <row r="6" spans="1:2" ht="26" x14ac:dyDescent="0.5">
      <c r="A6" s="70" t="s">
        <v>1134</v>
      </c>
      <c r="B6" s="3" t="s">
        <v>1135</v>
      </c>
    </row>
    <row r="7" spans="1:2" ht="26" x14ac:dyDescent="0.5">
      <c r="A7" s="69" t="s">
        <v>1136</v>
      </c>
      <c r="B7" s="11" t="s">
        <v>1137</v>
      </c>
    </row>
    <row r="8" spans="1:2" ht="39" x14ac:dyDescent="0.5">
      <c r="A8" s="70" t="s">
        <v>1138</v>
      </c>
      <c r="B8" s="3" t="s">
        <v>1139</v>
      </c>
    </row>
    <row r="9" spans="1:2" ht="39" x14ac:dyDescent="0.5">
      <c r="A9" s="69" t="s">
        <v>1140</v>
      </c>
      <c r="B9" s="11" t="s">
        <v>1141</v>
      </c>
    </row>
    <row r="10" spans="1:2" x14ac:dyDescent="0.5">
      <c r="A10" s="70" t="s">
        <v>1142</v>
      </c>
      <c r="B10" s="3" t="s">
        <v>1143</v>
      </c>
    </row>
    <row r="11" spans="1:2" ht="8" customHeight="1" x14ac:dyDescent="0.5">
      <c r="A11" s="2"/>
      <c r="B11" s="2"/>
    </row>
    <row r="12" spans="1:2" ht="28" customHeight="1" x14ac:dyDescent="0.5">
      <c r="A12" s="22" t="s">
        <v>1144</v>
      </c>
      <c r="B12" s="22"/>
    </row>
    <row r="13" spans="1:2" ht="26" x14ac:dyDescent="0.5">
      <c r="A13" s="69" t="s">
        <v>1145</v>
      </c>
      <c r="B13" s="11" t="s">
        <v>1146</v>
      </c>
    </row>
    <row r="14" spans="1:2" ht="39" x14ac:dyDescent="0.5">
      <c r="A14" s="70" t="s">
        <v>1147</v>
      </c>
      <c r="B14" s="3" t="s">
        <v>1148</v>
      </c>
    </row>
    <row r="15" spans="1:2" ht="39" x14ac:dyDescent="0.5">
      <c r="A15" s="69" t="s">
        <v>1149</v>
      </c>
      <c r="B15" s="11" t="s">
        <v>1150</v>
      </c>
    </row>
    <row r="16" spans="1:2" x14ac:dyDescent="0.5">
      <c r="A16" s="70" t="s">
        <v>1151</v>
      </c>
      <c r="B16" s="3" t="s">
        <v>1152</v>
      </c>
    </row>
    <row r="17" spans="1:2" ht="26" x14ac:dyDescent="0.5">
      <c r="A17" s="69" t="s">
        <v>1140</v>
      </c>
      <c r="B17" s="11" t="s">
        <v>1153</v>
      </c>
    </row>
    <row r="18" spans="1:2" ht="8" customHeight="1" x14ac:dyDescent="0.5">
      <c r="A18" s="2"/>
      <c r="B18" s="2"/>
    </row>
    <row r="19" spans="1:2" ht="28" customHeight="1" x14ac:dyDescent="0.5">
      <c r="A19" s="22" t="s">
        <v>1154</v>
      </c>
      <c r="B19" s="22"/>
    </row>
    <row r="20" spans="1:2" ht="39" x14ac:dyDescent="0.5">
      <c r="A20" s="69" t="s">
        <v>1155</v>
      </c>
      <c r="B20" s="11" t="s">
        <v>1156</v>
      </c>
    </row>
    <row r="21" spans="1:2" ht="26" x14ac:dyDescent="0.5">
      <c r="A21" s="70" t="s">
        <v>1157</v>
      </c>
      <c r="B21" s="3" t="s">
        <v>1158</v>
      </c>
    </row>
    <row r="22" spans="1:2" ht="26" x14ac:dyDescent="0.5">
      <c r="A22" s="69" t="s">
        <v>1151</v>
      </c>
      <c r="B22" s="11" t="s">
        <v>1159</v>
      </c>
    </row>
    <row r="23" spans="1:2" ht="26" x14ac:dyDescent="0.5">
      <c r="A23" s="70" t="s">
        <v>1140</v>
      </c>
      <c r="B23" s="3" t="s">
        <v>1160</v>
      </c>
    </row>
    <row r="24" spans="1:2" ht="8" customHeight="1" x14ac:dyDescent="0.5">
      <c r="A24" s="2"/>
      <c r="B24" s="2"/>
    </row>
    <row r="25" spans="1:2" x14ac:dyDescent="0.5">
      <c r="A25" s="22" t="s">
        <v>1161</v>
      </c>
      <c r="B25" s="22"/>
    </row>
    <row r="26" spans="1:2" ht="39" x14ac:dyDescent="0.5">
      <c r="A26" s="69" t="s">
        <v>1162</v>
      </c>
      <c r="B26" s="11" t="s">
        <v>1163</v>
      </c>
    </row>
    <row r="27" spans="1:2" ht="39" x14ac:dyDescent="0.5">
      <c r="A27" s="70" t="s">
        <v>1164</v>
      </c>
      <c r="B27" s="3" t="s">
        <v>1165</v>
      </c>
    </row>
    <row r="28" spans="1:2" ht="26" x14ac:dyDescent="0.5">
      <c r="A28" s="69" t="s">
        <v>1166</v>
      </c>
      <c r="B28" s="11" t="s">
        <v>1167</v>
      </c>
    </row>
    <row r="29" spans="1:2" ht="65" x14ac:dyDescent="0.5">
      <c r="A29" s="70" t="s">
        <v>1168</v>
      </c>
      <c r="B29" s="3" t="s">
        <v>1169</v>
      </c>
    </row>
    <row r="30" spans="1:2" ht="52" x14ac:dyDescent="0.5">
      <c r="A30" s="69" t="s">
        <v>1170</v>
      </c>
      <c r="B30" s="11" t="s">
        <v>1171</v>
      </c>
    </row>
    <row r="31" spans="1:2" ht="52" x14ac:dyDescent="0.5">
      <c r="A31" s="70" t="s">
        <v>1172</v>
      </c>
      <c r="B31" s="3" t="s">
        <v>1173</v>
      </c>
    </row>
    <row r="32" spans="1:2" ht="26" x14ac:dyDescent="0.5">
      <c r="A32" s="69" t="s">
        <v>1174</v>
      </c>
      <c r="B32" s="11" t="s">
        <v>1175</v>
      </c>
    </row>
    <row r="33" spans="1:2" ht="91" x14ac:dyDescent="0.5">
      <c r="A33" s="70" t="s">
        <v>1176</v>
      </c>
      <c r="B33" s="3" t="s">
        <v>1177</v>
      </c>
    </row>
    <row r="34" spans="1:2" ht="8" customHeight="1" x14ac:dyDescent="0.5">
      <c r="A34" s="2"/>
      <c r="B34" s="2"/>
    </row>
    <row r="35" spans="1:2" ht="28" customHeight="1" x14ac:dyDescent="0.5">
      <c r="A35" s="22" t="s">
        <v>1178</v>
      </c>
      <c r="B35" s="22"/>
    </row>
    <row r="36" spans="1:2" ht="117" x14ac:dyDescent="0.5">
      <c r="A36" s="69" t="s">
        <v>1179</v>
      </c>
      <c r="B36" s="11" t="s">
        <v>1180</v>
      </c>
    </row>
    <row r="37" spans="1:2" ht="28" customHeight="1" x14ac:dyDescent="0.5">
      <c r="A37" s="22" t="s">
        <v>1181</v>
      </c>
      <c r="B37" s="22"/>
    </row>
    <row r="38" spans="1:2" ht="39" x14ac:dyDescent="0.5">
      <c r="A38" s="69" t="s">
        <v>1182</v>
      </c>
      <c r="B38" s="11" t="s">
        <v>1183</v>
      </c>
    </row>
    <row r="39" spans="1:2" ht="39" x14ac:dyDescent="0.5">
      <c r="A39" s="70" t="s">
        <v>1184</v>
      </c>
      <c r="B39" s="3" t="s">
        <v>1185</v>
      </c>
    </row>
    <row r="40" spans="1:2" ht="39" x14ac:dyDescent="0.5">
      <c r="A40" s="69" t="s">
        <v>1186</v>
      </c>
      <c r="B40" s="11" t="s">
        <v>1187</v>
      </c>
    </row>
    <row r="41" spans="1:2" ht="39" x14ac:dyDescent="0.5">
      <c r="A41" s="70" t="s">
        <v>1188</v>
      </c>
      <c r="B41" s="3" t="s">
        <v>1189</v>
      </c>
    </row>
  </sheetData>
  <mergeCells count="8">
    <mergeCell ref="A35:B35"/>
    <mergeCell ref="A37:B37"/>
    <mergeCell ref="A1:B1"/>
    <mergeCell ref="A2:B2"/>
    <mergeCell ref="A4:B4"/>
    <mergeCell ref="A12:B12"/>
    <mergeCell ref="A19:B19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4"/>
  <sheetViews>
    <sheetView showGridLines="0" zoomScaleNormal="100" workbookViewId="0">
      <pane ySplit="4" topLeftCell="A5" activePane="bottomLeft" state="frozen"/>
      <selection pane="bottomLeft" sqref="A1:K1"/>
    </sheetView>
  </sheetViews>
  <sheetFormatPr defaultColWidth="8.703125" defaultRowHeight="14.35" x14ac:dyDescent="0.5"/>
  <cols>
    <col min="1" max="1" width="38.8203125" customWidth="1"/>
    <col min="2" max="2" width="42.3515625" customWidth="1"/>
    <col min="3" max="3" width="56.46875" customWidth="1"/>
    <col min="4" max="4" width="208.234375" customWidth="1"/>
    <col min="5" max="5" width="24.703125" customWidth="1"/>
  </cols>
  <sheetData>
    <row r="1" spans="1:5" ht="36" customHeight="1" x14ac:dyDescent="0.5">
      <c r="A1" s="68" t="s">
        <v>1190</v>
      </c>
      <c r="B1" s="68"/>
      <c r="C1" s="68"/>
      <c r="D1" s="68"/>
      <c r="E1" s="68"/>
    </row>
    <row r="2" spans="1:5" x14ac:dyDescent="0.5">
      <c r="A2" s="21" t="s">
        <v>1191</v>
      </c>
      <c r="B2" s="21"/>
      <c r="C2" s="21"/>
      <c r="D2" s="21"/>
      <c r="E2" s="21"/>
    </row>
    <row r="3" spans="1:5" ht="8" customHeight="1" x14ac:dyDescent="0.5">
      <c r="A3" s="2"/>
      <c r="B3" s="2"/>
      <c r="C3" s="2"/>
      <c r="D3" s="2"/>
      <c r="E3" s="2"/>
    </row>
    <row r="4" spans="1:5" x14ac:dyDescent="0.5">
      <c r="A4" s="5" t="s">
        <v>1192</v>
      </c>
      <c r="B4" s="5" t="s">
        <v>1193</v>
      </c>
      <c r="C4" s="5" t="s">
        <v>1194</v>
      </c>
      <c r="D4" s="5" t="s">
        <v>1195</v>
      </c>
      <c r="E4" s="5" t="s">
        <v>1196</v>
      </c>
    </row>
    <row r="5" spans="1:5" ht="26" x14ac:dyDescent="0.5">
      <c r="A5" s="11" t="s">
        <v>1197</v>
      </c>
      <c r="B5" s="11" t="s">
        <v>1198</v>
      </c>
      <c r="C5" s="11" t="s">
        <v>1199</v>
      </c>
      <c r="D5" s="18" t="s">
        <v>1200</v>
      </c>
      <c r="E5" s="11" t="s">
        <v>3</v>
      </c>
    </row>
    <row r="6" spans="1:5" x14ac:dyDescent="0.5">
      <c r="A6" s="3" t="s">
        <v>1201</v>
      </c>
      <c r="B6" s="3" t="s">
        <v>1198</v>
      </c>
      <c r="C6" s="3" t="s">
        <v>1202</v>
      </c>
      <c r="D6" s="4" t="s">
        <v>1203</v>
      </c>
      <c r="E6" s="3" t="s">
        <v>3</v>
      </c>
    </row>
    <row r="7" spans="1:5" ht="26" x14ac:dyDescent="0.5">
      <c r="A7" s="11" t="s">
        <v>1204</v>
      </c>
      <c r="B7" s="11" t="s">
        <v>1205</v>
      </c>
      <c r="C7" s="11" t="s">
        <v>1206</v>
      </c>
      <c r="D7" s="18" t="s">
        <v>1207</v>
      </c>
      <c r="E7" s="11" t="s">
        <v>3</v>
      </c>
    </row>
    <row r="8" spans="1:5" ht="26" x14ac:dyDescent="0.5">
      <c r="A8" s="3" t="s">
        <v>1208</v>
      </c>
      <c r="B8" s="3" t="s">
        <v>1198</v>
      </c>
      <c r="C8" s="3" t="s">
        <v>1209</v>
      </c>
      <c r="D8" s="4" t="s">
        <v>1210</v>
      </c>
      <c r="E8" s="3" t="s">
        <v>3</v>
      </c>
    </row>
    <row r="9" spans="1:5" ht="26" x14ac:dyDescent="0.5">
      <c r="A9" s="11" t="s">
        <v>1211</v>
      </c>
      <c r="B9" s="11" t="s">
        <v>1205</v>
      </c>
      <c r="C9" s="11" t="s">
        <v>1212</v>
      </c>
      <c r="D9" s="18" t="s">
        <v>1213</v>
      </c>
      <c r="E9" s="11" t="s">
        <v>3</v>
      </c>
    </row>
    <row r="10" spans="1:5" x14ac:dyDescent="0.5">
      <c r="A10" s="3" t="s">
        <v>1214</v>
      </c>
      <c r="B10" s="3" t="s">
        <v>1198</v>
      </c>
      <c r="C10" s="3" t="s">
        <v>1215</v>
      </c>
      <c r="D10" s="4" t="s">
        <v>1216</v>
      </c>
      <c r="E10" s="3" t="s">
        <v>3</v>
      </c>
    </row>
    <row r="11" spans="1:5" ht="26" x14ac:dyDescent="0.5">
      <c r="A11" s="11" t="s">
        <v>1217</v>
      </c>
      <c r="B11" s="11" t="s">
        <v>1205</v>
      </c>
      <c r="C11" s="11" t="s">
        <v>1218</v>
      </c>
      <c r="D11" s="18" t="s">
        <v>1219</v>
      </c>
      <c r="E11" s="11" t="s">
        <v>3</v>
      </c>
    </row>
    <row r="12" spans="1:5" ht="26" x14ac:dyDescent="0.5">
      <c r="A12" s="3" t="s">
        <v>1220</v>
      </c>
      <c r="B12" s="3" t="s">
        <v>1198</v>
      </c>
      <c r="C12" s="3" t="s">
        <v>1221</v>
      </c>
      <c r="D12" s="4" t="s">
        <v>1222</v>
      </c>
      <c r="E12" s="3" t="s">
        <v>3</v>
      </c>
    </row>
    <row r="13" spans="1:5" x14ac:dyDescent="0.5">
      <c r="A13" s="11" t="s">
        <v>1223</v>
      </c>
      <c r="B13" s="11" t="s">
        <v>1224</v>
      </c>
      <c r="C13" s="11" t="s">
        <v>1225</v>
      </c>
      <c r="D13" s="18" t="s">
        <v>1226</v>
      </c>
      <c r="E13" s="11" t="s">
        <v>3</v>
      </c>
    </row>
    <row r="14" spans="1:5" ht="26" x14ac:dyDescent="0.5">
      <c r="A14" s="3" t="s">
        <v>1227</v>
      </c>
      <c r="B14" s="3" t="s">
        <v>1224</v>
      </c>
      <c r="C14" s="3" t="s">
        <v>1228</v>
      </c>
      <c r="D14" s="4" t="s">
        <v>1229</v>
      </c>
      <c r="E14" s="3" t="s">
        <v>3</v>
      </c>
    </row>
    <row r="15" spans="1:5" x14ac:dyDescent="0.5">
      <c r="A15" s="11" t="s">
        <v>1230</v>
      </c>
      <c r="B15" s="11" t="s">
        <v>1224</v>
      </c>
      <c r="C15" s="11" t="s">
        <v>1231</v>
      </c>
      <c r="D15" s="18" t="s">
        <v>1232</v>
      </c>
      <c r="E15" s="11" t="s">
        <v>3</v>
      </c>
    </row>
    <row r="16" spans="1:5" ht="26" x14ac:dyDescent="0.5">
      <c r="A16" s="3" t="s">
        <v>1233</v>
      </c>
      <c r="B16" s="3" t="s">
        <v>1198</v>
      </c>
      <c r="C16" s="3" t="s">
        <v>1234</v>
      </c>
      <c r="D16" s="4" t="s">
        <v>1235</v>
      </c>
      <c r="E16" s="3" t="s">
        <v>3</v>
      </c>
    </row>
    <row r="17" spans="1:5" ht="26" x14ac:dyDescent="0.5">
      <c r="A17" s="11" t="s">
        <v>1236</v>
      </c>
      <c r="B17" s="11" t="s">
        <v>1224</v>
      </c>
      <c r="C17" s="11" t="s">
        <v>1237</v>
      </c>
      <c r="D17" s="18" t="s">
        <v>1238</v>
      </c>
      <c r="E17" s="11" t="s">
        <v>3</v>
      </c>
    </row>
    <row r="18" spans="1:5" ht="26" x14ac:dyDescent="0.5">
      <c r="A18" s="3" t="s">
        <v>1239</v>
      </c>
      <c r="B18" s="3" t="s">
        <v>1224</v>
      </c>
      <c r="C18" s="3" t="s">
        <v>1240</v>
      </c>
      <c r="D18" s="4" t="s">
        <v>1241</v>
      </c>
      <c r="E18" s="3" t="s">
        <v>3</v>
      </c>
    </row>
    <row r="19" spans="1:5" x14ac:dyDescent="0.5">
      <c r="A19" s="11" t="s">
        <v>1242</v>
      </c>
      <c r="B19" s="11" t="s">
        <v>1224</v>
      </c>
      <c r="C19" s="11" t="s">
        <v>1243</v>
      </c>
      <c r="D19" s="18" t="s">
        <v>1244</v>
      </c>
      <c r="E19" s="11" t="s">
        <v>3</v>
      </c>
    </row>
    <row r="20" spans="1:5" x14ac:dyDescent="0.5">
      <c r="A20" s="3" t="s">
        <v>1245</v>
      </c>
      <c r="B20" s="3" t="s">
        <v>1246</v>
      </c>
      <c r="C20" s="3" t="s">
        <v>1247</v>
      </c>
      <c r="D20" s="4" t="s">
        <v>1248</v>
      </c>
      <c r="E20" s="3" t="s">
        <v>3</v>
      </c>
    </row>
    <row r="21" spans="1:5" x14ac:dyDescent="0.5">
      <c r="A21" s="11" t="s">
        <v>1249</v>
      </c>
      <c r="B21" s="11" t="s">
        <v>1198</v>
      </c>
      <c r="C21" s="11" t="s">
        <v>1250</v>
      </c>
      <c r="D21" s="18" t="s">
        <v>1251</v>
      </c>
      <c r="E21" s="11" t="s">
        <v>3</v>
      </c>
    </row>
    <row r="22" spans="1:5" x14ac:dyDescent="0.5">
      <c r="A22" s="3" t="s">
        <v>1252</v>
      </c>
      <c r="B22" s="3" t="s">
        <v>1198</v>
      </c>
      <c r="C22" s="3" t="s">
        <v>1253</v>
      </c>
      <c r="D22" s="4" t="s">
        <v>1254</v>
      </c>
      <c r="E22" s="3" t="s">
        <v>3</v>
      </c>
    </row>
    <row r="23" spans="1:5" x14ac:dyDescent="0.5">
      <c r="A23" s="11" t="s">
        <v>1255</v>
      </c>
      <c r="B23" s="11" t="s">
        <v>1198</v>
      </c>
      <c r="C23" s="11" t="s">
        <v>1256</v>
      </c>
      <c r="D23" s="18" t="s">
        <v>1257</v>
      </c>
      <c r="E23" s="11" t="s">
        <v>3</v>
      </c>
    </row>
    <row r="24" spans="1:5" x14ac:dyDescent="0.5">
      <c r="A24" s="3" t="s">
        <v>1258</v>
      </c>
      <c r="B24" s="3" t="s">
        <v>1198</v>
      </c>
      <c r="C24" s="3" t="s">
        <v>1259</v>
      </c>
      <c r="D24" s="4" t="s">
        <v>1260</v>
      </c>
      <c r="E24" s="3" t="s">
        <v>3</v>
      </c>
    </row>
    <row r="25" spans="1:5" x14ac:dyDescent="0.5">
      <c r="A25" s="11" t="s">
        <v>1261</v>
      </c>
      <c r="B25" s="11" t="s">
        <v>1262</v>
      </c>
      <c r="C25" s="11" t="s">
        <v>1263</v>
      </c>
      <c r="D25" s="18" t="s">
        <v>1264</v>
      </c>
      <c r="E25" s="11" t="s">
        <v>3</v>
      </c>
    </row>
    <row r="26" spans="1:5" ht="26" x14ac:dyDescent="0.5">
      <c r="A26" s="3" t="s">
        <v>1265</v>
      </c>
      <c r="B26" s="3" t="s">
        <v>1266</v>
      </c>
      <c r="C26" s="3" t="s">
        <v>1267</v>
      </c>
      <c r="D26" s="4" t="s">
        <v>1268</v>
      </c>
      <c r="E26" s="3" t="s">
        <v>3</v>
      </c>
    </row>
    <row r="27" spans="1:5" ht="26" x14ac:dyDescent="0.5">
      <c r="A27" s="11" t="s">
        <v>1269</v>
      </c>
      <c r="B27" s="11" t="s">
        <v>1270</v>
      </c>
      <c r="C27" s="11" t="s">
        <v>1271</v>
      </c>
      <c r="D27" s="18" t="s">
        <v>1272</v>
      </c>
      <c r="E27" s="11" t="s">
        <v>3</v>
      </c>
    </row>
    <row r="28" spans="1:5" x14ac:dyDescent="0.5">
      <c r="A28" s="3" t="s">
        <v>1273</v>
      </c>
      <c r="B28" s="3" t="s">
        <v>1266</v>
      </c>
      <c r="C28" s="3" t="s">
        <v>1274</v>
      </c>
      <c r="D28" s="4" t="s">
        <v>1275</v>
      </c>
      <c r="E28" s="3" t="s">
        <v>3</v>
      </c>
    </row>
    <row r="29" spans="1:5" x14ac:dyDescent="0.5">
      <c r="A29" s="11" t="s">
        <v>1276</v>
      </c>
      <c r="B29" s="11" t="s">
        <v>1277</v>
      </c>
      <c r="C29" s="11" t="s">
        <v>1278</v>
      </c>
      <c r="D29" s="18" t="s">
        <v>1279</v>
      </c>
      <c r="E29" s="11" t="s">
        <v>3</v>
      </c>
    </row>
    <row r="30" spans="1:5" ht="26" x14ac:dyDescent="0.5">
      <c r="A30" s="3" t="s">
        <v>1280</v>
      </c>
      <c r="B30" s="3" t="s">
        <v>1281</v>
      </c>
      <c r="C30" s="3" t="s">
        <v>1282</v>
      </c>
      <c r="D30" s="4" t="s">
        <v>1283</v>
      </c>
      <c r="E30" s="3" t="s">
        <v>3</v>
      </c>
    </row>
    <row r="31" spans="1:5" x14ac:dyDescent="0.5">
      <c r="A31" s="11" t="s">
        <v>1284</v>
      </c>
      <c r="B31" s="11" t="s">
        <v>1281</v>
      </c>
      <c r="C31" s="11" t="s">
        <v>1285</v>
      </c>
      <c r="D31" s="18" t="s">
        <v>1286</v>
      </c>
      <c r="E31" s="11" t="s">
        <v>3</v>
      </c>
    </row>
    <row r="32" spans="1:5" ht="26" x14ac:dyDescent="0.5">
      <c r="A32" s="3" t="s">
        <v>1287</v>
      </c>
      <c r="B32" s="3" t="s">
        <v>1288</v>
      </c>
      <c r="C32" s="3" t="s">
        <v>1289</v>
      </c>
      <c r="D32" s="4" t="s">
        <v>1290</v>
      </c>
      <c r="E32" s="3" t="s">
        <v>3</v>
      </c>
    </row>
    <row r="33" spans="1:5" ht="26" x14ac:dyDescent="0.5">
      <c r="A33" s="11" t="s">
        <v>1291</v>
      </c>
      <c r="B33" s="11" t="s">
        <v>1288</v>
      </c>
      <c r="C33" s="11" t="s">
        <v>1292</v>
      </c>
      <c r="D33" s="18" t="s">
        <v>1293</v>
      </c>
      <c r="E33" s="11" t="s">
        <v>3</v>
      </c>
    </row>
    <row r="34" spans="1:5" ht="26" x14ac:dyDescent="0.5">
      <c r="A34" s="3" t="s">
        <v>1294</v>
      </c>
      <c r="B34" s="3" t="s">
        <v>1295</v>
      </c>
      <c r="C34" s="3" t="s">
        <v>1296</v>
      </c>
      <c r="D34" s="4" t="s">
        <v>1297</v>
      </c>
      <c r="E34" s="3" t="s">
        <v>3</v>
      </c>
    </row>
    <row r="35" spans="1:5" ht="26" x14ac:dyDescent="0.5">
      <c r="A35" s="11" t="s">
        <v>1298</v>
      </c>
      <c r="B35" s="11" t="s">
        <v>1288</v>
      </c>
      <c r="C35" s="11" t="s">
        <v>1299</v>
      </c>
      <c r="D35" s="18" t="s">
        <v>1300</v>
      </c>
      <c r="E35" s="11" t="s">
        <v>3</v>
      </c>
    </row>
    <row r="36" spans="1:5" ht="26" x14ac:dyDescent="0.5">
      <c r="A36" s="3" t="s">
        <v>1301</v>
      </c>
      <c r="B36" s="3" t="s">
        <v>1288</v>
      </c>
      <c r="C36" s="3" t="s">
        <v>1302</v>
      </c>
      <c r="D36" s="4" t="s">
        <v>1303</v>
      </c>
      <c r="E36" s="3" t="s">
        <v>3</v>
      </c>
    </row>
    <row r="37" spans="1:5" ht="26" x14ac:dyDescent="0.5">
      <c r="A37" s="11" t="s">
        <v>1304</v>
      </c>
      <c r="B37" s="11" t="s">
        <v>1305</v>
      </c>
      <c r="C37" s="11" t="s">
        <v>1306</v>
      </c>
      <c r="D37" s="18" t="s">
        <v>1307</v>
      </c>
      <c r="E37" s="11" t="s">
        <v>3</v>
      </c>
    </row>
    <row r="38" spans="1:5" x14ac:dyDescent="0.5">
      <c r="A38" s="3" t="s">
        <v>1308</v>
      </c>
      <c r="B38" s="3" t="s">
        <v>1305</v>
      </c>
      <c r="C38" s="3" t="s">
        <v>1309</v>
      </c>
      <c r="D38" s="4" t="s">
        <v>1310</v>
      </c>
      <c r="E38" s="3" t="s">
        <v>3</v>
      </c>
    </row>
    <row r="39" spans="1:5" ht="26" x14ac:dyDescent="0.5">
      <c r="A39" s="11" t="s">
        <v>1311</v>
      </c>
      <c r="B39" s="11" t="s">
        <v>1305</v>
      </c>
      <c r="C39" s="11" t="s">
        <v>1312</v>
      </c>
      <c r="D39" s="18" t="s">
        <v>1313</v>
      </c>
      <c r="E39" s="11" t="s">
        <v>3</v>
      </c>
    </row>
    <row r="40" spans="1:5" x14ac:dyDescent="0.5">
      <c r="A40" s="3" t="s">
        <v>1314</v>
      </c>
      <c r="B40" s="3" t="s">
        <v>1305</v>
      </c>
      <c r="C40" s="3" t="s">
        <v>1315</v>
      </c>
      <c r="D40" s="4" t="s">
        <v>1316</v>
      </c>
      <c r="E40" s="3" t="s">
        <v>3</v>
      </c>
    </row>
    <row r="41" spans="1:5" ht="26" x14ac:dyDescent="0.5">
      <c r="A41" s="11" t="s">
        <v>1317</v>
      </c>
      <c r="B41" s="11" t="s">
        <v>1318</v>
      </c>
      <c r="C41" s="11" t="s">
        <v>1319</v>
      </c>
      <c r="D41" s="18" t="s">
        <v>1320</v>
      </c>
      <c r="E41" s="11" t="s">
        <v>3</v>
      </c>
    </row>
    <row r="42" spans="1:5" ht="26" x14ac:dyDescent="0.5">
      <c r="A42" s="3" t="s">
        <v>1321</v>
      </c>
      <c r="B42" s="3" t="s">
        <v>1318</v>
      </c>
      <c r="C42" s="3" t="s">
        <v>1322</v>
      </c>
      <c r="D42" s="4" t="s">
        <v>1323</v>
      </c>
      <c r="E42" s="3" t="s">
        <v>3</v>
      </c>
    </row>
    <row r="43" spans="1:5" x14ac:dyDescent="0.5">
      <c r="A43" s="11" t="s">
        <v>1324</v>
      </c>
      <c r="B43" s="11" t="s">
        <v>1318</v>
      </c>
      <c r="C43" s="11" t="s">
        <v>1325</v>
      </c>
      <c r="D43" s="18" t="s">
        <v>1326</v>
      </c>
      <c r="E43" s="11" t="s">
        <v>3</v>
      </c>
    </row>
    <row r="44" spans="1:5" ht="26" x14ac:dyDescent="0.5">
      <c r="A44" s="3" t="s">
        <v>1327</v>
      </c>
      <c r="B44" s="3" t="s">
        <v>1328</v>
      </c>
      <c r="C44" s="3" t="s">
        <v>1329</v>
      </c>
      <c r="D44" s="4" t="s">
        <v>1330</v>
      </c>
      <c r="E44" s="3" t="s">
        <v>3</v>
      </c>
    </row>
    <row r="45" spans="1:5" ht="26" x14ac:dyDescent="0.5">
      <c r="A45" s="11" t="s">
        <v>1331</v>
      </c>
      <c r="B45" s="11" t="s">
        <v>1332</v>
      </c>
      <c r="C45" s="11" t="s">
        <v>1333</v>
      </c>
      <c r="D45" s="18" t="s">
        <v>1334</v>
      </c>
      <c r="E45" s="11" t="s">
        <v>3</v>
      </c>
    </row>
    <row r="46" spans="1:5" ht="26" x14ac:dyDescent="0.5">
      <c r="A46" s="3" t="s">
        <v>1335</v>
      </c>
      <c r="B46" s="3" t="s">
        <v>1332</v>
      </c>
      <c r="C46" s="3" t="s">
        <v>1336</v>
      </c>
      <c r="D46" s="4" t="s">
        <v>1337</v>
      </c>
      <c r="E46" s="3" t="s">
        <v>3</v>
      </c>
    </row>
    <row r="47" spans="1:5" x14ac:dyDescent="0.5">
      <c r="A47" s="11" t="s">
        <v>1338</v>
      </c>
      <c r="B47" s="11" t="s">
        <v>1305</v>
      </c>
      <c r="C47" s="11" t="s">
        <v>1339</v>
      </c>
      <c r="D47" s="18" t="s">
        <v>1340</v>
      </c>
      <c r="E47" s="11" t="s">
        <v>3</v>
      </c>
    </row>
    <row r="48" spans="1:5" ht="26" x14ac:dyDescent="0.5">
      <c r="A48" s="3" t="s">
        <v>1341</v>
      </c>
      <c r="B48" s="3" t="s">
        <v>1262</v>
      </c>
      <c r="C48" s="3" t="s">
        <v>1342</v>
      </c>
      <c r="D48" s="4" t="s">
        <v>1343</v>
      </c>
      <c r="E48" s="3" t="s">
        <v>3</v>
      </c>
    </row>
    <row r="49" spans="1:5" ht="26" x14ac:dyDescent="0.5">
      <c r="A49" s="11" t="s">
        <v>1344</v>
      </c>
      <c r="B49" s="11" t="s">
        <v>1345</v>
      </c>
      <c r="C49" s="11" t="s">
        <v>1346</v>
      </c>
      <c r="D49" s="18" t="s">
        <v>1347</v>
      </c>
      <c r="E49" s="11" t="s">
        <v>3</v>
      </c>
    </row>
    <row r="50" spans="1:5" ht="26" x14ac:dyDescent="0.5">
      <c r="A50" s="3" t="s">
        <v>1348</v>
      </c>
      <c r="B50" s="3" t="s">
        <v>1295</v>
      </c>
      <c r="C50" s="3" t="s">
        <v>1349</v>
      </c>
      <c r="D50" s="4" t="s">
        <v>1350</v>
      </c>
      <c r="E50" s="3" t="s">
        <v>3</v>
      </c>
    </row>
    <row r="51" spans="1:5" ht="26" x14ac:dyDescent="0.5">
      <c r="A51" s="11" t="s">
        <v>1351</v>
      </c>
      <c r="B51" s="11" t="s">
        <v>1352</v>
      </c>
      <c r="C51" s="11" t="s">
        <v>1353</v>
      </c>
      <c r="D51" s="18" t="s">
        <v>1354</v>
      </c>
      <c r="E51" s="11" t="s">
        <v>3</v>
      </c>
    </row>
    <row r="52" spans="1:5" ht="26" x14ac:dyDescent="0.5">
      <c r="A52" s="3" t="s">
        <v>1355</v>
      </c>
      <c r="B52" s="3" t="s">
        <v>1356</v>
      </c>
      <c r="C52" s="3" t="s">
        <v>1357</v>
      </c>
      <c r="D52" s="4" t="s">
        <v>1358</v>
      </c>
      <c r="E52" s="3" t="s">
        <v>3</v>
      </c>
    </row>
    <row r="53" spans="1:5" ht="26" x14ac:dyDescent="0.5">
      <c r="A53" s="11" t="s">
        <v>1359</v>
      </c>
      <c r="B53" s="11" t="s">
        <v>1360</v>
      </c>
      <c r="C53" s="11" t="s">
        <v>1361</v>
      </c>
      <c r="D53" s="18" t="s">
        <v>1362</v>
      </c>
      <c r="E53" s="11" t="s">
        <v>3</v>
      </c>
    </row>
    <row r="54" spans="1:5" ht="26" x14ac:dyDescent="0.5">
      <c r="A54" s="3" t="s">
        <v>1363</v>
      </c>
      <c r="B54" s="3" t="s">
        <v>1318</v>
      </c>
      <c r="C54" s="3" t="s">
        <v>1364</v>
      </c>
      <c r="D54" s="4" t="s">
        <v>1365</v>
      </c>
      <c r="E54" s="3" t="s">
        <v>3</v>
      </c>
    </row>
    <row r="55" spans="1:5" ht="26" x14ac:dyDescent="0.5">
      <c r="A55" s="11" t="s">
        <v>1366</v>
      </c>
      <c r="B55" s="11" t="s">
        <v>1318</v>
      </c>
      <c r="C55" s="11" t="s">
        <v>1367</v>
      </c>
      <c r="D55" s="18" t="s">
        <v>1368</v>
      </c>
      <c r="E55" s="11" t="s">
        <v>3</v>
      </c>
    </row>
    <row r="56" spans="1:5" x14ac:dyDescent="0.5">
      <c r="A56" s="3" t="s">
        <v>1369</v>
      </c>
      <c r="B56" s="3" t="s">
        <v>1246</v>
      </c>
      <c r="C56" s="3" t="s">
        <v>1370</v>
      </c>
      <c r="D56" s="4" t="s">
        <v>1371</v>
      </c>
      <c r="E56" s="3" t="s">
        <v>3</v>
      </c>
    </row>
    <row r="57" spans="1:5" x14ac:dyDescent="0.5">
      <c r="A57" s="11" t="s">
        <v>1372</v>
      </c>
      <c r="B57" s="11" t="s">
        <v>1262</v>
      </c>
      <c r="C57" s="11" t="s">
        <v>1373</v>
      </c>
      <c r="D57" s="18" t="s">
        <v>1374</v>
      </c>
      <c r="E57" s="11" t="s">
        <v>3</v>
      </c>
    </row>
    <row r="58" spans="1:5" x14ac:dyDescent="0.5">
      <c r="A58" s="3" t="s">
        <v>1375</v>
      </c>
      <c r="B58" s="3" t="s">
        <v>1376</v>
      </c>
      <c r="C58" s="3" t="s">
        <v>1377</v>
      </c>
      <c r="D58" s="4" t="s">
        <v>1378</v>
      </c>
      <c r="E58" s="3" t="s">
        <v>3</v>
      </c>
    </row>
    <row r="59" spans="1:5" ht="26" x14ac:dyDescent="0.5">
      <c r="A59" s="11" t="s">
        <v>1379</v>
      </c>
      <c r="B59" s="11" t="s">
        <v>1380</v>
      </c>
      <c r="C59" s="11" t="s">
        <v>1381</v>
      </c>
      <c r="D59" s="18" t="s">
        <v>1382</v>
      </c>
      <c r="E59" s="11" t="s">
        <v>3</v>
      </c>
    </row>
    <row r="60" spans="1:5" ht="26" x14ac:dyDescent="0.5">
      <c r="A60" s="3" t="s">
        <v>1383</v>
      </c>
      <c r="B60" s="3" t="s">
        <v>1246</v>
      </c>
      <c r="C60" s="3" t="s">
        <v>1384</v>
      </c>
      <c r="D60" s="4" t="s">
        <v>1385</v>
      </c>
      <c r="E60" s="3" t="s">
        <v>3</v>
      </c>
    </row>
    <row r="61" spans="1:5" ht="8" customHeight="1" x14ac:dyDescent="0.5">
      <c r="A61" s="2"/>
      <c r="B61" s="2"/>
      <c r="C61" s="2"/>
      <c r="D61" s="2"/>
      <c r="E61" s="2"/>
    </row>
    <row r="62" spans="1:5" ht="8" customHeight="1" x14ac:dyDescent="0.5">
      <c r="A62" s="2"/>
      <c r="B62" s="2"/>
      <c r="C62" s="2"/>
      <c r="D62" s="2"/>
      <c r="E62" s="2"/>
    </row>
    <row r="63" spans="1:5" ht="28" customHeight="1" x14ac:dyDescent="0.5">
      <c r="A63" s="71" t="s">
        <v>1386</v>
      </c>
      <c r="B63" s="71"/>
      <c r="C63" s="71"/>
      <c r="D63" s="71"/>
      <c r="E63" s="71"/>
    </row>
    <row r="64" spans="1:5" ht="52" x14ac:dyDescent="0.5">
      <c r="A64" s="69" t="s">
        <v>1387</v>
      </c>
      <c r="B64" s="11"/>
      <c r="C64" s="11" t="s">
        <v>1388</v>
      </c>
      <c r="D64" s="11"/>
      <c r="E64" s="11"/>
    </row>
    <row r="65" spans="1:5" ht="65" x14ac:dyDescent="0.5">
      <c r="A65" s="70" t="s">
        <v>1389</v>
      </c>
      <c r="B65" s="3"/>
      <c r="C65" s="3" t="s">
        <v>1390</v>
      </c>
      <c r="D65" s="3"/>
      <c r="E65" s="3"/>
    </row>
    <row r="66" spans="1:5" ht="91" x14ac:dyDescent="0.5">
      <c r="A66" s="69" t="s">
        <v>1391</v>
      </c>
      <c r="B66" s="11"/>
      <c r="C66" s="11" t="s">
        <v>1392</v>
      </c>
      <c r="D66" s="11"/>
      <c r="E66" s="11"/>
    </row>
    <row r="67" spans="1:5" ht="52" x14ac:dyDescent="0.5">
      <c r="A67" s="70" t="s">
        <v>1393</v>
      </c>
      <c r="B67" s="3"/>
      <c r="C67" s="3" t="s">
        <v>1394</v>
      </c>
      <c r="D67" s="3"/>
      <c r="E67" s="3"/>
    </row>
    <row r="68" spans="1:5" ht="8" customHeight="1" x14ac:dyDescent="0.5">
      <c r="A68" s="2"/>
      <c r="B68" s="2"/>
      <c r="C68" s="2"/>
      <c r="D68" s="2"/>
      <c r="E68" s="2"/>
    </row>
    <row r="69" spans="1:5" x14ac:dyDescent="0.5">
      <c r="A69" s="71" t="s">
        <v>1395</v>
      </c>
      <c r="B69" s="71"/>
      <c r="C69" s="71"/>
      <c r="D69" s="71"/>
      <c r="E69" s="71"/>
    </row>
    <row r="70" spans="1:5" ht="78" x14ac:dyDescent="0.5">
      <c r="A70" s="69" t="s">
        <v>1396</v>
      </c>
      <c r="B70" s="11"/>
      <c r="C70" s="11" t="s">
        <v>1397</v>
      </c>
      <c r="D70" s="11"/>
      <c r="E70" s="11"/>
    </row>
    <row r="71" spans="1:5" ht="65" x14ac:dyDescent="0.5">
      <c r="A71" s="70" t="s">
        <v>1398</v>
      </c>
      <c r="B71" s="3"/>
      <c r="C71" s="3" t="s">
        <v>1399</v>
      </c>
      <c r="D71" s="3"/>
      <c r="E71" s="3"/>
    </row>
    <row r="72" spans="1:5" ht="26" x14ac:dyDescent="0.5">
      <c r="A72" s="69" t="s">
        <v>1400</v>
      </c>
      <c r="B72" s="11"/>
      <c r="C72" s="11" t="s">
        <v>1401</v>
      </c>
      <c r="D72" s="11"/>
      <c r="E72" s="11"/>
    </row>
    <row r="73" spans="1:5" ht="39" x14ac:dyDescent="0.5">
      <c r="A73" s="70" t="s">
        <v>1402</v>
      </c>
      <c r="B73" s="3"/>
      <c r="C73" s="3" t="s">
        <v>1403</v>
      </c>
      <c r="D73" s="3"/>
      <c r="E73" s="3"/>
    </row>
    <row r="74" spans="1:5" ht="65" x14ac:dyDescent="0.5">
      <c r="A74" s="69" t="s">
        <v>1404</v>
      </c>
      <c r="B74" s="11"/>
      <c r="C74" s="11" t="s">
        <v>1405</v>
      </c>
      <c r="D74" s="11"/>
      <c r="E74" s="11"/>
    </row>
  </sheetData>
  <mergeCells count="4">
    <mergeCell ref="A1:E1"/>
    <mergeCell ref="A2:E2"/>
    <mergeCell ref="A63:E63"/>
    <mergeCell ref="A69:E69"/>
  </mergeCells>
  <hyperlinks>
    <hyperlink ref="D5" r:id="rId1" xr:uid="{00000000-0004-0000-0500-000000000000}"/>
    <hyperlink ref="D6" r:id="rId2" xr:uid="{00000000-0004-0000-0500-000001000000}"/>
    <hyperlink ref="D7" r:id="rId3" xr:uid="{00000000-0004-0000-0500-000002000000}"/>
    <hyperlink ref="D8" r:id="rId4" xr:uid="{00000000-0004-0000-0500-000003000000}"/>
    <hyperlink ref="D9" r:id="rId5" xr:uid="{00000000-0004-0000-0500-000004000000}"/>
    <hyperlink ref="D10" r:id="rId6" xr:uid="{00000000-0004-0000-0500-000005000000}"/>
    <hyperlink ref="D11" r:id="rId7" xr:uid="{00000000-0004-0000-0500-000006000000}"/>
    <hyperlink ref="D12" r:id="rId8" xr:uid="{00000000-0004-0000-0500-000007000000}"/>
    <hyperlink ref="D13" r:id="rId9" xr:uid="{00000000-0004-0000-0500-000008000000}"/>
    <hyperlink ref="D14" r:id="rId10" xr:uid="{00000000-0004-0000-0500-000009000000}"/>
    <hyperlink ref="D15" r:id="rId11" xr:uid="{00000000-0004-0000-0500-00000A000000}"/>
    <hyperlink ref="D16" r:id="rId12" xr:uid="{00000000-0004-0000-0500-00000B000000}"/>
    <hyperlink ref="D17" r:id="rId13" xr:uid="{00000000-0004-0000-0500-00000C000000}"/>
    <hyperlink ref="D18" r:id="rId14" xr:uid="{00000000-0004-0000-0500-00000D000000}"/>
    <hyperlink ref="D19" r:id="rId15" xr:uid="{00000000-0004-0000-0500-00000E000000}"/>
    <hyperlink ref="D20" r:id="rId16" xr:uid="{00000000-0004-0000-0500-00000F000000}"/>
    <hyperlink ref="D21" r:id="rId17" xr:uid="{00000000-0004-0000-0500-000010000000}"/>
    <hyperlink ref="D22" r:id="rId18" xr:uid="{00000000-0004-0000-0500-000011000000}"/>
    <hyperlink ref="D23" r:id="rId19" xr:uid="{00000000-0004-0000-0500-000012000000}"/>
    <hyperlink ref="D24" r:id="rId20" xr:uid="{00000000-0004-0000-0500-000013000000}"/>
    <hyperlink ref="D25" r:id="rId21" xr:uid="{00000000-0004-0000-0500-000014000000}"/>
    <hyperlink ref="D26" r:id="rId22" xr:uid="{00000000-0004-0000-0500-000015000000}"/>
    <hyperlink ref="D27" r:id="rId23" xr:uid="{00000000-0004-0000-0500-000016000000}"/>
    <hyperlink ref="D28" r:id="rId24" xr:uid="{00000000-0004-0000-0500-000017000000}"/>
    <hyperlink ref="D29" r:id="rId25" xr:uid="{00000000-0004-0000-0500-000018000000}"/>
    <hyperlink ref="D30" r:id="rId26" xr:uid="{00000000-0004-0000-0500-000019000000}"/>
    <hyperlink ref="D31" r:id="rId27" xr:uid="{00000000-0004-0000-0500-00001A000000}"/>
    <hyperlink ref="D32" r:id="rId28" xr:uid="{00000000-0004-0000-0500-00001B000000}"/>
    <hyperlink ref="D33" r:id="rId29" xr:uid="{00000000-0004-0000-0500-00001C000000}"/>
    <hyperlink ref="D34" r:id="rId30" xr:uid="{00000000-0004-0000-0500-00001D000000}"/>
    <hyperlink ref="D35" r:id="rId31" xr:uid="{00000000-0004-0000-0500-00001E000000}"/>
    <hyperlink ref="D36" r:id="rId32" xr:uid="{00000000-0004-0000-0500-00001F000000}"/>
    <hyperlink ref="D37" r:id="rId33" xr:uid="{00000000-0004-0000-0500-000020000000}"/>
    <hyperlink ref="D38" r:id="rId34" xr:uid="{00000000-0004-0000-0500-000021000000}"/>
    <hyperlink ref="D39" r:id="rId35" xr:uid="{00000000-0004-0000-0500-000022000000}"/>
    <hyperlink ref="D40" r:id="rId36" xr:uid="{00000000-0004-0000-0500-000023000000}"/>
    <hyperlink ref="D41" r:id="rId37" xr:uid="{00000000-0004-0000-0500-000024000000}"/>
    <hyperlink ref="D42" r:id="rId38" xr:uid="{00000000-0004-0000-0500-000025000000}"/>
    <hyperlink ref="D43" r:id="rId39" xr:uid="{00000000-0004-0000-0500-000026000000}"/>
    <hyperlink ref="D44" r:id="rId40" xr:uid="{00000000-0004-0000-0500-000027000000}"/>
    <hyperlink ref="D45" r:id="rId41" xr:uid="{00000000-0004-0000-0500-000028000000}"/>
    <hyperlink ref="D46" r:id="rId42" xr:uid="{00000000-0004-0000-0500-000029000000}"/>
    <hyperlink ref="D47" r:id="rId43" xr:uid="{00000000-0004-0000-0500-00002A000000}"/>
    <hyperlink ref="D48" r:id="rId44" xr:uid="{00000000-0004-0000-0500-00002B000000}"/>
    <hyperlink ref="D49" r:id="rId45" xr:uid="{00000000-0004-0000-0500-00002C000000}"/>
    <hyperlink ref="D50" r:id="rId46" xr:uid="{00000000-0004-0000-0500-00002D000000}"/>
    <hyperlink ref="D51" r:id="rId47" xr:uid="{00000000-0004-0000-0500-00002E000000}"/>
    <hyperlink ref="D52" r:id="rId48" xr:uid="{00000000-0004-0000-0500-00002F000000}"/>
    <hyperlink ref="D53" r:id="rId49" xr:uid="{00000000-0004-0000-0500-000030000000}"/>
    <hyperlink ref="D54" r:id="rId50" xr:uid="{00000000-0004-0000-0500-000031000000}"/>
    <hyperlink ref="D55" r:id="rId51" xr:uid="{00000000-0004-0000-0500-000032000000}"/>
    <hyperlink ref="D56" r:id="rId52" xr:uid="{00000000-0004-0000-0500-000033000000}"/>
    <hyperlink ref="D57" r:id="rId53" xr:uid="{00000000-0004-0000-0500-000034000000}"/>
    <hyperlink ref="D58" r:id="rId54" xr:uid="{00000000-0004-0000-0500-000035000000}"/>
    <hyperlink ref="D59" r:id="rId55" xr:uid="{00000000-0004-0000-0500-000036000000}"/>
    <hyperlink ref="D60" r:id="rId56" xr:uid="{00000000-0004-0000-0500-000037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68"/>
  <sheetViews>
    <sheetView showGridLines="0" topLeftCell="A6" zoomScaleNormal="100" workbookViewId="0">
      <pane ySplit="3" topLeftCell="A9" activePane="bottomLeft" state="frozen"/>
      <selection activeCell="A6" sqref="A6"/>
      <selection pane="bottomLeft" sqref="A1:K1"/>
    </sheetView>
  </sheetViews>
  <sheetFormatPr defaultColWidth="8.703125" defaultRowHeight="14.35" x14ac:dyDescent="0.5"/>
  <cols>
    <col min="1" max="1" width="42.3515625" customWidth="1"/>
    <col min="2" max="2" width="35.29296875" customWidth="1"/>
    <col min="3" max="3" width="56.46875" customWidth="1"/>
    <col min="4" max="5" width="19.41015625" customWidth="1"/>
    <col min="6" max="8" width="35.29296875" customWidth="1"/>
    <col min="9" max="9" width="56.46875" customWidth="1"/>
  </cols>
  <sheetData>
    <row r="1" spans="1:9" ht="36" customHeight="1" x14ac:dyDescent="0.5">
      <c r="A1" s="74" t="s">
        <v>1406</v>
      </c>
      <c r="B1" s="75"/>
      <c r="C1" s="75"/>
      <c r="D1" s="75"/>
      <c r="E1" s="75"/>
      <c r="F1" s="75"/>
      <c r="G1" s="76"/>
      <c r="H1" s="76"/>
      <c r="I1" s="76"/>
    </row>
    <row r="2" spans="1:9" ht="8" customHeight="1" x14ac:dyDescent="0.5">
      <c r="A2" s="76"/>
      <c r="B2" s="76"/>
      <c r="C2" s="76"/>
      <c r="D2" s="76"/>
      <c r="E2" s="76"/>
      <c r="F2" s="76"/>
      <c r="G2" s="76"/>
      <c r="H2" s="76"/>
      <c r="I2" s="76"/>
    </row>
    <row r="3" spans="1:9" x14ac:dyDescent="0.5">
      <c r="A3" s="77" t="s">
        <v>1060</v>
      </c>
      <c r="B3" s="77" t="s">
        <v>1407</v>
      </c>
      <c r="C3" s="77" t="s">
        <v>1408</v>
      </c>
      <c r="D3" s="77" t="s">
        <v>1409</v>
      </c>
      <c r="E3" s="77" t="s">
        <v>1410</v>
      </c>
      <c r="F3" s="77" t="s">
        <v>1411</v>
      </c>
      <c r="G3" s="76"/>
      <c r="H3" s="76"/>
      <c r="I3" s="76"/>
    </row>
    <row r="4" spans="1:9" ht="156" x14ac:dyDescent="0.5">
      <c r="A4" s="19" t="s">
        <v>1412</v>
      </c>
      <c r="B4" s="72">
        <v>1850</v>
      </c>
      <c r="C4" s="72">
        <v>2050</v>
      </c>
      <c r="D4" s="72">
        <v>188600</v>
      </c>
      <c r="E4" s="19" t="s">
        <v>1413</v>
      </c>
      <c r="F4" s="19" t="s">
        <v>1414</v>
      </c>
      <c r="G4" s="76"/>
      <c r="H4" s="76"/>
      <c r="I4" s="76"/>
    </row>
    <row r="5" spans="1:9" ht="52" x14ac:dyDescent="0.5">
      <c r="A5" s="1" t="s">
        <v>1415</v>
      </c>
      <c r="B5" s="73">
        <v>580</v>
      </c>
      <c r="C5" s="73">
        <v>620</v>
      </c>
      <c r="D5" s="73">
        <v>57040</v>
      </c>
      <c r="E5" s="1" t="s">
        <v>1416</v>
      </c>
      <c r="F5" s="1" t="s">
        <v>1417</v>
      </c>
      <c r="G5" s="76"/>
      <c r="H5" s="76"/>
      <c r="I5" s="76"/>
    </row>
    <row r="6" spans="1:9" ht="65" x14ac:dyDescent="0.5">
      <c r="A6" s="19" t="s">
        <v>1418</v>
      </c>
      <c r="B6" s="72">
        <v>480</v>
      </c>
      <c r="C6" s="72">
        <v>620</v>
      </c>
      <c r="D6" s="72">
        <v>57040</v>
      </c>
      <c r="E6" s="19" t="s">
        <v>1419</v>
      </c>
      <c r="F6" s="19" t="s">
        <v>1420</v>
      </c>
      <c r="G6" s="76"/>
      <c r="H6" s="76"/>
      <c r="I6" s="76"/>
    </row>
    <row r="7" spans="1:9" ht="78" x14ac:dyDescent="0.5">
      <c r="A7" s="1" t="s">
        <v>1421</v>
      </c>
      <c r="B7" s="73">
        <v>420</v>
      </c>
      <c r="C7" s="73">
        <v>350</v>
      </c>
      <c r="D7" s="73">
        <v>32200</v>
      </c>
      <c r="E7" s="1" t="s">
        <v>1422</v>
      </c>
      <c r="F7" s="1" t="s">
        <v>1423</v>
      </c>
      <c r="G7" s="76"/>
      <c r="H7" s="76"/>
      <c r="I7" s="76"/>
    </row>
    <row r="8" spans="1:9" ht="65" x14ac:dyDescent="0.5">
      <c r="A8" s="19" t="s">
        <v>1424</v>
      </c>
      <c r="B8" s="72">
        <v>480</v>
      </c>
      <c r="C8" s="72">
        <v>380</v>
      </c>
      <c r="D8" s="72">
        <v>34960</v>
      </c>
      <c r="E8" s="19" t="s">
        <v>1425</v>
      </c>
      <c r="F8" s="19" t="s">
        <v>1426</v>
      </c>
      <c r="G8" s="76"/>
      <c r="H8" s="76"/>
      <c r="I8" s="76"/>
    </row>
    <row r="9" spans="1:9" ht="156" x14ac:dyDescent="0.5">
      <c r="A9" s="1" t="s">
        <v>1427</v>
      </c>
      <c r="B9" s="73">
        <v>3800</v>
      </c>
      <c r="C9" s="73">
        <v>4500</v>
      </c>
      <c r="D9" s="73">
        <v>414000</v>
      </c>
      <c r="E9" s="1" t="s">
        <v>1428</v>
      </c>
      <c r="F9" s="1" t="s">
        <v>1429</v>
      </c>
      <c r="G9" s="76"/>
      <c r="H9" s="76"/>
      <c r="I9" s="76"/>
    </row>
    <row r="10" spans="1:9" ht="8" customHeight="1" x14ac:dyDescent="0.5">
      <c r="A10" s="76"/>
      <c r="B10" s="76"/>
      <c r="C10" s="76"/>
      <c r="D10" s="76"/>
      <c r="E10" s="76"/>
      <c r="F10" s="76"/>
      <c r="G10" s="76"/>
      <c r="H10" s="76"/>
      <c r="I10" s="76"/>
    </row>
    <row r="11" spans="1:9" ht="8" customHeight="1" x14ac:dyDescent="0.5">
      <c r="A11" s="76"/>
      <c r="B11" s="76"/>
      <c r="C11" s="76"/>
      <c r="D11" s="76"/>
      <c r="E11" s="76"/>
      <c r="F11" s="76"/>
      <c r="G11" s="76"/>
      <c r="H11" s="76"/>
      <c r="I11" s="76"/>
    </row>
    <row r="12" spans="1:9" ht="28" customHeight="1" x14ac:dyDescent="0.5">
      <c r="A12" s="22" t="s">
        <v>1430</v>
      </c>
      <c r="B12" s="22"/>
      <c r="C12" s="22"/>
      <c r="D12" s="22"/>
      <c r="E12" s="22"/>
      <c r="F12" s="22"/>
      <c r="G12" s="22"/>
      <c r="H12" s="22"/>
      <c r="I12" s="22"/>
    </row>
    <row r="13" spans="1:9" ht="8" customHeight="1" x14ac:dyDescent="0.5">
      <c r="A13" s="76"/>
      <c r="B13" s="76"/>
      <c r="C13" s="76"/>
      <c r="D13" s="76"/>
      <c r="E13" s="76"/>
      <c r="F13" s="76"/>
      <c r="G13" s="76"/>
      <c r="H13" s="76"/>
      <c r="I13" s="76"/>
    </row>
    <row r="14" spans="1:9" x14ac:dyDescent="0.5">
      <c r="A14" s="77" t="s">
        <v>1431</v>
      </c>
      <c r="B14" s="77" t="s">
        <v>1432</v>
      </c>
      <c r="C14" s="77" t="s">
        <v>1433</v>
      </c>
      <c r="D14" s="77" t="s">
        <v>1434</v>
      </c>
      <c r="E14" s="77" t="s">
        <v>1407</v>
      </c>
      <c r="F14" s="77" t="s">
        <v>1435</v>
      </c>
      <c r="G14" s="77" t="s">
        <v>1436</v>
      </c>
      <c r="H14" s="77" t="s">
        <v>1437</v>
      </c>
      <c r="I14" s="77" t="s">
        <v>1438</v>
      </c>
    </row>
    <row r="15" spans="1:9" ht="65" x14ac:dyDescent="0.5">
      <c r="A15" s="19" t="s">
        <v>1439</v>
      </c>
      <c r="B15" s="19" t="s">
        <v>1440</v>
      </c>
      <c r="C15" s="19" t="s">
        <v>1441</v>
      </c>
      <c r="D15" s="19" t="s">
        <v>1442</v>
      </c>
      <c r="E15" s="72">
        <v>460</v>
      </c>
      <c r="F15" s="72">
        <v>43240</v>
      </c>
      <c r="G15" s="19" t="s">
        <v>1443</v>
      </c>
      <c r="H15" s="19" t="s">
        <v>1444</v>
      </c>
      <c r="I15" s="19" t="s">
        <v>1445</v>
      </c>
    </row>
    <row r="16" spans="1:9" ht="39" x14ac:dyDescent="0.5">
      <c r="A16" s="1" t="s">
        <v>1446</v>
      </c>
      <c r="B16" s="1" t="s">
        <v>1447</v>
      </c>
      <c r="C16" s="1" t="s">
        <v>1448</v>
      </c>
      <c r="D16" s="1" t="s">
        <v>1449</v>
      </c>
      <c r="E16" s="73">
        <v>0</v>
      </c>
      <c r="F16" s="73">
        <v>0</v>
      </c>
      <c r="G16" s="1" t="s">
        <v>1450</v>
      </c>
      <c r="H16" s="1" t="s">
        <v>1451</v>
      </c>
      <c r="I16" s="1" t="s">
        <v>1452</v>
      </c>
    </row>
    <row r="17" spans="1:9" ht="39" x14ac:dyDescent="0.5">
      <c r="A17" s="19" t="s">
        <v>1453</v>
      </c>
      <c r="B17" s="19" t="s">
        <v>1454</v>
      </c>
      <c r="C17" s="19" t="s">
        <v>1455</v>
      </c>
      <c r="D17" s="19" t="s">
        <v>1456</v>
      </c>
      <c r="E17" s="72">
        <v>0</v>
      </c>
      <c r="F17" s="72">
        <v>0</v>
      </c>
      <c r="G17" s="19" t="s">
        <v>1457</v>
      </c>
      <c r="H17" s="19" t="s">
        <v>1458</v>
      </c>
      <c r="I17" s="19" t="s">
        <v>1459</v>
      </c>
    </row>
    <row r="18" spans="1:9" ht="65" x14ac:dyDescent="0.5">
      <c r="A18" s="1" t="s">
        <v>1460</v>
      </c>
      <c r="B18" s="1" t="s">
        <v>1461</v>
      </c>
      <c r="C18" s="1" t="s">
        <v>1462</v>
      </c>
      <c r="D18" s="1" t="s">
        <v>1463</v>
      </c>
      <c r="E18" s="73">
        <v>0</v>
      </c>
      <c r="F18" s="73">
        <v>0</v>
      </c>
      <c r="G18" s="1" t="s">
        <v>1464</v>
      </c>
      <c r="H18" s="1" t="s">
        <v>1465</v>
      </c>
      <c r="I18" s="1" t="s">
        <v>1466</v>
      </c>
    </row>
    <row r="19" spans="1:9" ht="39" x14ac:dyDescent="0.5">
      <c r="A19" s="19" t="s">
        <v>1467</v>
      </c>
      <c r="B19" s="19" t="s">
        <v>1468</v>
      </c>
      <c r="C19" s="19" t="s">
        <v>1469</v>
      </c>
      <c r="D19" s="19" t="s">
        <v>1470</v>
      </c>
      <c r="E19" s="72">
        <v>295</v>
      </c>
      <c r="F19" s="72">
        <v>23000</v>
      </c>
      <c r="G19" s="19" t="s">
        <v>1471</v>
      </c>
      <c r="H19" s="19" t="s">
        <v>1472</v>
      </c>
      <c r="I19" s="19" t="s">
        <v>1473</v>
      </c>
    </row>
    <row r="20" spans="1:9" ht="65" x14ac:dyDescent="0.5">
      <c r="A20" s="1" t="s">
        <v>1474</v>
      </c>
      <c r="B20" s="1" t="s">
        <v>1475</v>
      </c>
      <c r="C20" s="1" t="s">
        <v>1476</v>
      </c>
      <c r="D20" s="1" t="s">
        <v>1477</v>
      </c>
      <c r="E20" s="73">
        <v>399</v>
      </c>
      <c r="F20" s="73">
        <v>41400</v>
      </c>
      <c r="G20" s="1" t="s">
        <v>1478</v>
      </c>
      <c r="H20" s="1" t="s">
        <v>1479</v>
      </c>
      <c r="I20" s="1" t="s">
        <v>1480</v>
      </c>
    </row>
    <row r="21" spans="1:9" ht="78" x14ac:dyDescent="0.5">
      <c r="A21" s="19" t="s">
        <v>1481</v>
      </c>
      <c r="B21" s="19" t="s">
        <v>1482</v>
      </c>
      <c r="C21" s="19" t="s">
        <v>1483</v>
      </c>
      <c r="D21" s="19" t="s">
        <v>1484</v>
      </c>
      <c r="E21" s="72">
        <v>230</v>
      </c>
      <c r="F21" s="72">
        <v>20240</v>
      </c>
      <c r="G21" s="19" t="s">
        <v>1485</v>
      </c>
      <c r="H21" s="19" t="s">
        <v>1486</v>
      </c>
      <c r="I21" s="19" t="s">
        <v>1487</v>
      </c>
    </row>
    <row r="22" spans="1:9" ht="91" x14ac:dyDescent="0.5">
      <c r="A22" s="1" t="s">
        <v>1488</v>
      </c>
      <c r="B22" s="1" t="s">
        <v>1489</v>
      </c>
      <c r="C22" s="1" t="s">
        <v>1490</v>
      </c>
      <c r="D22" s="1" t="s">
        <v>1491</v>
      </c>
      <c r="E22" s="73">
        <v>450</v>
      </c>
      <c r="F22" s="73">
        <v>55200</v>
      </c>
      <c r="G22" s="1" t="s">
        <v>1492</v>
      </c>
      <c r="H22" s="1" t="s">
        <v>1493</v>
      </c>
      <c r="I22" s="1" t="s">
        <v>1494</v>
      </c>
    </row>
    <row r="23" spans="1:9" ht="52" x14ac:dyDescent="0.5">
      <c r="A23" s="19" t="s">
        <v>1495</v>
      </c>
      <c r="B23" s="19" t="s">
        <v>1496</v>
      </c>
      <c r="C23" s="19" t="s">
        <v>1497</v>
      </c>
      <c r="D23" s="19" t="s">
        <v>1498</v>
      </c>
      <c r="E23" s="72">
        <v>0</v>
      </c>
      <c r="F23" s="72">
        <v>0</v>
      </c>
      <c r="G23" s="19" t="s">
        <v>1499</v>
      </c>
      <c r="H23" s="19" t="s">
        <v>1500</v>
      </c>
      <c r="I23" s="19" t="s">
        <v>1501</v>
      </c>
    </row>
    <row r="24" spans="1:9" ht="39" x14ac:dyDescent="0.5">
      <c r="A24" s="1" t="s">
        <v>1502</v>
      </c>
      <c r="B24" s="1" t="s">
        <v>1503</v>
      </c>
      <c r="C24" s="1" t="s">
        <v>1504</v>
      </c>
      <c r="D24" s="1" t="s">
        <v>1505</v>
      </c>
      <c r="E24" s="73">
        <v>9</v>
      </c>
      <c r="F24" s="73">
        <v>750</v>
      </c>
      <c r="G24" s="1" t="s">
        <v>1506</v>
      </c>
      <c r="H24" s="1" t="s">
        <v>102</v>
      </c>
      <c r="I24" s="1" t="s">
        <v>1507</v>
      </c>
    </row>
    <row r="25" spans="1:9" ht="39" x14ac:dyDescent="0.5">
      <c r="A25" s="19" t="s">
        <v>1508</v>
      </c>
      <c r="B25" s="19" t="s">
        <v>1509</v>
      </c>
      <c r="C25" s="19" t="s">
        <v>1510</v>
      </c>
      <c r="D25" s="19" t="s">
        <v>1511</v>
      </c>
      <c r="E25" s="72">
        <v>30</v>
      </c>
      <c r="F25" s="72">
        <v>2200</v>
      </c>
      <c r="G25" s="19" t="s">
        <v>1512</v>
      </c>
      <c r="H25" s="19" t="s">
        <v>102</v>
      </c>
      <c r="I25" s="19" t="s">
        <v>1513</v>
      </c>
    </row>
    <row r="26" spans="1:9" ht="26" x14ac:dyDescent="0.5">
      <c r="A26" s="1" t="s">
        <v>1514</v>
      </c>
      <c r="B26" s="1" t="s">
        <v>1515</v>
      </c>
      <c r="C26" s="1" t="s">
        <v>1516</v>
      </c>
      <c r="D26" s="1" t="s">
        <v>1517</v>
      </c>
      <c r="E26" s="73">
        <v>35</v>
      </c>
      <c r="F26" s="73">
        <v>2400</v>
      </c>
      <c r="G26" s="1" t="s">
        <v>1518</v>
      </c>
      <c r="H26" s="1" t="s">
        <v>88</v>
      </c>
      <c r="I26" s="1" t="s">
        <v>1519</v>
      </c>
    </row>
    <row r="27" spans="1:9" ht="26" x14ac:dyDescent="0.5">
      <c r="A27" s="19" t="s">
        <v>1520</v>
      </c>
      <c r="B27" s="19" t="s">
        <v>1521</v>
      </c>
      <c r="C27" s="19" t="s">
        <v>1522</v>
      </c>
      <c r="D27" s="19" t="s">
        <v>1523</v>
      </c>
      <c r="E27" s="72">
        <v>35</v>
      </c>
      <c r="F27" s="72">
        <v>2600</v>
      </c>
      <c r="G27" s="19" t="s">
        <v>1524</v>
      </c>
      <c r="H27" s="19" t="s">
        <v>88</v>
      </c>
      <c r="I27" s="19" t="s">
        <v>1519</v>
      </c>
    </row>
    <row r="28" spans="1:9" ht="26" x14ac:dyDescent="0.5">
      <c r="A28" s="1" t="s">
        <v>1525</v>
      </c>
      <c r="B28" s="1" t="s">
        <v>1526</v>
      </c>
      <c r="C28" s="1" t="s">
        <v>1527</v>
      </c>
      <c r="D28" s="1" t="s">
        <v>1528</v>
      </c>
      <c r="E28" s="73">
        <v>8</v>
      </c>
      <c r="F28" s="73">
        <v>600</v>
      </c>
      <c r="G28" s="1" t="s">
        <v>1529</v>
      </c>
      <c r="H28" s="1" t="s">
        <v>102</v>
      </c>
      <c r="I28" s="1" t="s">
        <v>1530</v>
      </c>
    </row>
    <row r="29" spans="1:9" ht="26" x14ac:dyDescent="0.5">
      <c r="A29" s="19" t="s">
        <v>1531</v>
      </c>
      <c r="B29" s="19" t="s">
        <v>1532</v>
      </c>
      <c r="C29" s="19" t="s">
        <v>1533</v>
      </c>
      <c r="D29" s="19" t="s">
        <v>1534</v>
      </c>
      <c r="E29" s="72">
        <v>4</v>
      </c>
      <c r="F29" s="72">
        <v>350</v>
      </c>
      <c r="G29" s="19" t="s">
        <v>1535</v>
      </c>
      <c r="H29" s="19" t="s">
        <v>102</v>
      </c>
      <c r="I29" s="19" t="s">
        <v>1536</v>
      </c>
    </row>
    <row r="30" spans="1:9" ht="26" x14ac:dyDescent="0.5">
      <c r="A30" s="1" t="s">
        <v>1537</v>
      </c>
      <c r="B30" s="1" t="s">
        <v>1538</v>
      </c>
      <c r="C30" s="1" t="s">
        <v>1539</v>
      </c>
      <c r="D30" s="1" t="s">
        <v>1540</v>
      </c>
      <c r="E30" s="73">
        <v>12</v>
      </c>
      <c r="F30" s="73">
        <v>950</v>
      </c>
      <c r="G30" s="1" t="s">
        <v>1541</v>
      </c>
      <c r="H30" s="1" t="s">
        <v>102</v>
      </c>
      <c r="I30" s="1" t="s">
        <v>1542</v>
      </c>
    </row>
    <row r="31" spans="1:9" ht="26" x14ac:dyDescent="0.5">
      <c r="A31" s="19" t="s">
        <v>1543</v>
      </c>
      <c r="B31" s="19" t="s">
        <v>1544</v>
      </c>
      <c r="C31" s="19" t="s">
        <v>1545</v>
      </c>
      <c r="D31" s="19" t="s">
        <v>1546</v>
      </c>
      <c r="E31" s="72">
        <v>0</v>
      </c>
      <c r="F31" s="72">
        <v>0</v>
      </c>
      <c r="G31" s="19" t="s">
        <v>1547</v>
      </c>
      <c r="H31" s="19" t="s">
        <v>102</v>
      </c>
      <c r="I31" s="19" t="s">
        <v>1536</v>
      </c>
    </row>
    <row r="32" spans="1:9" x14ac:dyDescent="0.5">
      <c r="A32" s="1" t="s">
        <v>1548</v>
      </c>
      <c r="B32" s="1" t="s">
        <v>1549</v>
      </c>
      <c r="C32" s="1" t="s">
        <v>1550</v>
      </c>
      <c r="D32" s="1" t="s">
        <v>1540</v>
      </c>
      <c r="E32" s="73">
        <v>9</v>
      </c>
      <c r="F32" s="73">
        <v>800</v>
      </c>
      <c r="G32" s="1" t="s">
        <v>1551</v>
      </c>
      <c r="H32" s="1" t="s">
        <v>102</v>
      </c>
      <c r="I32" s="1" t="s">
        <v>1536</v>
      </c>
    </row>
    <row r="33" spans="1:9" ht="39" x14ac:dyDescent="0.5">
      <c r="A33" s="19" t="s">
        <v>1552</v>
      </c>
      <c r="B33" s="19" t="s">
        <v>1553</v>
      </c>
      <c r="C33" s="19" t="s">
        <v>1554</v>
      </c>
      <c r="D33" s="19" t="s">
        <v>1555</v>
      </c>
      <c r="E33" s="72">
        <v>45</v>
      </c>
      <c r="F33" s="72">
        <v>3700</v>
      </c>
      <c r="G33" s="19" t="s">
        <v>1556</v>
      </c>
      <c r="H33" s="19" t="s">
        <v>102</v>
      </c>
      <c r="I33" s="19" t="s">
        <v>1557</v>
      </c>
    </row>
    <row r="34" spans="1:9" ht="78" x14ac:dyDescent="0.5">
      <c r="A34" s="1" t="s">
        <v>1558</v>
      </c>
      <c r="B34" s="1" t="s">
        <v>1559</v>
      </c>
      <c r="C34" s="1" t="s">
        <v>1560</v>
      </c>
      <c r="D34" s="1" t="s">
        <v>1561</v>
      </c>
      <c r="E34" s="73">
        <v>75</v>
      </c>
      <c r="F34" s="73">
        <v>7400</v>
      </c>
      <c r="G34" s="1" t="s">
        <v>1562</v>
      </c>
      <c r="H34" s="1" t="s">
        <v>102</v>
      </c>
      <c r="I34" s="1" t="s">
        <v>1563</v>
      </c>
    </row>
    <row r="35" spans="1:9" ht="26" x14ac:dyDescent="0.5">
      <c r="A35" s="19" t="s">
        <v>1564</v>
      </c>
      <c r="B35" s="19" t="s">
        <v>1565</v>
      </c>
      <c r="C35" s="19" t="s">
        <v>1504</v>
      </c>
      <c r="D35" s="19" t="s">
        <v>1540</v>
      </c>
      <c r="E35" s="72">
        <v>18</v>
      </c>
      <c r="F35" s="72">
        <v>1500</v>
      </c>
      <c r="G35" s="19" t="s">
        <v>1566</v>
      </c>
      <c r="H35" s="19" t="s">
        <v>102</v>
      </c>
      <c r="I35" s="19" t="s">
        <v>1567</v>
      </c>
    </row>
    <row r="36" spans="1:9" ht="39" x14ac:dyDescent="0.5">
      <c r="A36" s="1" t="s">
        <v>1568</v>
      </c>
      <c r="B36" s="1" t="s">
        <v>1569</v>
      </c>
      <c r="C36" s="1" t="s">
        <v>1570</v>
      </c>
      <c r="D36" s="1" t="s">
        <v>1571</v>
      </c>
      <c r="E36" s="73">
        <v>130</v>
      </c>
      <c r="F36" s="73">
        <v>18400</v>
      </c>
      <c r="G36" s="1" t="s">
        <v>1572</v>
      </c>
      <c r="H36" s="1" t="s">
        <v>1573</v>
      </c>
      <c r="I36" s="1" t="s">
        <v>1574</v>
      </c>
    </row>
    <row r="37" spans="1:9" ht="26" x14ac:dyDescent="0.5">
      <c r="A37" s="19" t="s">
        <v>1575</v>
      </c>
      <c r="B37" s="19" t="s">
        <v>1576</v>
      </c>
      <c r="C37" s="19" t="s">
        <v>1504</v>
      </c>
      <c r="D37" s="19" t="s">
        <v>1540</v>
      </c>
      <c r="E37" s="72">
        <v>22</v>
      </c>
      <c r="F37" s="72">
        <v>1900</v>
      </c>
      <c r="G37" s="19" t="s">
        <v>1577</v>
      </c>
      <c r="H37" s="19" t="s">
        <v>102</v>
      </c>
      <c r="I37" s="19" t="s">
        <v>1578</v>
      </c>
    </row>
    <row r="38" spans="1:9" ht="26" x14ac:dyDescent="0.5">
      <c r="A38" s="1" t="s">
        <v>1579</v>
      </c>
      <c r="B38" s="1" t="s">
        <v>1580</v>
      </c>
      <c r="C38" s="1" t="s">
        <v>1581</v>
      </c>
      <c r="D38" s="1" t="s">
        <v>1582</v>
      </c>
      <c r="E38" s="73">
        <v>35</v>
      </c>
      <c r="F38" s="73">
        <v>3200</v>
      </c>
      <c r="G38" s="1" t="s">
        <v>1583</v>
      </c>
      <c r="H38" s="1" t="s">
        <v>88</v>
      </c>
      <c r="I38" s="1" t="s">
        <v>1574</v>
      </c>
    </row>
    <row r="39" spans="1:9" ht="52" x14ac:dyDescent="0.5">
      <c r="A39" s="19" t="s">
        <v>1584</v>
      </c>
      <c r="B39" s="19" t="s">
        <v>1585</v>
      </c>
      <c r="C39" s="19" t="s">
        <v>1586</v>
      </c>
      <c r="D39" s="19" t="s">
        <v>1587</v>
      </c>
      <c r="E39" s="72">
        <v>50</v>
      </c>
      <c r="F39" s="72">
        <v>4500</v>
      </c>
      <c r="G39" s="19" t="s">
        <v>1588</v>
      </c>
      <c r="H39" s="19" t="s">
        <v>88</v>
      </c>
      <c r="I39" s="19" t="s">
        <v>1589</v>
      </c>
    </row>
    <row r="40" spans="1:9" ht="26" x14ac:dyDescent="0.5">
      <c r="A40" s="1" t="s">
        <v>1590</v>
      </c>
      <c r="B40" s="1" t="s">
        <v>1591</v>
      </c>
      <c r="C40" s="1" t="s">
        <v>1592</v>
      </c>
      <c r="D40" s="1" t="s">
        <v>1540</v>
      </c>
      <c r="E40" s="73">
        <v>11</v>
      </c>
      <c r="F40" s="73">
        <v>850</v>
      </c>
      <c r="G40" s="1" t="s">
        <v>1593</v>
      </c>
      <c r="H40" s="1" t="s">
        <v>102</v>
      </c>
      <c r="I40" s="1" t="s">
        <v>1567</v>
      </c>
    </row>
    <row r="41" spans="1:9" ht="26" x14ac:dyDescent="0.5">
      <c r="A41" s="19" t="s">
        <v>1594</v>
      </c>
      <c r="B41" s="19" t="s">
        <v>1595</v>
      </c>
      <c r="C41" s="19" t="s">
        <v>1596</v>
      </c>
      <c r="D41" s="19" t="s">
        <v>1597</v>
      </c>
      <c r="E41" s="72">
        <v>0</v>
      </c>
      <c r="F41" s="72">
        <v>0</v>
      </c>
      <c r="G41" s="19" t="s">
        <v>1547</v>
      </c>
      <c r="H41" s="19" t="s">
        <v>102</v>
      </c>
      <c r="I41" s="19" t="s">
        <v>1567</v>
      </c>
    </row>
    <row r="42" spans="1:9" ht="26" x14ac:dyDescent="0.5">
      <c r="A42" s="1" t="s">
        <v>1598</v>
      </c>
      <c r="B42" s="1" t="s">
        <v>1599</v>
      </c>
      <c r="C42" s="1" t="s">
        <v>1539</v>
      </c>
      <c r="D42" s="1" t="s">
        <v>1600</v>
      </c>
      <c r="E42" s="73">
        <v>15</v>
      </c>
      <c r="F42" s="73">
        <v>1100</v>
      </c>
      <c r="G42" s="1" t="s">
        <v>1601</v>
      </c>
      <c r="H42" s="1" t="s">
        <v>102</v>
      </c>
      <c r="I42" s="1" t="s">
        <v>1567</v>
      </c>
    </row>
    <row r="43" spans="1:9" x14ac:dyDescent="0.5">
      <c r="A43" s="19" t="s">
        <v>1602</v>
      </c>
      <c r="B43" s="19" t="s">
        <v>1603</v>
      </c>
      <c r="C43" s="19" t="s">
        <v>1604</v>
      </c>
      <c r="D43" s="19" t="s">
        <v>1540</v>
      </c>
      <c r="E43" s="72">
        <v>13</v>
      </c>
      <c r="F43" s="72">
        <v>950</v>
      </c>
      <c r="G43" s="19" t="s">
        <v>1605</v>
      </c>
      <c r="H43" s="19" t="s">
        <v>102</v>
      </c>
      <c r="I43" s="19" t="s">
        <v>1606</v>
      </c>
    </row>
    <row r="44" spans="1:9" x14ac:dyDescent="0.5">
      <c r="A44" s="1" t="s">
        <v>1607</v>
      </c>
      <c r="B44" s="1" t="s">
        <v>1608</v>
      </c>
      <c r="C44" s="1" t="s">
        <v>1539</v>
      </c>
      <c r="D44" s="1" t="s">
        <v>1600</v>
      </c>
      <c r="E44" s="73">
        <v>12</v>
      </c>
      <c r="F44" s="73">
        <v>900</v>
      </c>
      <c r="G44" s="1" t="s">
        <v>1609</v>
      </c>
      <c r="H44" s="1" t="s">
        <v>102</v>
      </c>
      <c r="I44" s="1" t="s">
        <v>1610</v>
      </c>
    </row>
    <row r="45" spans="1:9" ht="26" x14ac:dyDescent="0.5">
      <c r="A45" s="19" t="s">
        <v>1611</v>
      </c>
      <c r="B45" s="19" t="s">
        <v>1612</v>
      </c>
      <c r="C45" s="19" t="s">
        <v>1539</v>
      </c>
      <c r="D45" s="19" t="s">
        <v>1600</v>
      </c>
      <c r="E45" s="72">
        <v>14</v>
      </c>
      <c r="F45" s="72">
        <v>1000</v>
      </c>
      <c r="G45" s="19" t="s">
        <v>1613</v>
      </c>
      <c r="H45" s="19" t="s">
        <v>88</v>
      </c>
      <c r="I45" s="19" t="s">
        <v>1567</v>
      </c>
    </row>
    <row r="46" spans="1:9" ht="39" x14ac:dyDescent="0.5">
      <c r="A46" s="1" t="s">
        <v>1614</v>
      </c>
      <c r="B46" s="1" t="s">
        <v>1615</v>
      </c>
      <c r="C46" s="1" t="s">
        <v>1616</v>
      </c>
      <c r="D46" s="1" t="s">
        <v>1617</v>
      </c>
      <c r="E46" s="73">
        <v>25</v>
      </c>
      <c r="F46" s="73">
        <v>2000</v>
      </c>
      <c r="G46" s="1" t="s">
        <v>1618</v>
      </c>
      <c r="H46" s="1" t="s">
        <v>1619</v>
      </c>
      <c r="I46" s="1" t="s">
        <v>1620</v>
      </c>
    </row>
    <row r="47" spans="1:9" ht="39" x14ac:dyDescent="0.5">
      <c r="A47" s="19" t="s">
        <v>1621</v>
      </c>
      <c r="B47" s="19" t="s">
        <v>1622</v>
      </c>
      <c r="C47" s="19" t="s">
        <v>1539</v>
      </c>
      <c r="D47" s="19" t="s">
        <v>1600</v>
      </c>
      <c r="E47" s="72">
        <v>28</v>
      </c>
      <c r="F47" s="72">
        <v>2100</v>
      </c>
      <c r="G47" s="19" t="s">
        <v>1623</v>
      </c>
      <c r="H47" s="19" t="s">
        <v>102</v>
      </c>
      <c r="I47" s="19" t="s">
        <v>1567</v>
      </c>
    </row>
    <row r="48" spans="1:9" x14ac:dyDescent="0.5">
      <c r="A48" s="1" t="s">
        <v>1624</v>
      </c>
      <c r="B48" s="1" t="s">
        <v>1625</v>
      </c>
      <c r="C48" s="1" t="s">
        <v>1539</v>
      </c>
      <c r="D48" s="1" t="s">
        <v>1600</v>
      </c>
      <c r="E48" s="73">
        <v>7</v>
      </c>
      <c r="F48" s="73">
        <v>550</v>
      </c>
      <c r="G48" s="1" t="s">
        <v>1626</v>
      </c>
      <c r="H48" s="1" t="s">
        <v>102</v>
      </c>
      <c r="I48" s="1" t="s">
        <v>1567</v>
      </c>
    </row>
    <row r="49" spans="1:9" ht="26" x14ac:dyDescent="0.5">
      <c r="A49" s="19" t="s">
        <v>1627</v>
      </c>
      <c r="B49" s="19" t="s">
        <v>1628</v>
      </c>
      <c r="C49" s="19" t="s">
        <v>1539</v>
      </c>
      <c r="D49" s="19" t="s">
        <v>1600</v>
      </c>
      <c r="E49" s="72">
        <v>8</v>
      </c>
      <c r="F49" s="72">
        <v>600</v>
      </c>
      <c r="G49" s="19" t="s">
        <v>1629</v>
      </c>
      <c r="H49" s="19" t="s">
        <v>102</v>
      </c>
      <c r="I49" s="19" t="s">
        <v>1567</v>
      </c>
    </row>
    <row r="50" spans="1:9" x14ac:dyDescent="0.5">
      <c r="A50" s="1" t="s">
        <v>1630</v>
      </c>
      <c r="B50" s="1" t="s">
        <v>1631</v>
      </c>
      <c r="C50" s="1" t="s">
        <v>1539</v>
      </c>
      <c r="D50" s="1" t="s">
        <v>1600</v>
      </c>
      <c r="E50" s="73">
        <v>8</v>
      </c>
      <c r="F50" s="73">
        <v>650</v>
      </c>
      <c r="G50" s="1" t="s">
        <v>1632</v>
      </c>
      <c r="H50" s="1" t="s">
        <v>102</v>
      </c>
      <c r="I50" s="1" t="s">
        <v>1567</v>
      </c>
    </row>
    <row r="51" spans="1:9" ht="26" x14ac:dyDescent="0.5">
      <c r="A51" s="19" t="s">
        <v>1633</v>
      </c>
      <c r="B51" s="19" t="s">
        <v>1634</v>
      </c>
      <c r="C51" s="19" t="s">
        <v>1635</v>
      </c>
      <c r="D51" s="19" t="s">
        <v>1636</v>
      </c>
      <c r="E51" s="72">
        <v>32</v>
      </c>
      <c r="F51" s="72">
        <v>2900</v>
      </c>
      <c r="G51" s="19" t="s">
        <v>1637</v>
      </c>
      <c r="H51" s="19" t="s">
        <v>88</v>
      </c>
      <c r="I51" s="19" t="s">
        <v>1638</v>
      </c>
    </row>
    <row r="52" spans="1:9" x14ac:dyDescent="0.5">
      <c r="A52" s="1" t="s">
        <v>1639</v>
      </c>
      <c r="B52" s="1" t="s">
        <v>1640</v>
      </c>
      <c r="C52" s="1" t="s">
        <v>1641</v>
      </c>
      <c r="D52" s="1" t="s">
        <v>1540</v>
      </c>
      <c r="E52" s="73">
        <v>18</v>
      </c>
      <c r="F52" s="73">
        <v>1500</v>
      </c>
      <c r="G52" s="1" t="s">
        <v>1642</v>
      </c>
      <c r="H52" s="1" t="s">
        <v>102</v>
      </c>
      <c r="I52" s="1" t="s">
        <v>1567</v>
      </c>
    </row>
    <row r="53" spans="1:9" ht="26" x14ac:dyDescent="0.5">
      <c r="A53" s="19" t="s">
        <v>1643</v>
      </c>
      <c r="B53" s="19" t="s">
        <v>1644</v>
      </c>
      <c r="C53" s="19" t="s">
        <v>1539</v>
      </c>
      <c r="D53" s="19" t="s">
        <v>1636</v>
      </c>
      <c r="E53" s="72">
        <v>28</v>
      </c>
      <c r="F53" s="72">
        <v>2500</v>
      </c>
      <c r="G53" s="19" t="s">
        <v>1645</v>
      </c>
      <c r="H53" s="19" t="s">
        <v>1646</v>
      </c>
      <c r="I53" s="19" t="s">
        <v>1567</v>
      </c>
    </row>
    <row r="54" spans="1:9" ht="26" x14ac:dyDescent="0.5">
      <c r="A54" s="1" t="s">
        <v>1647</v>
      </c>
      <c r="B54" s="1" t="s">
        <v>1648</v>
      </c>
      <c r="C54" s="1" t="s">
        <v>1649</v>
      </c>
      <c r="D54" s="1" t="s">
        <v>1600</v>
      </c>
      <c r="E54" s="73">
        <v>17</v>
      </c>
      <c r="F54" s="73">
        <v>1500</v>
      </c>
      <c r="G54" s="1" t="s">
        <v>1650</v>
      </c>
      <c r="H54" s="1" t="s">
        <v>102</v>
      </c>
      <c r="I54" s="1" t="s">
        <v>1651</v>
      </c>
    </row>
    <row r="55" spans="1:9" ht="39" x14ac:dyDescent="0.5">
      <c r="A55" s="19" t="s">
        <v>1652</v>
      </c>
      <c r="B55" s="19" t="s">
        <v>1653</v>
      </c>
      <c r="C55" s="19" t="s">
        <v>1654</v>
      </c>
      <c r="D55" s="19" t="s">
        <v>1655</v>
      </c>
      <c r="E55" s="72">
        <v>90</v>
      </c>
      <c r="F55" s="72">
        <v>9200</v>
      </c>
      <c r="G55" s="19" t="s">
        <v>1656</v>
      </c>
      <c r="H55" s="19" t="s">
        <v>102</v>
      </c>
      <c r="I55" s="19" t="s">
        <v>1657</v>
      </c>
    </row>
    <row r="56" spans="1:9" x14ac:dyDescent="0.5">
      <c r="A56" s="1" t="s">
        <v>1658</v>
      </c>
      <c r="B56" s="1" t="s">
        <v>1659</v>
      </c>
      <c r="C56" s="1" t="s">
        <v>1660</v>
      </c>
      <c r="D56" s="1" t="s">
        <v>1600</v>
      </c>
      <c r="E56" s="73">
        <v>14</v>
      </c>
      <c r="F56" s="73">
        <v>1200</v>
      </c>
      <c r="G56" s="1" t="s">
        <v>1661</v>
      </c>
      <c r="H56" s="1" t="s">
        <v>88</v>
      </c>
      <c r="I56" s="1" t="s">
        <v>1567</v>
      </c>
    </row>
    <row r="57" spans="1:9" ht="26" x14ac:dyDescent="0.5">
      <c r="A57" s="19" t="s">
        <v>1662</v>
      </c>
      <c r="B57" s="19" t="s">
        <v>1663</v>
      </c>
      <c r="C57" s="19" t="s">
        <v>1660</v>
      </c>
      <c r="D57" s="19" t="s">
        <v>1600</v>
      </c>
      <c r="E57" s="72">
        <v>14</v>
      </c>
      <c r="F57" s="72">
        <v>1200</v>
      </c>
      <c r="G57" s="19" t="s">
        <v>1661</v>
      </c>
      <c r="H57" s="19" t="s">
        <v>88</v>
      </c>
      <c r="I57" s="19" t="s">
        <v>1567</v>
      </c>
    </row>
    <row r="58" spans="1:9" ht="26" x14ac:dyDescent="0.5">
      <c r="A58" s="1" t="s">
        <v>1664</v>
      </c>
      <c r="B58" s="1" t="s">
        <v>1665</v>
      </c>
      <c r="C58" s="1" t="s">
        <v>1666</v>
      </c>
      <c r="D58" s="1" t="s">
        <v>1600</v>
      </c>
      <c r="E58" s="73">
        <v>16</v>
      </c>
      <c r="F58" s="73">
        <v>1400</v>
      </c>
      <c r="G58" s="1" t="s">
        <v>1667</v>
      </c>
      <c r="H58" s="1" t="s">
        <v>88</v>
      </c>
      <c r="I58" s="1" t="s">
        <v>1668</v>
      </c>
    </row>
    <row r="59" spans="1:9" ht="26" x14ac:dyDescent="0.5">
      <c r="A59" s="19" t="s">
        <v>1669</v>
      </c>
      <c r="B59" s="19" t="s">
        <v>1670</v>
      </c>
      <c r="C59" s="19" t="s">
        <v>1671</v>
      </c>
      <c r="D59" s="19" t="s">
        <v>1672</v>
      </c>
      <c r="E59" s="72">
        <v>22</v>
      </c>
      <c r="F59" s="72">
        <v>2000</v>
      </c>
      <c r="G59" s="19" t="s">
        <v>1673</v>
      </c>
      <c r="H59" s="19" t="s">
        <v>88</v>
      </c>
      <c r="I59" s="19" t="s">
        <v>1567</v>
      </c>
    </row>
    <row r="60" spans="1:9" ht="26" x14ac:dyDescent="0.5">
      <c r="A60" s="1" t="s">
        <v>1674</v>
      </c>
      <c r="B60" s="1" t="s">
        <v>1675</v>
      </c>
      <c r="C60" s="1" t="s">
        <v>1676</v>
      </c>
      <c r="D60" s="1" t="s">
        <v>1677</v>
      </c>
      <c r="E60" s="73">
        <v>75</v>
      </c>
      <c r="F60" s="73">
        <v>6500</v>
      </c>
      <c r="G60" s="1" t="s">
        <v>1678</v>
      </c>
      <c r="H60" s="1" t="s">
        <v>102</v>
      </c>
      <c r="I60" s="1" t="s">
        <v>1679</v>
      </c>
    </row>
    <row r="61" spans="1:9" ht="26" x14ac:dyDescent="0.5">
      <c r="A61" s="19" t="s">
        <v>1680</v>
      </c>
      <c r="B61" s="19" t="s">
        <v>1681</v>
      </c>
      <c r="C61" s="19" t="s">
        <v>1682</v>
      </c>
      <c r="D61" s="19" t="s">
        <v>1540</v>
      </c>
      <c r="E61" s="72">
        <v>18</v>
      </c>
      <c r="F61" s="72">
        <v>1500</v>
      </c>
      <c r="G61" s="19" t="s">
        <v>1642</v>
      </c>
      <c r="H61" s="19" t="s">
        <v>102</v>
      </c>
      <c r="I61" s="19" t="s">
        <v>1683</v>
      </c>
    </row>
    <row r="62" spans="1:9" x14ac:dyDescent="0.5">
      <c r="A62" s="1" t="s">
        <v>1684</v>
      </c>
      <c r="B62" s="1" t="s">
        <v>1685</v>
      </c>
      <c r="C62" s="1" t="s">
        <v>1539</v>
      </c>
      <c r="D62" s="1" t="s">
        <v>1600</v>
      </c>
      <c r="E62" s="73">
        <v>30</v>
      </c>
      <c r="F62" s="73">
        <v>2700</v>
      </c>
      <c r="G62" s="1" t="s">
        <v>1686</v>
      </c>
      <c r="H62" s="1" t="s">
        <v>102</v>
      </c>
      <c r="I62" s="1" t="s">
        <v>1683</v>
      </c>
    </row>
    <row r="63" spans="1:9" ht="26" x14ac:dyDescent="0.5">
      <c r="A63" s="19" t="s">
        <v>1687</v>
      </c>
      <c r="B63" s="19" t="s">
        <v>1688</v>
      </c>
      <c r="C63" s="19" t="s">
        <v>1689</v>
      </c>
      <c r="D63" s="19" t="s">
        <v>1540</v>
      </c>
      <c r="E63" s="72">
        <v>15</v>
      </c>
      <c r="F63" s="72">
        <v>1300</v>
      </c>
      <c r="G63" s="19" t="s">
        <v>1690</v>
      </c>
      <c r="H63" s="19" t="s">
        <v>102</v>
      </c>
      <c r="I63" s="19" t="s">
        <v>1567</v>
      </c>
    </row>
    <row r="64" spans="1:9" ht="26" x14ac:dyDescent="0.5">
      <c r="A64" s="1" t="s">
        <v>1691</v>
      </c>
      <c r="B64" s="1" t="s">
        <v>1692</v>
      </c>
      <c r="C64" s="1" t="s">
        <v>1693</v>
      </c>
      <c r="D64" s="1" t="s">
        <v>1600</v>
      </c>
      <c r="E64" s="73">
        <v>30</v>
      </c>
      <c r="F64" s="73">
        <v>2600</v>
      </c>
      <c r="G64" s="1" t="s">
        <v>1694</v>
      </c>
      <c r="H64" s="1" t="s">
        <v>102</v>
      </c>
      <c r="I64" s="1" t="s">
        <v>1567</v>
      </c>
    </row>
    <row r="65" spans="1:9" ht="65" x14ac:dyDescent="0.5">
      <c r="A65" s="19" t="s">
        <v>1695</v>
      </c>
      <c r="B65" s="19" t="s">
        <v>1696</v>
      </c>
      <c r="C65" s="19" t="s">
        <v>1697</v>
      </c>
      <c r="D65" s="19" t="s">
        <v>1698</v>
      </c>
      <c r="E65" s="72">
        <v>145</v>
      </c>
      <c r="F65" s="72">
        <v>12500</v>
      </c>
      <c r="G65" s="19" t="s">
        <v>1699</v>
      </c>
      <c r="H65" s="19" t="s">
        <v>88</v>
      </c>
      <c r="I65" s="19" t="s">
        <v>1700</v>
      </c>
    </row>
    <row r="66" spans="1:9" ht="39" x14ac:dyDescent="0.5">
      <c r="A66" s="1" t="s">
        <v>1701</v>
      </c>
      <c r="B66" s="1" t="s">
        <v>1702</v>
      </c>
      <c r="C66" s="1" t="s">
        <v>1703</v>
      </c>
      <c r="D66" s="1" t="s">
        <v>1704</v>
      </c>
      <c r="E66" s="73">
        <v>65</v>
      </c>
      <c r="F66" s="73">
        <v>5500</v>
      </c>
      <c r="G66" s="1" t="s">
        <v>1705</v>
      </c>
      <c r="H66" s="1" t="s">
        <v>102</v>
      </c>
      <c r="I66" s="1" t="s">
        <v>1578</v>
      </c>
    </row>
    <row r="67" spans="1:9" ht="26" x14ac:dyDescent="0.5">
      <c r="A67" s="19" t="s">
        <v>1706</v>
      </c>
      <c r="B67" s="19" t="s">
        <v>1707</v>
      </c>
      <c r="C67" s="19" t="s">
        <v>1708</v>
      </c>
      <c r="D67" s="19" t="s">
        <v>1709</v>
      </c>
      <c r="E67" s="72">
        <v>35</v>
      </c>
      <c r="F67" s="72">
        <v>3000</v>
      </c>
      <c r="G67" s="19" t="s">
        <v>1710</v>
      </c>
      <c r="H67" s="19" t="s">
        <v>1711</v>
      </c>
      <c r="I67" s="19" t="s">
        <v>1712</v>
      </c>
    </row>
    <row r="68" spans="1:9" ht="39" x14ac:dyDescent="0.5">
      <c r="A68" s="1" t="s">
        <v>1713</v>
      </c>
      <c r="B68" s="1" t="s">
        <v>1714</v>
      </c>
      <c r="C68" s="1" t="s">
        <v>1715</v>
      </c>
      <c r="D68" s="1" t="s">
        <v>1716</v>
      </c>
      <c r="E68" s="73">
        <v>195</v>
      </c>
      <c r="F68" s="73">
        <v>17000</v>
      </c>
      <c r="G68" s="1" t="s">
        <v>1717</v>
      </c>
      <c r="H68" s="1" t="s">
        <v>102</v>
      </c>
      <c r="I68" s="1" t="s">
        <v>1718</v>
      </c>
    </row>
  </sheetData>
  <mergeCells count="2">
    <mergeCell ref="A12:I12"/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showGridLines="0" zoomScaleNormal="100" workbookViewId="0">
      <pane ySplit="3" topLeftCell="A4" activePane="bottomLeft" state="frozen"/>
      <selection pane="bottomLeft" sqref="A1:D1"/>
    </sheetView>
  </sheetViews>
  <sheetFormatPr defaultColWidth="8.703125" defaultRowHeight="14.35" x14ac:dyDescent="0.5"/>
  <cols>
    <col min="1" max="1" width="38.8203125" customWidth="1"/>
    <col min="2" max="5" width="56.46875" customWidth="1"/>
  </cols>
  <sheetData>
    <row r="1" spans="1:5" ht="36" customHeight="1" x14ac:dyDescent="0.5">
      <c r="A1" s="74" t="s">
        <v>1719</v>
      </c>
      <c r="B1" s="75"/>
      <c r="C1" s="75"/>
      <c r="D1" s="75"/>
      <c r="E1" s="76"/>
    </row>
    <row r="2" spans="1:5" ht="8" customHeight="1" x14ac:dyDescent="0.5">
      <c r="A2" s="76"/>
      <c r="B2" s="76"/>
      <c r="C2" s="76"/>
      <c r="D2" s="76"/>
      <c r="E2" s="76"/>
    </row>
    <row r="3" spans="1:5" x14ac:dyDescent="0.5">
      <c r="A3" s="77" t="s">
        <v>1720</v>
      </c>
      <c r="B3" s="77" t="s">
        <v>1721</v>
      </c>
      <c r="C3" s="77" t="s">
        <v>1722</v>
      </c>
      <c r="D3" s="77" t="s">
        <v>1519</v>
      </c>
      <c r="E3" s="77" t="s">
        <v>1723</v>
      </c>
    </row>
    <row r="4" spans="1:5" ht="39" x14ac:dyDescent="0.5">
      <c r="A4" s="20" t="s">
        <v>1724</v>
      </c>
      <c r="B4" s="19" t="s">
        <v>1725</v>
      </c>
      <c r="C4" s="19" t="s">
        <v>1726</v>
      </c>
      <c r="D4" s="19" t="s">
        <v>1727</v>
      </c>
      <c r="E4" s="19" t="s">
        <v>1728</v>
      </c>
    </row>
    <row r="5" spans="1:5" ht="39" x14ac:dyDescent="0.5">
      <c r="A5" s="6" t="s">
        <v>1729</v>
      </c>
      <c r="B5" s="1" t="s">
        <v>1730</v>
      </c>
      <c r="C5" s="1" t="s">
        <v>1731</v>
      </c>
      <c r="D5" s="1" t="s">
        <v>1732</v>
      </c>
      <c r="E5" s="1" t="s">
        <v>1733</v>
      </c>
    </row>
    <row r="6" spans="1:5" ht="65" x14ac:dyDescent="0.5">
      <c r="A6" s="20" t="s">
        <v>1734</v>
      </c>
      <c r="B6" s="19" t="s">
        <v>1735</v>
      </c>
      <c r="C6" s="19" t="s">
        <v>1736</v>
      </c>
      <c r="D6" s="19" t="s">
        <v>1737</v>
      </c>
      <c r="E6" s="19" t="s">
        <v>1738</v>
      </c>
    </row>
    <row r="7" spans="1:5" ht="143" x14ac:dyDescent="0.5">
      <c r="A7" s="6" t="s">
        <v>1739</v>
      </c>
      <c r="B7" s="1" t="s">
        <v>1740</v>
      </c>
      <c r="C7" s="1" t="s">
        <v>1741</v>
      </c>
      <c r="D7" s="1" t="s">
        <v>1742</v>
      </c>
      <c r="E7" s="1" t="s">
        <v>1743</v>
      </c>
    </row>
    <row r="8" spans="1:5" ht="156" x14ac:dyDescent="0.5">
      <c r="A8" s="20" t="s">
        <v>1744</v>
      </c>
      <c r="B8" s="19" t="s">
        <v>1745</v>
      </c>
      <c r="C8" s="19" t="s">
        <v>1746</v>
      </c>
      <c r="D8" s="19" t="s">
        <v>1747</v>
      </c>
      <c r="E8" s="19" t="s">
        <v>1748</v>
      </c>
    </row>
    <row r="9" spans="1:5" ht="143" x14ac:dyDescent="0.5">
      <c r="A9" s="6" t="s">
        <v>1749</v>
      </c>
      <c r="B9" s="1" t="s">
        <v>1750</v>
      </c>
      <c r="C9" s="1" t="s">
        <v>1751</v>
      </c>
      <c r="D9" s="1" t="s">
        <v>1752</v>
      </c>
      <c r="E9" s="1" t="s">
        <v>1753</v>
      </c>
    </row>
    <row r="10" spans="1:5" x14ac:dyDescent="0.5">
      <c r="A10" s="20" t="s">
        <v>1754</v>
      </c>
      <c r="B10" s="72">
        <v>19500</v>
      </c>
      <c r="C10" s="72">
        <v>15500</v>
      </c>
      <c r="D10" s="72">
        <v>24500</v>
      </c>
      <c r="E10" s="72">
        <v>28500</v>
      </c>
    </row>
    <row r="11" spans="1:5" x14ac:dyDescent="0.5">
      <c r="A11" s="6" t="s">
        <v>1755</v>
      </c>
      <c r="B11" s="73">
        <v>1794000</v>
      </c>
      <c r="C11" s="73">
        <v>1426000</v>
      </c>
      <c r="D11" s="73">
        <v>2254000</v>
      </c>
      <c r="E11" s="73">
        <v>2622000</v>
      </c>
    </row>
    <row r="12" spans="1:5" x14ac:dyDescent="0.5">
      <c r="A12" s="20" t="s">
        <v>1756</v>
      </c>
      <c r="B12" s="72">
        <v>14106</v>
      </c>
      <c r="C12" s="72">
        <v>14938</v>
      </c>
      <c r="D12" s="72">
        <v>21642</v>
      </c>
      <c r="E12" s="72">
        <v>29314</v>
      </c>
    </row>
    <row r="13" spans="1:5" x14ac:dyDescent="0.5">
      <c r="A13" s="6" t="s">
        <v>1757</v>
      </c>
      <c r="B13" s="73">
        <v>12447</v>
      </c>
      <c r="C13" s="73">
        <v>8031</v>
      </c>
      <c r="D13" s="73">
        <v>13679</v>
      </c>
      <c r="E13" s="73">
        <v>13843</v>
      </c>
    </row>
    <row r="14" spans="1:5" x14ac:dyDescent="0.5">
      <c r="A14" s="20" t="s">
        <v>1758</v>
      </c>
      <c r="B14" s="78">
        <v>0.63800000000000001</v>
      </c>
      <c r="C14" s="78">
        <v>0.51800000000000002</v>
      </c>
      <c r="D14" s="78">
        <v>0.55800000000000005</v>
      </c>
      <c r="E14" s="78">
        <v>0.48599999999999999</v>
      </c>
    </row>
    <row r="15" spans="1:5" ht="26" x14ac:dyDescent="0.5">
      <c r="A15" s="6" t="s">
        <v>1759</v>
      </c>
      <c r="B15" s="1" t="s">
        <v>1760</v>
      </c>
      <c r="C15" s="1" t="s">
        <v>1760</v>
      </c>
      <c r="D15" s="1" t="s">
        <v>1760</v>
      </c>
      <c r="E15" s="1" t="s">
        <v>1760</v>
      </c>
    </row>
    <row r="16" spans="1:5" ht="221" x14ac:dyDescent="0.5">
      <c r="A16" s="20" t="s">
        <v>1761</v>
      </c>
      <c r="B16" s="19" t="s">
        <v>1762</v>
      </c>
      <c r="C16" s="19" t="s">
        <v>1763</v>
      </c>
      <c r="D16" s="19" t="s">
        <v>1764</v>
      </c>
      <c r="E16" s="19" t="s">
        <v>1765</v>
      </c>
    </row>
    <row r="17" spans="1:5" ht="8" customHeight="1" x14ac:dyDescent="0.5">
      <c r="A17" s="76"/>
      <c r="B17" s="76"/>
      <c r="C17" s="76"/>
      <c r="D17" s="76"/>
      <c r="E17" s="76"/>
    </row>
    <row r="18" spans="1:5" ht="8" customHeight="1" x14ac:dyDescent="0.5">
      <c r="A18" s="76"/>
      <c r="B18" s="76"/>
      <c r="C18" s="76"/>
      <c r="D18" s="76"/>
      <c r="E18" s="76"/>
    </row>
    <row r="19" spans="1:5" ht="28" customHeight="1" x14ac:dyDescent="0.5">
      <c r="A19" s="79" t="s">
        <v>1766</v>
      </c>
      <c r="B19" s="75"/>
      <c r="C19" s="75"/>
      <c r="D19" s="75"/>
      <c r="E19" s="75"/>
    </row>
    <row r="20" spans="1:5" ht="26" customHeight="1" x14ac:dyDescent="0.5">
      <c r="A20" s="80" t="s">
        <v>1767</v>
      </c>
      <c r="B20" s="81">
        <v>1281</v>
      </c>
      <c r="C20" s="82"/>
      <c r="D20" s="82"/>
      <c r="E20" s="82"/>
    </row>
    <row r="21" spans="1:5" x14ac:dyDescent="0.5">
      <c r="A21" s="80" t="s">
        <v>1768</v>
      </c>
      <c r="B21" s="81">
        <v>21100</v>
      </c>
      <c r="C21" s="82"/>
      <c r="D21" s="82"/>
      <c r="E21" s="82"/>
    </row>
    <row r="22" spans="1:5" x14ac:dyDescent="0.5">
      <c r="A22" s="80" t="s">
        <v>1769</v>
      </c>
      <c r="B22" s="81">
        <v>27029100</v>
      </c>
      <c r="C22" s="82"/>
      <c r="D22" s="82"/>
      <c r="E22" s="82"/>
    </row>
    <row r="23" spans="1:5" x14ac:dyDescent="0.5">
      <c r="A23" s="80" t="s">
        <v>1770</v>
      </c>
      <c r="B23" s="81">
        <v>2486677200</v>
      </c>
      <c r="C23" s="82"/>
      <c r="D23" s="82"/>
      <c r="E23" s="82"/>
    </row>
    <row r="24" spans="1:5" x14ac:dyDescent="0.5">
      <c r="A24" s="80" t="s">
        <v>1771</v>
      </c>
      <c r="B24" s="83">
        <v>0.68200000000000005</v>
      </c>
      <c r="C24" s="82"/>
      <c r="D24" s="82"/>
      <c r="E24" s="82"/>
    </row>
    <row r="25" spans="1:5" ht="57.35" x14ac:dyDescent="0.5">
      <c r="A25" s="80" t="s">
        <v>1772</v>
      </c>
      <c r="B25" s="82" t="s">
        <v>1773</v>
      </c>
      <c r="C25" s="82"/>
      <c r="D25" s="82"/>
      <c r="E25" s="82"/>
    </row>
  </sheetData>
  <mergeCells count="2">
    <mergeCell ref="A1:D1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"/>
  <sheetViews>
    <sheetView showGridLines="0" tabSelected="1" zoomScaleNormal="100" workbookViewId="0">
      <pane ySplit="3" topLeftCell="A4" activePane="bottomLeft" state="frozen"/>
      <selection pane="bottomLeft" sqref="A1:H1"/>
    </sheetView>
  </sheetViews>
  <sheetFormatPr defaultColWidth="8.703125" defaultRowHeight="14.35" x14ac:dyDescent="0.5"/>
  <cols>
    <col min="1" max="2" width="42.3515625" customWidth="1"/>
    <col min="3" max="7" width="15.87890625" customWidth="1"/>
    <col min="8" max="8" width="63.52734375" customWidth="1"/>
  </cols>
  <sheetData>
    <row r="1" spans="1:8" ht="36" customHeight="1" x14ac:dyDescent="0.5">
      <c r="A1" s="74" t="s">
        <v>1774</v>
      </c>
      <c r="B1" s="75"/>
      <c r="C1" s="75"/>
      <c r="D1" s="75"/>
      <c r="E1" s="75"/>
      <c r="F1" s="75"/>
      <c r="G1" s="75"/>
      <c r="H1" s="75"/>
    </row>
    <row r="2" spans="1:8" ht="8" customHeight="1" x14ac:dyDescent="0.5">
      <c r="A2" s="76"/>
      <c r="B2" s="76"/>
      <c r="C2" s="76"/>
      <c r="D2" s="76"/>
      <c r="E2" s="76"/>
      <c r="F2" s="76"/>
      <c r="G2" s="76"/>
      <c r="H2" s="76"/>
    </row>
    <row r="3" spans="1:8" ht="26" x14ac:dyDescent="0.5">
      <c r="A3" s="77" t="s">
        <v>1775</v>
      </c>
      <c r="B3" s="77" t="s">
        <v>1776</v>
      </c>
      <c r="C3" s="77" t="s">
        <v>1777</v>
      </c>
      <c r="D3" s="77" t="s">
        <v>1778</v>
      </c>
      <c r="E3" s="77" t="s">
        <v>1779</v>
      </c>
      <c r="F3" s="77" t="s">
        <v>1780</v>
      </c>
      <c r="G3" s="77" t="s">
        <v>1781</v>
      </c>
      <c r="H3" s="77" t="s">
        <v>1782</v>
      </c>
    </row>
    <row r="4" spans="1:8" ht="117" x14ac:dyDescent="0.5">
      <c r="A4" s="19" t="s">
        <v>1783</v>
      </c>
      <c r="B4" s="19" t="s">
        <v>1784</v>
      </c>
      <c r="C4" s="84">
        <v>1</v>
      </c>
      <c r="D4" s="84">
        <v>1</v>
      </c>
      <c r="E4" s="84">
        <v>1</v>
      </c>
      <c r="F4" s="72">
        <v>280000</v>
      </c>
      <c r="G4" s="72">
        <v>18000000</v>
      </c>
      <c r="H4" s="19" t="s">
        <v>1785</v>
      </c>
    </row>
    <row r="5" spans="1:8" ht="78" x14ac:dyDescent="0.5">
      <c r="A5" s="1" t="s">
        <v>1786</v>
      </c>
      <c r="B5" s="1" t="s">
        <v>1787</v>
      </c>
      <c r="C5" s="85">
        <v>2</v>
      </c>
      <c r="D5" s="85">
        <v>1</v>
      </c>
      <c r="E5" s="85">
        <v>0</v>
      </c>
      <c r="F5" s="73">
        <v>180000</v>
      </c>
      <c r="G5" s="73">
        <v>11000000</v>
      </c>
      <c r="H5" s="1" t="s">
        <v>1788</v>
      </c>
    </row>
    <row r="6" spans="1:8" ht="52" x14ac:dyDescent="0.5">
      <c r="A6" s="19" t="s">
        <v>1789</v>
      </c>
      <c r="B6" s="19" t="s">
        <v>1790</v>
      </c>
      <c r="C6" s="84">
        <v>1</v>
      </c>
      <c r="D6" s="84">
        <v>1</v>
      </c>
      <c r="E6" s="84">
        <v>0</v>
      </c>
      <c r="F6" s="72">
        <v>160000</v>
      </c>
      <c r="G6" s="72">
        <v>9500000</v>
      </c>
      <c r="H6" s="19" t="s">
        <v>1791</v>
      </c>
    </row>
    <row r="7" spans="1:8" ht="65" x14ac:dyDescent="0.5">
      <c r="A7" s="1" t="s">
        <v>1792</v>
      </c>
      <c r="B7" s="1" t="s">
        <v>1793</v>
      </c>
      <c r="C7" s="85">
        <v>1</v>
      </c>
      <c r="D7" s="85">
        <v>1</v>
      </c>
      <c r="E7" s="85">
        <v>0</v>
      </c>
      <c r="F7" s="73">
        <v>200000</v>
      </c>
      <c r="G7" s="73">
        <v>10500000</v>
      </c>
      <c r="H7" s="1" t="s">
        <v>1794</v>
      </c>
    </row>
    <row r="8" spans="1:8" ht="78" x14ac:dyDescent="0.5">
      <c r="A8" s="19" t="s">
        <v>1795</v>
      </c>
      <c r="B8" s="19" t="s">
        <v>1796</v>
      </c>
      <c r="C8" s="84">
        <v>1</v>
      </c>
      <c r="D8" s="84">
        <v>1</v>
      </c>
      <c r="E8" s="84">
        <v>0</v>
      </c>
      <c r="F8" s="72">
        <v>170000</v>
      </c>
      <c r="G8" s="72">
        <v>9000000</v>
      </c>
      <c r="H8" s="19" t="s">
        <v>1797</v>
      </c>
    </row>
    <row r="9" spans="1:8" ht="65" x14ac:dyDescent="0.5">
      <c r="A9" s="1" t="s">
        <v>1798</v>
      </c>
      <c r="B9" s="1" t="s">
        <v>1799</v>
      </c>
      <c r="C9" s="85">
        <v>1</v>
      </c>
      <c r="D9" s="85">
        <v>1</v>
      </c>
      <c r="E9" s="85">
        <v>0</v>
      </c>
      <c r="F9" s="73">
        <v>140000</v>
      </c>
      <c r="G9" s="73">
        <v>7500000</v>
      </c>
      <c r="H9" s="1" t="s">
        <v>1800</v>
      </c>
    </row>
    <row r="10" spans="1:8" ht="65" x14ac:dyDescent="0.5">
      <c r="A10" s="19" t="s">
        <v>1801</v>
      </c>
      <c r="B10" s="19" t="s">
        <v>1802</v>
      </c>
      <c r="C10" s="84">
        <v>1</v>
      </c>
      <c r="D10" s="84">
        <v>0</v>
      </c>
      <c r="E10" s="84">
        <v>0</v>
      </c>
      <c r="F10" s="72">
        <v>165000</v>
      </c>
      <c r="G10" s="72">
        <v>9000000</v>
      </c>
      <c r="H10" s="19" t="s">
        <v>1803</v>
      </c>
    </row>
    <row r="11" spans="1:8" ht="91" x14ac:dyDescent="0.5">
      <c r="A11" s="1" t="s">
        <v>1804</v>
      </c>
      <c r="B11" s="1" t="s">
        <v>1805</v>
      </c>
      <c r="C11" s="85">
        <v>5</v>
      </c>
      <c r="D11" s="85">
        <v>3</v>
      </c>
      <c r="E11" s="85">
        <v>1</v>
      </c>
      <c r="F11" s="73">
        <v>65000</v>
      </c>
      <c r="G11" s="73">
        <v>2400000</v>
      </c>
      <c r="H11" s="1" t="s">
        <v>1806</v>
      </c>
    </row>
    <row r="12" spans="1:8" ht="65" x14ac:dyDescent="0.5">
      <c r="A12" s="19" t="s">
        <v>1807</v>
      </c>
      <c r="B12" s="19" t="s">
        <v>1808</v>
      </c>
      <c r="C12" s="84">
        <v>3</v>
      </c>
      <c r="D12" s="84">
        <v>2</v>
      </c>
      <c r="E12" s="84">
        <v>1</v>
      </c>
      <c r="F12" s="72">
        <v>42000</v>
      </c>
      <c r="G12" s="72">
        <v>1400000</v>
      </c>
      <c r="H12" s="19" t="s">
        <v>1809</v>
      </c>
    </row>
    <row r="13" spans="1:8" ht="65" x14ac:dyDescent="0.5">
      <c r="A13" s="1" t="s">
        <v>1810</v>
      </c>
      <c r="B13" s="1" t="s">
        <v>1811</v>
      </c>
      <c r="C13" s="85">
        <v>3</v>
      </c>
      <c r="D13" s="85">
        <v>2</v>
      </c>
      <c r="E13" s="85">
        <v>1</v>
      </c>
      <c r="F13" s="73">
        <v>80000</v>
      </c>
      <c r="G13" s="73">
        <v>3200000</v>
      </c>
      <c r="H13" s="1" t="s">
        <v>1812</v>
      </c>
    </row>
    <row r="14" spans="1:8" ht="78" x14ac:dyDescent="0.5">
      <c r="A14" s="19" t="s">
        <v>1813</v>
      </c>
      <c r="B14" s="19" t="s">
        <v>1814</v>
      </c>
      <c r="C14" s="84">
        <v>4</v>
      </c>
      <c r="D14" s="84">
        <v>3</v>
      </c>
      <c r="E14" s="84">
        <v>2</v>
      </c>
      <c r="F14" s="72">
        <v>60000</v>
      </c>
      <c r="G14" s="72">
        <v>2200000</v>
      </c>
      <c r="H14" s="19" t="s">
        <v>1815</v>
      </c>
    </row>
    <row r="15" spans="1:8" ht="52" x14ac:dyDescent="0.5">
      <c r="A15" s="1" t="s">
        <v>1816</v>
      </c>
      <c r="B15" s="1" t="s">
        <v>1817</v>
      </c>
      <c r="C15" s="85">
        <v>4</v>
      </c>
      <c r="D15" s="85">
        <v>3</v>
      </c>
      <c r="E15" s="85">
        <v>2</v>
      </c>
      <c r="F15" s="73">
        <v>50000</v>
      </c>
      <c r="G15" s="73">
        <v>1900000</v>
      </c>
      <c r="H15" s="1" t="s">
        <v>1818</v>
      </c>
    </row>
    <row r="16" spans="1:8" ht="52" x14ac:dyDescent="0.5">
      <c r="A16" s="19" t="s">
        <v>1819</v>
      </c>
      <c r="B16" s="19" t="s">
        <v>1820</v>
      </c>
      <c r="C16" s="84">
        <v>1</v>
      </c>
      <c r="D16" s="84">
        <v>1</v>
      </c>
      <c r="E16" s="84">
        <v>0</v>
      </c>
      <c r="F16" s="72">
        <v>150000</v>
      </c>
      <c r="G16" s="72">
        <v>8500000</v>
      </c>
      <c r="H16" s="19" t="s">
        <v>1821</v>
      </c>
    </row>
    <row r="17" spans="1:8" ht="39" x14ac:dyDescent="0.5">
      <c r="A17" s="1" t="s">
        <v>1822</v>
      </c>
      <c r="B17" s="1" t="s">
        <v>1823</v>
      </c>
      <c r="C17" s="85">
        <v>2</v>
      </c>
      <c r="D17" s="85">
        <v>1</v>
      </c>
      <c r="E17" s="85">
        <v>0</v>
      </c>
      <c r="F17" s="73">
        <v>38000</v>
      </c>
      <c r="G17" s="73">
        <v>1300000</v>
      </c>
      <c r="H17" s="1" t="s">
        <v>1824</v>
      </c>
    </row>
    <row r="18" spans="1:8" ht="91" x14ac:dyDescent="0.5">
      <c r="A18" s="19" t="s">
        <v>1825</v>
      </c>
      <c r="B18" s="19" t="s">
        <v>1826</v>
      </c>
      <c r="C18" s="84">
        <v>3</v>
      </c>
      <c r="D18" s="84">
        <v>2</v>
      </c>
      <c r="E18" s="84">
        <v>1</v>
      </c>
      <c r="F18" s="72">
        <v>75000</v>
      </c>
      <c r="G18" s="72">
        <v>2800000</v>
      </c>
      <c r="H18" s="19" t="s">
        <v>1827</v>
      </c>
    </row>
    <row r="19" spans="1:8" ht="52" x14ac:dyDescent="0.5">
      <c r="A19" s="1" t="s">
        <v>1828</v>
      </c>
      <c r="B19" s="1" t="s">
        <v>1829</v>
      </c>
      <c r="C19" s="85">
        <v>2</v>
      </c>
      <c r="D19" s="85">
        <v>1</v>
      </c>
      <c r="E19" s="85">
        <v>1</v>
      </c>
      <c r="F19" s="73">
        <v>55000</v>
      </c>
      <c r="G19" s="73">
        <v>1900000</v>
      </c>
      <c r="H19" s="1" t="s">
        <v>1830</v>
      </c>
    </row>
    <row r="20" spans="1:8" ht="78" x14ac:dyDescent="0.5">
      <c r="A20" s="19" t="s">
        <v>1831</v>
      </c>
      <c r="B20" s="19" t="s">
        <v>1832</v>
      </c>
      <c r="C20" s="84">
        <v>2</v>
      </c>
      <c r="D20" s="84">
        <v>1</v>
      </c>
      <c r="E20" s="84">
        <v>1</v>
      </c>
      <c r="F20" s="72">
        <v>70000</v>
      </c>
      <c r="G20" s="72">
        <v>2600000</v>
      </c>
      <c r="H20" s="19" t="s">
        <v>1833</v>
      </c>
    </row>
    <row r="21" spans="1:8" ht="65" x14ac:dyDescent="0.5">
      <c r="A21" s="1" t="s">
        <v>1834</v>
      </c>
      <c r="B21" s="1" t="s">
        <v>1835</v>
      </c>
      <c r="C21" s="85">
        <v>4</v>
      </c>
      <c r="D21" s="85">
        <v>3</v>
      </c>
      <c r="E21" s="85">
        <v>2</v>
      </c>
      <c r="F21" s="73">
        <v>55000</v>
      </c>
      <c r="G21" s="73">
        <v>1800000</v>
      </c>
      <c r="H21" s="1" t="s">
        <v>1836</v>
      </c>
    </row>
    <row r="22" spans="1:8" ht="52" x14ac:dyDescent="0.5">
      <c r="A22" s="19" t="s">
        <v>1837</v>
      </c>
      <c r="B22" s="19" t="s">
        <v>1838</v>
      </c>
      <c r="C22" s="84">
        <v>2</v>
      </c>
      <c r="D22" s="84">
        <v>2</v>
      </c>
      <c r="E22" s="84">
        <v>2</v>
      </c>
      <c r="F22" s="72">
        <v>55000</v>
      </c>
      <c r="G22" s="72">
        <v>1800000</v>
      </c>
      <c r="H22" s="19" t="s">
        <v>1839</v>
      </c>
    </row>
    <row r="23" spans="1:8" ht="52" x14ac:dyDescent="0.5">
      <c r="A23" s="1" t="s">
        <v>1840</v>
      </c>
      <c r="B23" s="1" t="s">
        <v>1841</v>
      </c>
      <c r="C23" s="85">
        <v>16</v>
      </c>
      <c r="D23" s="85">
        <v>12</v>
      </c>
      <c r="E23" s="85">
        <v>8</v>
      </c>
      <c r="F23" s="73">
        <v>45000</v>
      </c>
      <c r="G23" s="73">
        <v>1500000</v>
      </c>
      <c r="H23" s="1" t="s">
        <v>1842</v>
      </c>
    </row>
    <row r="24" spans="1:8" ht="78" x14ac:dyDescent="0.5">
      <c r="A24" s="19" t="s">
        <v>1843</v>
      </c>
      <c r="B24" s="19" t="s">
        <v>1844</v>
      </c>
      <c r="C24" s="84">
        <v>2</v>
      </c>
      <c r="D24" s="84">
        <v>2</v>
      </c>
      <c r="E24" s="84">
        <v>1</v>
      </c>
      <c r="F24" s="72">
        <v>110000</v>
      </c>
      <c r="G24" s="72">
        <v>4500000</v>
      </c>
      <c r="H24" s="19" t="s">
        <v>1845</v>
      </c>
    </row>
    <row r="25" spans="1:8" ht="78" x14ac:dyDescent="0.5">
      <c r="A25" s="1" t="s">
        <v>1846</v>
      </c>
      <c r="B25" s="1" t="s">
        <v>1847</v>
      </c>
      <c r="C25" s="85">
        <v>6</v>
      </c>
      <c r="D25" s="85">
        <v>5</v>
      </c>
      <c r="E25" s="85">
        <v>3</v>
      </c>
      <c r="F25" s="73">
        <v>48000</v>
      </c>
      <c r="G25" s="73">
        <v>1700000</v>
      </c>
      <c r="H25" s="1" t="s">
        <v>1848</v>
      </c>
    </row>
    <row r="26" spans="1:8" ht="78" x14ac:dyDescent="0.5">
      <c r="A26" s="19" t="s">
        <v>1849</v>
      </c>
      <c r="B26" s="19" t="s">
        <v>1850</v>
      </c>
      <c r="C26" s="84">
        <v>4</v>
      </c>
      <c r="D26" s="84">
        <v>2</v>
      </c>
      <c r="E26" s="84">
        <v>0</v>
      </c>
      <c r="F26" s="72">
        <v>55000</v>
      </c>
      <c r="G26" s="72">
        <v>1800000</v>
      </c>
      <c r="H26" s="19" t="s">
        <v>1851</v>
      </c>
    </row>
    <row r="27" spans="1:8" ht="78" x14ac:dyDescent="0.5">
      <c r="A27" s="1" t="s">
        <v>1852</v>
      </c>
      <c r="B27" s="1" t="s">
        <v>1853</v>
      </c>
      <c r="C27" s="85">
        <v>3</v>
      </c>
      <c r="D27" s="85">
        <v>2</v>
      </c>
      <c r="E27" s="85">
        <v>0</v>
      </c>
      <c r="F27" s="73">
        <v>65000</v>
      </c>
      <c r="G27" s="73">
        <v>2200000</v>
      </c>
      <c r="H27" s="1" t="s">
        <v>1854</v>
      </c>
    </row>
    <row r="28" spans="1:8" ht="65" x14ac:dyDescent="0.5">
      <c r="A28" s="19" t="s">
        <v>1855</v>
      </c>
      <c r="B28" s="19" t="s">
        <v>1856</v>
      </c>
      <c r="C28" s="84">
        <v>1</v>
      </c>
      <c r="D28" s="84">
        <v>1</v>
      </c>
      <c r="E28" s="84">
        <v>0</v>
      </c>
      <c r="F28" s="72">
        <v>220000</v>
      </c>
      <c r="G28" s="72">
        <v>11500000</v>
      </c>
      <c r="H28" s="19" t="s">
        <v>1857</v>
      </c>
    </row>
    <row r="29" spans="1:8" ht="78" x14ac:dyDescent="0.5">
      <c r="A29" s="1" t="s">
        <v>1858</v>
      </c>
      <c r="B29" s="1" t="s">
        <v>1859</v>
      </c>
      <c r="C29" s="85">
        <v>2</v>
      </c>
      <c r="D29" s="85">
        <v>1</v>
      </c>
      <c r="E29" s="85">
        <v>0</v>
      </c>
      <c r="F29" s="73">
        <v>75000</v>
      </c>
      <c r="G29" s="73">
        <v>2700000</v>
      </c>
      <c r="H29" s="1" t="s">
        <v>1860</v>
      </c>
    </row>
    <row r="30" spans="1:8" ht="52" x14ac:dyDescent="0.5">
      <c r="A30" s="19" t="s">
        <v>1861</v>
      </c>
      <c r="B30" s="19" t="s">
        <v>1862</v>
      </c>
      <c r="C30" s="84">
        <v>2</v>
      </c>
      <c r="D30" s="84">
        <v>2</v>
      </c>
      <c r="E30" s="84">
        <v>1</v>
      </c>
      <c r="F30" s="72">
        <v>90000</v>
      </c>
      <c r="G30" s="72">
        <v>3500000</v>
      </c>
      <c r="H30" s="19" t="s">
        <v>1863</v>
      </c>
    </row>
    <row r="31" spans="1:8" ht="52" x14ac:dyDescent="0.5">
      <c r="A31" s="1" t="s">
        <v>1864</v>
      </c>
      <c r="B31" s="1" t="s">
        <v>1865</v>
      </c>
      <c r="C31" s="85">
        <v>2</v>
      </c>
      <c r="D31" s="85">
        <v>1</v>
      </c>
      <c r="E31" s="85">
        <v>0</v>
      </c>
      <c r="F31" s="73">
        <v>50000</v>
      </c>
      <c r="G31" s="73">
        <v>1700000</v>
      </c>
      <c r="H31" s="1" t="s">
        <v>1866</v>
      </c>
    </row>
    <row r="32" spans="1:8" x14ac:dyDescent="0.5">
      <c r="A32" s="86" t="s">
        <v>1867</v>
      </c>
      <c r="B32" s="87"/>
      <c r="C32" s="88">
        <v>81</v>
      </c>
      <c r="D32" s="88">
        <v>58</v>
      </c>
      <c r="E32" s="88">
        <v>28</v>
      </c>
      <c r="F32" s="89">
        <v>3883000</v>
      </c>
      <c r="G32" s="89">
        <v>357271000</v>
      </c>
      <c r="H32" s="86" t="s">
        <v>1868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Обзор</vt:lpstr>
      <vt:lpstr>Реестр оборудования</vt:lpstr>
      <vt:lpstr>Сводка CapEx по уровням</vt:lpstr>
      <vt:lpstr>Окупаемость и выручка</vt:lpstr>
      <vt:lpstr>Региональные факторы стоимости</vt:lpstr>
      <vt:lpstr>Источники и методология</vt:lpstr>
      <vt:lpstr>Биомаркеры</vt:lpstr>
      <vt:lpstr>Программы</vt:lpstr>
      <vt:lpstr>Персонал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Sapir</cp:lastModifiedBy>
  <cp:revision>0</cp:revision>
  <dcterms:created xsi:type="dcterms:W3CDTF">2026-05-03T21:28:30Z</dcterms:created>
  <dcterms:modified xsi:type="dcterms:W3CDTF">2026-05-05T00:31:58Z</dcterms:modified>
  <dc:language>en-US</dc:language>
</cp:coreProperties>
</file>