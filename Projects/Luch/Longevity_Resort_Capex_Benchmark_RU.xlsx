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4.xml" ContentType="application/vnd.openxmlformats-officedocument.spreadsheetml.worksheet+xml"/>
  <Override PartName="/xl/worksheets/sheet7.xml" ContentType="application/vnd.openxmlformats-officedocument.spreadsheetml.worksheet+xml"/>
  <Override PartName="/xl/worksheets/sheet3.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Обзор" sheetId="1" state="visible" r:id="rId3"/>
    <sheet name="Реестр оборудования" sheetId="2" state="visible" r:id="rId4"/>
    <sheet name="Сводка CapEx по уровням" sheetId="3" state="visible" r:id="rId5"/>
    <sheet name="Окупаемость и выручка" sheetId="4" state="visible" r:id="rId6"/>
    <sheet name="Региональные факторы стоимости" sheetId="5" state="visible" r:id="rId7"/>
    <sheet name="Источники и методология" sheetId="6" state="visible" r:id="rId8"/>
    <sheet name="Биомаркеры" sheetId="7" state="visible" r:id="rId9"/>
    <sheet name="Программы" sheetId="8" state="visible" r:id="rId10"/>
    <sheet name="Персонал" sheetId="9" state="visible" r:id="rId11"/>
  </sheets>
  <definedNames>
    <definedName function="false" hidden="true" localSheetId="1" name="_xlnm._FilterDatabase" vbProcedure="false">'Реестр оборудования'!$A$1:$Y$135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<sst xmlns="http://schemas.openxmlformats.org/spreadsheetml/2006/main" count="3318" uniqueCount="1869">
  <si>
    <t xml:space="preserve">Премиальный Longevity Resort ,  Бенчмарк CapEx</t>
  </si>
  <si>
    <t xml:space="preserve">Оборудование, ПО, SPA, кухня и медицинская инфраструктура в четырёх регионах</t>
  </si>
  <si>
    <t xml:space="preserve">Дата выпуска</t>
  </si>
  <si>
    <t xml:space="preserve">2026-05-03</t>
  </si>
  <si>
    <t xml:space="preserve">Покрытие по уровням</t>
  </si>
  <si>
    <t xml:space="preserve">Lanserhof/CLP (полная медицинская глубина)  |  SHA/Chenot (медицина-лайт)  |  Six Senses Place (велнес-плюс)</t>
  </si>
  <si>
    <t xml:space="preserve">Профиль объекта</t>
  </si>
  <si>
    <t xml:space="preserve">80–100 номеров (модель использует середину диапазона ,  90 номеров); премиальное люкс-позиционирование</t>
  </si>
  <si>
    <t xml:space="preserve">Регионы ценообразования</t>
  </si>
  <si>
    <t xml:space="preserve">Западная Европа (EUR) | Северная Америка (USD) | Азия (USD, с указанием страны) | Россия (RUB, оценка)</t>
  </si>
  <si>
    <t xml:space="preserve">Количество позиций</t>
  </si>
  <si>
    <t xml:space="preserve">134 позиции в 16 категориях</t>
  </si>
  <si>
    <t xml:space="preserve">СОДЕРЖИМОЕ КНИГИ</t>
  </si>
  <si>
    <t xml:space="preserve">Обзор</t>
  </si>
  <si>
    <t xml:space="preserve">Эта страница ,  методология, определения уровней, цветовая легенда</t>
  </si>
  <si>
    <t xml:space="preserve">Реестр оборудования</t>
  </si>
  <si>
    <t xml:space="preserve">Все 134 позиции с брендом, ценами в четырёх регионах, привязкой к уровню, источником и достоверностью</t>
  </si>
  <si>
    <t xml:space="preserve">Сводка CapEx по уровням</t>
  </si>
  <si>
    <t xml:space="preserve">Свод по уровням, группам и регионам. Живые формулы ,  изменения в реестре или keys_count пересчитают итоги.</t>
  </si>
  <si>
    <t xml:space="preserve">Окупаемость и выручка</t>
  </si>
  <si>
    <t xml:space="preserve">Блоки окупаемости оборудования, цены процедур и пакетов, логика прироста ADR, диапазоны окупаемости</t>
  </si>
  <si>
    <t xml:space="preserve">Региональные факторы стоимости</t>
  </si>
  <si>
    <t xml:space="preserve">Санкции, таможня и НДС, параллельный импорт, отечественные альтернативы ,  детально по России</t>
  </si>
  <si>
    <t xml:space="preserve">Источники и методология</t>
  </si>
  <si>
    <t xml:space="preserve">Все цитируемые источники, оценка достоверности и рекомендованный путь верификации</t>
  </si>
  <si>
    <t xml:space="preserve">ОПРЕДЕЛЕНИЯ УРОВНЕЙ</t>
  </si>
  <si>
    <t xml:space="preserve">Уровень Six Senses Place (велнес-плюс)</t>
  </si>
  <si>
    <t xml:space="preserve">Велнес-плюс. Премиальное SPA, полноценная термальная зона, пилатес и тренажёрный зал, полная кухня, PMS и ИТ. Без медицинского центра, визуализации, собственной лаборатории и МИС. Позиции этого уровня входят во ВСЕ уровни (операционная база).</t>
  </si>
  <si>
    <t xml:space="preserve">Уровень SHA/Chenot (медицина-лайт)</t>
  </si>
  <si>
    <t xml:space="preserve">Медицина-лайт. Добавляются УЗИ, DEXA, рентген, базовые лабораторные анализаторы, ЭКГ-комплекс, HSAT, кресла для капельниц, FibroScan, RMR, МИС среднего класса и базовая медицинская инфраструктура.</t>
  </si>
  <si>
    <t xml:space="preserve">Уровень Lanserhof/CLP (полный медицинский)</t>
  </si>
  <si>
    <t xml:space="preserve">Полная медицинская глубина. Добавляются МРТ 3 Тл и 1,5 Тл, КТ, ОКТ, маммография, полноценная PSG/ЭЭГ, озон/ИГГТ/HBOT, эстетические лазеры, полнофункциональный PACS, полная система медицинских газов, генератор и HEPA.</t>
  </si>
  <si>
    <t xml:space="preserve">Опциональный апселл</t>
  </si>
  <si>
    <t xml:space="preserve">Учитывается отдельно ,  Epic EHR, криолиполиз, парк ECG-патчей, корпоративные WHOOP/Garmin. НЕ входят в базовые итоги уровней.</t>
  </si>
  <si>
    <t xml:space="preserve">ЦВЕТОВАЯ ЛЕГЕНДА</t>
  </si>
  <si>
    <t xml:space="preserve">Жёсткий ввод</t>
  </si>
  <si>
    <t xml:space="preserve">Числа, которые пользователь меняет под сценарии (цены, keys_count, курсы)</t>
  </si>
  <si>
    <t xml:space="preserve">Формула / расчёт</t>
  </si>
  <si>
    <t xml:space="preserve">Ячейки, рассчитываемые книгой по введённым параметрам</t>
  </si>
  <si>
    <t xml:space="preserve">Кросс-листовая ссылка</t>
  </si>
  <si>
    <t xml:space="preserve">Ссылки на другие листы ,  поддерживают синхронность сводок с реестром</t>
  </si>
  <si>
    <t xml:space="preserve">Цвета достоверности</t>
  </si>
  <si>
    <t xml:space="preserve">Зелёный ,  высокая, жёлтый ,  средняя, оранжевый ,  низкая. Применяются к колонке достоверности в реестре.</t>
  </si>
  <si>
    <t xml:space="preserve">КАК ЧИТАТЬ ЭТУ КНИГУ</t>
  </si>
  <si>
    <t xml:space="preserve">1. Реестр оборудования ,  единый источник истины. Изменение цены или количества там автоматически обновляет сводку CapEx через SUMPRODUCT.</t>
  </si>
  <si>
    <t xml:space="preserve">2. Сводка CapEx использует логику включения уровней: позиции Six Senses учитываются во ВСЕХ трёх уровнях; позиции SHA ,  в CLP и SHA; позиции CLP ,  только в CLP.</t>
  </si>
  <si>
    <t xml:space="preserve">3. Для ПО раздельно показаны единовременный CapEx и годовая подписка. Годовые суммы относятся к OpEx и в итоги CapEx не включаются.</t>
  </si>
  <si>
    <t xml:space="preserve">4. Колонка России (₽) имеет НАИМЕНЬШУЮ достоверность ,  рекомендации по верификации см. в листе «Источники и методология».</t>
  </si>
  <si>
    <t xml:space="preserve">5. «CapEx на номер» использует keys_count из ячейки B3 листа «Сводка CapEx по уровням» (по умолчанию 90 ,  редактируется).</t>
  </si>
  <si>
    <t xml:space="preserve">ID</t>
  </si>
  <si>
    <t xml:space="preserve">Категория</t>
  </si>
  <si>
    <t xml:space="preserve">Подкатегория</t>
  </si>
  <si>
    <t xml:space="preserve">Оборудование</t>
  </si>
  <si>
    <t xml:space="preserve">Примеры брендов</t>
  </si>
  <si>
    <t xml:space="preserve">Назначение</t>
  </si>
  <si>
    <t xml:space="preserve">Уровень (скорректированный)</t>
  </si>
  <si>
    <t xml:space="preserve">Уровень (по исследованию)</t>
  </si>
  <si>
    <t xml:space="preserve">Цена ,  Западная Европа (€)</t>
  </si>
  <si>
    <t xml:space="preserve">Цена ,  Северная Америка (USD)</t>
  </si>
  <si>
    <t xml:space="preserve">Цена ,  Азия (USD)</t>
  </si>
  <si>
    <t xml:space="preserve">Страна Азии</t>
  </si>
  <si>
    <t xml:space="preserve">Цена ,  Россия, оценка (₽)</t>
  </si>
  <si>
    <t xml:space="preserve">Количество (80–100 номеров)</t>
  </si>
  <si>
    <t xml:space="preserve">Срок службы (лет)</t>
  </si>
  <si>
    <t xml:space="preserve">Годовое обслуживание (% CapEx)</t>
  </si>
  <si>
    <t xml:space="preserve">FTE на эксплуатацию</t>
  </si>
  <si>
    <t xml:space="preserve">Источник</t>
  </si>
  <si>
    <t xml:space="preserve">Достоверность</t>
  </si>
  <si>
    <t xml:space="preserve">Дата проверки</t>
  </si>
  <si>
    <t xml:space="preserve">Примечания</t>
  </si>
  <si>
    <t xml:space="preserve">ЕС: годовая €, ПО</t>
  </si>
  <si>
    <t xml:space="preserve">СА: годовая $, ПО</t>
  </si>
  <si>
    <t xml:space="preserve">Азия: годовая $, ПО</t>
  </si>
  <si>
    <t xml:space="preserve">Россия: годовая ₽, ПО</t>
  </si>
  <si>
    <t xml:space="preserve">Путь(и) активации</t>
  </si>
  <si>
    <t xml:space="preserve">Evidence (A/B/C)</t>
  </si>
  <si>
    <t xml:space="preserve">Гормезис стек (Да/Нет)</t>
  </si>
  <si>
    <t xml:space="preserve">Эстетика и регенеративные процедуры</t>
  </si>
  <si>
    <t xml:space="preserve">Аблятивно-неаблятивная платформа</t>
  </si>
  <si>
    <t xml:space="preserve">Модульная эстетическая лазерная платформа (BBL+Halo+ProFractional)</t>
  </si>
  <si>
    <t xml:space="preserve">Sciton JOULE X / Lumenis M22</t>
  </si>
  <si>
    <t xml:space="preserve">Шлифовка кожи, удаление пигментации и сосудистых образований ,  рабочая лошадка эстетического направления.</t>
  </si>
  <si>
    <t xml:space="preserve">ОАЭ</t>
  </si>
  <si>
    <t xml:space="preserve">Дилерские предложения Sciton; платформа mJOULE с пробегом по цене $149 950 (mrp.io); прайсы Lumenis 2024.</t>
  </si>
  <si>
    <t xml:space="preserve">Средняя</t>
  </si>
  <si>
    <t xml:space="preserve">2026-05</t>
  </si>
  <si>
    <t xml:space="preserve">Регуляторное замечание: производитель ,  США. Импорт в Россию идёт по параллельным каналам с надбавкой 20–30%. Целесообразно рассмотреть европейские альтернативы (Asclepion, Quantel).</t>
  </si>
  <si>
    <t xml:space="preserve">Диагностика</t>
  </si>
  <si>
    <t xml:space="preserve">B</t>
  </si>
  <si>
    <t xml:space="preserve">Нет</t>
  </si>
  <si>
    <t xml:space="preserve">Криолиполиз</t>
  </si>
  <si>
    <t xml:space="preserve">Система криолиполиза (редукция жировой ткани)</t>
  </si>
  <si>
    <t xml:space="preserve">Allergan CoolSculpting Elite / Cooltech Define</t>
  </si>
  <si>
    <t xml:space="preserve">Неинвазивная редукция жировой ткани ,  высокомаржинальная эстетическая услуга.</t>
  </si>
  <si>
    <t xml:space="preserve">Дилер Allergan, 2024; восстановленные системы CoolSculpting Elite на Offer Aesthetic.</t>
  </si>
  <si>
    <t xml:space="preserve">Регуляторное замечание: Allergan/AbbVie находятся под американским контролем. Для России предпочтительнее Cooltech (Испания, ныне Cocoon Medical).</t>
  </si>
  <si>
    <t xml:space="preserve">EMSculpt / электромагнитная стимуляция мышц</t>
  </si>
  <si>
    <t xml:space="preserve">Электромагнитная стимуляция мышц (HIFEM)</t>
  </si>
  <si>
    <t xml:space="preserve">BTL EMSculpt NEO</t>
  </si>
  <si>
    <t xml:space="preserve">Прирост мышечной массы и редукция жира ,  востребованная SPA-надстройка.</t>
  </si>
  <si>
    <t xml:space="preserve">Дилерские предложения BTL Industries 2024–2025.</t>
  </si>
  <si>
    <t xml:space="preserve">Производитель BTL ,  чешская компания, поэтому канал поставки в Россию относительно чистый.</t>
  </si>
  <si>
    <t xml:space="preserve">A</t>
  </si>
  <si>
    <t xml:space="preserve">HIFU-лифтинг кожи</t>
  </si>
  <si>
    <t xml:space="preserve">Микрофокусированный ультразвук для лифтинга кожи (HIFU)</t>
  </si>
  <si>
    <t xml:space="preserve">Merz Ultherapy Prime / Ulthera</t>
  </si>
  <si>
    <t xml:space="preserve">Безоперационное подтягивание кожи ,  востребованная процедура.</t>
  </si>
  <si>
    <t xml:space="preserve">Konmison: справочник цен на аппараты Ultherapy 2025; vsquareclinic об Ulthera Prime.</t>
  </si>
  <si>
    <t xml:space="preserve">Расходные картриджи ,  около $300 за процедуру. По России: производитель Merz базируется в ЕС, что снижает санкционные риски по сравнению с американскими аналогами.</t>
  </si>
  <si>
    <t xml:space="preserve">Светотерапия LED</t>
  </si>
  <si>
    <t xml:space="preserve">LED-кушетка/панель для медицинской светотерапии</t>
  </si>
  <si>
    <t xml:space="preserve">NovoTHOR / Celluma PRO panels</t>
  </si>
  <si>
    <t xml:space="preserve">Фотобиомодуляция для кожи, восстановления и программ долголетия.</t>
  </si>
  <si>
    <t xml:space="preserve">Розничные цены NovoTHOR 2024 (~$70–90 тыс.); панели Celluma Pro $3–5 тыс. как альтернатива.</t>
  </si>
  <si>
    <t xml:space="preserve">Полнотельная кушетка NovoTHOR ,  фирменное оборудование премиальных клиник.</t>
  </si>
  <si>
    <t xml:space="preserve">Радиочастотная терапия</t>
  </si>
  <si>
    <t xml:space="preserve">Аппарат радиочастотной терапии (Tecar 448 кГц)</t>
  </si>
  <si>
    <t xml:space="preserve">Indiba Activ Elite NS / Indiba CT9</t>
  </si>
  <si>
    <t xml:space="preserve">Регенерация тканей, восстановление, контурирование тела ,  двойное применение в реабилитации и эстетике.</t>
  </si>
  <si>
    <t xml:space="preserve">Референтные предложения дилеров Indiba; клинические тарифы NYDNRehab; листинги б/у на eBay около $55 тыс.</t>
  </si>
  <si>
    <t xml:space="preserve">Производитель из Испании, что обеспечивает более чистый канал поставки в Россию по сравнению с американскими лазерами.</t>
  </si>
  <si>
    <t xml:space="preserve">Платформа сосудисто-пигментных лазеров</t>
  </si>
  <si>
    <t xml:space="preserve">Многоволновая эстетическая лазерная платформа (KTP+Nd:YAG)</t>
  </si>
  <si>
    <t xml:space="preserve">Cutera Excel V+ / Candela GentleMax Pro</t>
  </si>
  <si>
    <t xml:space="preserve">Сосудистые образования, пигментация, ревитализация кожи.</t>
  </si>
  <si>
    <t xml:space="preserve">Листинги новых Cutera Excel V+ от The Laser Agent 2025; Bimedis ,  диапазон б/у $18 613–49 950.</t>
  </si>
  <si>
    <t xml:space="preserve">Регуляторное замечание: эстетические лазеры из США и Израиля сталкиваются с ограничениями импорта в Россию. Поставка идёт через реэкспорт из Турции/ОАЭ с надбавкой 15–25% и риском отсутствия гарантии.</t>
  </si>
  <si>
    <t xml:space="preserve">C</t>
  </si>
  <si>
    <t xml:space="preserve">Состав тела и функциональная диагностика</t>
  </si>
  <si>
    <t xml:space="preserve">Состав тела ,  воздушная плетизмография</t>
  </si>
  <si>
    <t xml:space="preserve">Воздушный плетизмограф BodPod GS-X</t>
  </si>
  <si>
    <t xml:space="preserve">Cosmed BodPod GS-X</t>
  </si>
  <si>
    <t xml:space="preserve">Эталонный двухкомпонентный анализ состава тела ,  отличие премиального уровня от InBody.</t>
  </si>
  <si>
    <t xml:space="preserve">Дилерские предложения Cosmed; MedicalExpo 2024.</t>
  </si>
  <si>
    <t xml:space="preserve">Используется в Lanserhof и CLP. Тяжёлый аппарат, требует выделенного помещения со стабильной температурой.</t>
  </si>
  <si>
    <t xml:space="preserve">Состав тела ,  биоимпеданс</t>
  </si>
  <si>
    <t xml:space="preserve">Анализатор состава тела медицинского класса (BIA, мультичастотный)</t>
  </si>
  <si>
    <t xml:space="preserve">InBody 970 / Seca mBCA 555 (medical-grade)</t>
  </si>
  <si>
    <t xml:space="preserve">Сегментарный состав тела, ECW/ICW, фазовый угол ,  базовое обследование в программах долголетия.</t>
  </si>
  <si>
    <t xml:space="preserve">Прайс InBody USA 2025 ($32 605); базовая Seca mBCA Pro $9 599; листинг HaB Direct mBCA 555.</t>
  </si>
  <si>
    <t xml:space="preserve">Высокая</t>
  </si>
  <si>
    <t xml:space="preserve">InBody 970 ,  рабочий стандарт; Seca mBCA 555 ,  медицинского класса CE. По России: дистрибьюторы доступны в Москве, санкционных проблем нет.</t>
  </si>
  <si>
    <t xml:space="preserve">Кардиопульмонология</t>
  </si>
  <si>
    <t xml:space="preserve">Метаболическая платформа VO2max / CPET</t>
  </si>
  <si>
    <t xml:space="preserve">Cosmed K5 / Cosmed Quark CPET / MGC Diagnostics</t>
  </si>
  <si>
    <t xml:space="preserve">VO2max и базальный метаболизм ,  ключевые показатели здорового долголетия.</t>
  </si>
  <si>
    <t xml:space="preserve">Дилеры Cosmed 2024; листинги MedicalExpo.</t>
  </si>
  <si>
    <t xml:space="preserve">CPET выполняют и в Lanserhof, и в SHA. В комплекте ,  беговая дорожка либо велоэргометр.</t>
  </si>
  <si>
    <t xml:space="preserve">DEXA-сканер</t>
  </si>
  <si>
    <t xml:space="preserve">DEXA-сканер для анализа состава тела и плотности костной ткани</t>
  </si>
  <si>
    <t xml:space="preserve">Hologic Horizon / GE Lunar iDXA</t>
  </si>
  <si>
    <t xml:space="preserve">Эталон оценки минеральной плотности костей и состава тела.</t>
  </si>
  <si>
    <t xml:space="preserve">Дилерские прайсы Hologic/GE 2024.</t>
  </si>
  <si>
    <t xml:space="preserve">Возможно пересечение с медицинской визуализацией ,  следует контролировать, чтобы позиция учитывалась только один раз.</t>
  </si>
  <si>
    <t xml:space="preserve">Анализ опорной реакции и походки</t>
  </si>
  <si>
    <t xml:space="preserve">Система силовых платформ (двойная, встраиваемая)</t>
  </si>
  <si>
    <t xml:space="preserve">AMTI BMS400600 / Bertec FP4060</t>
  </si>
  <si>
    <t xml:space="preserve">Опорная реакция, баланс, кинетика походки.</t>
  </si>
  <si>
    <t xml:space="preserve">Предложения дилеров AMTI; партнёрские цены Noraxon 2024.</t>
  </si>
  <si>
    <t xml:space="preserve">Пара платформ; для монтажа требуется заглубление в полу. Часто используется в связке с системами Vicon.</t>
  </si>
  <si>
    <t xml:space="preserve">Анализ походки</t>
  </si>
  <si>
    <t xml:space="preserve">Клиническая система 3D-захвата движения (8 камер)</t>
  </si>
  <si>
    <t xml:space="preserve">Vicon Vero/Valkyrie 8-cam + Nexus / Noraxon Ultium</t>
  </si>
  <si>
    <t xml:space="preserve">Маркерный 3D-анализ походки и биомеханики ,  премиальное преимущество клиники.</t>
  </si>
  <si>
    <t xml:space="preserve">Бенчмарк ResearchGate ~150 тыс. фунтов; дилерские котировки Vicon 2024.</t>
  </si>
  <si>
    <t xml:space="preserve">В комплект входят 8 камер Vero, ПО Nexus, калибровка. Опциональный апселл ,  безмаркерная система. По России: экспортный контроль умеренный.</t>
  </si>
  <si>
    <t xml:space="preserve">Оценка силы</t>
  </si>
  <si>
    <t xml:space="preserve">Многосуставной изокинетический динамометр</t>
  </si>
  <si>
    <t xml:space="preserve">Biodex System 4 Pro / Cybex HUMAC NORM</t>
  </si>
  <si>
    <t xml:space="preserve">Объективная оценка силы и баланса, реабилитация после ACL, спортивная медицина.</t>
  </si>
  <si>
    <t xml:space="preserve">Дилерские котировки Biodex; обзоры стоимости реабилитационного оборудования в PMC.</t>
  </si>
  <si>
    <t xml:space="preserve">Необходим для медицинского уровня спортивной реабилитации. Рекомендуется заключить контракт на сервисное обслуживание и калибровку.</t>
  </si>
  <si>
    <t xml:space="preserve">Кардиология и пульмонология</t>
  </si>
  <si>
    <t xml:space="preserve">СМАД</t>
  </si>
  <si>
    <t xml:space="preserve">Суточный монитор артериального давления (24-часовой СМАД)</t>
  </si>
  <si>
    <t xml:space="preserve">Welch Allyn / Hillrom ABPM 7100, SunTech Oscar 2, Schiller BR-102 plus</t>
  </si>
  <si>
    <t xml:space="preserve">Суточное мониторирование АД с оценкой ночного снижения.</t>
  </si>
  <si>
    <t xml:space="preserve">Китай</t>
  </si>
  <si>
    <t xml:space="preserve">Листинги Cardiac Direct ABPM 7100; SunTech Oscar 2 у дилеров за $2,5–3,5 тыс.; прайс Hillrom.</t>
  </si>
  <si>
    <t xml:space="preserve">Несколько регистраторов для параллельного ведения гостей. По России: BPLab (Пётр Телегин, российское производство) ,  отечественный стандарт СМАД, зарегистрирован Минздравом.</t>
  </si>
  <si>
    <t xml:space="preserve">Бодиплетизмография</t>
  </si>
  <si>
    <t xml:space="preserve">Бодиплетизмограф (полная PFT-лаборатория)</t>
  </si>
  <si>
    <t xml:space="preserve">MGC Diagnostics BodyBox PFS, Vyaire MasterScreen Body, Cosmed Q-Box</t>
  </si>
  <si>
    <t xml:space="preserve">Полная диагностика лёгочной функции ,  общая ёмкость, остаточный объём, сопротивление дыхательных путей, DLCO.</t>
  </si>
  <si>
    <t xml:space="preserve">Журнал Respiratory Therapy: плетизмограф от $50 тыс.; коммерческий прайс MGC BodyBox PFS ~$55–70 тыс.</t>
  </si>
  <si>
    <t xml:space="preserve">Опционально для отеля 80–100 номеров: оправдан только на уровне Lanserhof/CLP, на уровне SHA/Chenot допустим аутсорсинг. По России: чаще всего импортируется параллельно из Германии.</t>
  </si>
  <si>
    <t xml:space="preserve">CPET</t>
  </si>
  <si>
    <t xml:space="preserve">Метаболическая платформа CPET / VO2max</t>
  </si>
  <si>
    <t xml:space="preserve">COSMED Quark CPET, Vyaire Vyntus CPX, MGC Diagnostics Ultima CPX</t>
  </si>
  <si>
    <t xml:space="preserve">Кардиопульмональное нагрузочное тестирование; VO2max ,  флагманский биомаркер долголетия.</t>
  </si>
  <si>
    <t xml:space="preserve">Susquemicro / PNOE: полная платформа $40–80 тыс. и выше; восстановленная COSMED Quark CPET на eBay ~$25–40 тыс.</t>
  </si>
  <si>
    <t xml:space="preserve">В комплект входят эргометр или беговая дорожка, калибровочные газы, смесительная камера, ПО. По России: COSMED (Италия) поставляется; имеется отечественная альтернатива Aeromed.</t>
  </si>
  <si>
    <t xml:space="preserve">ЭКГ</t>
  </si>
  <si>
    <t xml:space="preserve">12-канальная ЭКГ покоя</t>
  </si>
  <si>
    <t xml:space="preserve">GE MAC 5500, Philips PageWriter TC70, Schiller CARDIOVIT AT-2</t>
  </si>
  <si>
    <t xml:space="preserve">Стандартная 12-канальная ЭКГ покоя.</t>
  </si>
  <si>
    <t xml:space="preserve">Discount Cardiology Philips PageWriter TC70 ,  $1 100; Cardiology Outlet Schiller AT-1 ,  $1 795; новый GE MAC по прайсу обычно $4 000–6 500.</t>
  </si>
  <si>
    <t xml:space="preserve">Несколько аппаратов для кардиологии, первичного приёма и стресс-станций. По России: широко доступны Aktiv-Med ECG Pro и Schiller (поставки сохранены).</t>
  </si>
  <si>
    <t xml:space="preserve">Парк длительной непрерывной ЭКГ-записи (Zio / KardiaMobile)</t>
  </si>
  <si>
    <t xml:space="preserve">iRhythm Zio XT (subscription), Bardy Diagnostics CAM, AliveCor KardiaMobile 6L</t>
  </si>
  <si>
    <t xml:space="preserve">14-дневная непрерывная пэтч-ЭКГ для расширенного мониторинга аритмий.</t>
  </si>
  <si>
    <t xml:space="preserve">Сингапур</t>
  </si>
  <si>
    <t xml:space="preserve">iRhythm Zio XT ,  подписочная модель, ~$300–500 за исследование; AliveCor KardiaMobile 6L ,  $149 за устройство плюс сервис.</t>
  </si>
  <si>
    <t xml:space="preserve">Pass-through: расходник/SaaS, без капитальных затрат, оплата за исследование. По России: Zio XT недоступен; KardiaMobile поставляется параллельным импортом.</t>
  </si>
  <si>
    <t xml:space="preserve">Холтер</t>
  </si>
  <si>
    <t xml:space="preserve">Холтер ЭКГ 24–48 часов с аналитической станцией</t>
  </si>
  <si>
    <t xml:space="preserve">GE SEER 1000, Schiller medilog AR, Philips DigiTrak XT</t>
  </si>
  <si>
    <t xml:space="preserve">Амбулаторное мониторирование ЭКГ 24–72 часа для выявления аритмий.</t>
  </si>
  <si>
    <t xml:space="preserve">Листинги Cardiac Direct; восстановленные GE SEER 1000 на DotMed по $2–4 тыс. за регистратор; полная новая система с рабочей станцией €10–15 тыс.</t>
  </si>
  <si>
    <t xml:space="preserve">Цена учитывает 3 регистратора и 1 рабочую станцию анализа. По России: домашний стандарт ,  Aktiv-Med Holter Pro.</t>
  </si>
  <si>
    <t xml:space="preserve">Реанимационное оснащение</t>
  </si>
  <si>
    <t xml:space="preserve">Реанимационная тележка с дефибриллятором, AED и монитором</t>
  </si>
  <si>
    <t xml:space="preserve">Philips HeartStart MRx, ZOLL X Series, Mindray BeneHeart D6</t>
  </si>
  <si>
    <t xml:space="preserve">Реагирование на критические ситуации: дефибриллятор, монитор, тележка с препаратами для безопасности клиники.</t>
  </si>
  <si>
    <t xml:space="preserve">Philips MRx / ZOLL X Series ,  комплект «дефибриллятор-монитор» €18–30 тыс.; AED ~€1,5–3 тыс.; коммерческие прайсы на полные реанимационные комплекты.</t>
  </si>
  <si>
    <t xml:space="preserve">Две единицы (клиника плюс SPA-зона). Обязательное регуляторное требование. По России: широко доступны Mindray и отечественные дефибрилляторы (Aksion).</t>
  </si>
  <si>
    <t xml:space="preserve">Спирометрия</t>
  </si>
  <si>
    <t xml:space="preserve">Спирометр с функцией PFT</t>
  </si>
  <si>
    <t xml:space="preserve">ndd EasyOne Pro, Vyaire MasterScreen PFT, MGC Diagnostics CPFS/D</t>
  </si>
  <si>
    <t xml:space="preserve">Спирометрия, FEV1/FVC, MVV, исследование функции лёгких при executive-скрининге.</t>
  </si>
  <si>
    <t xml:space="preserve">Прайс ndd Medical / MGC Diagnostics; обзор продуктов в Respiratory Therapy 2024.</t>
  </si>
  <si>
    <t xml:space="preserve">Часто интегрируется в систему CPET во избежание дублирования. По России: Schiller Spirovit-AT и MIR Spirobank продолжают импортироваться.</t>
  </si>
  <si>
    <t xml:space="preserve">Стресс-тестирование</t>
  </si>
  <si>
    <t xml:space="preserve">Стресс-ЭКГ с беговой дорожкой (полная система)</t>
  </si>
  <si>
    <t xml:space="preserve">GE CASE V6.7 + T2100-ST treadmill, Schiller CARDIOVIT CS-200 Excellence + Trackmaster</t>
  </si>
  <si>
    <t xml:space="preserve">Нагрузочная ЭКГ на дорожке, протокол Брюса, выявление ишемии.</t>
  </si>
  <si>
    <t xml:space="preserve">MFI Medical Schiller CS-200 Excellence ,  $25 950; AIM Cardio CardioStress + GE ,  комплект от $8 995 (восстановленный); новая система €25–35 тыс.</t>
  </si>
  <si>
    <t xml:space="preserve">Часто совмещается со станцией CPET. По России: Schiller CS-200 поставляется через российских партнёров (Schiller ,  швейцарская компания, не в санкционных списках ЕС); отечественная альтернатива ,  Aktiv-Med Cardio.</t>
  </si>
  <si>
    <t xml:space="preserve">Эргометр для стресс-эхокардиографии (горизонтальный велотренажёр)</t>
  </si>
  <si>
    <t xml:space="preserve">Lode Angio Stress, ergoselect 1200 EL, GE eBike</t>
  </si>
  <si>
    <t xml:space="preserve">Горизонтальный велоэргометр для стресс-эхо и фармакологического стресс-теста.</t>
  </si>
  <si>
    <t xml:space="preserve">Прайс Lode (Нидерланды) и Ergoline на горизонтальный велоэргометр €18–25 тыс.; коммерческие дилеры кардиологического оборудования.</t>
  </si>
  <si>
    <t xml:space="preserve">Опционально, только при наличии стресс-эхо. По России: Lode и Ergoline ввозятся через Турцию и ОАЭ.</t>
  </si>
  <si>
    <t xml:space="preserve">Сосудистая диагностика</t>
  </si>
  <si>
    <t xml:space="preserve">Анализ пульсовой волны / артериальная жёсткость</t>
  </si>
  <si>
    <t xml:space="preserve">AtCor SphygmoCor XCEL, IEM Mobil-O-Graph PWA, Hypertension Diagnostics CR-2000</t>
  </si>
  <si>
    <t xml:space="preserve">Центральное аортальное давление, индекс аугментации, скорость пульсовой волны (сосудистый возраст).</t>
  </si>
  <si>
    <t xml:space="preserve">AtCor SphygmoCor ,  коммерческий прайс ~$15–25 тыс.; IEM Mobil-O-Graph у дилеров €8–12 тыс.; полный комплект XCEL отраслевого уровня ,  €15–22 тыс.</t>
  </si>
  <si>
    <t xml:space="preserve">Сосудистый возраст ,  флагманский биомаркер долголетия (используется в Lanserhof и Buchinger). По России: IEM (Германия) поставляется; BPLab-Vasotens ,  отечественная альтернатива по более низкой цене.</t>
  </si>
  <si>
    <t xml:space="preserve">Витальные показатели</t>
  </si>
  <si>
    <t xml:space="preserve">Многопараметрический монитор витальных показателей</t>
  </si>
  <si>
    <t xml:space="preserve">Mindray ePM 12M, Philips IntelliVue MX450, GE B105M</t>
  </si>
  <si>
    <t xml:space="preserve">Многопараметрический монитор для IV-зоны, восстановления и наблюдения за сном.</t>
  </si>
  <si>
    <t xml:space="preserve">Mindray ePM12M у дилеров $4–6 тыс.; Philips MX450 ,  €7–9 тыс.; восстановленные на 50% дешевле.</t>
  </si>
  <si>
    <t xml:space="preserve">По России: доминирует Mindray; используются также отечественные Triton и Aktiv-Med ECG.</t>
  </si>
  <si>
    <t xml:space="preserve">Инфраструктура</t>
  </si>
  <si>
    <t xml:space="preserve">Криотерапия и термальные зоны</t>
  </si>
  <si>
    <t xml:space="preserve">Финская сауна</t>
  </si>
  <si>
    <t xml:space="preserve">Премиальная финская сауна (коммерческая, на 8–12 человек, Klafs/Tylo)</t>
  </si>
  <si>
    <t xml:space="preserve">Klafs Premium / Tylo Sense / Helo</t>
  </si>
  <si>
    <t xml:space="preserve">Традиционная финская сауна ,  основа термальной программы.</t>
  </si>
  <si>
    <t xml:space="preserve">Каталог Klafs Premium; коммерческие цены на печи Tylo Sense 2024.</t>
  </si>
  <si>
    <t xml:space="preserve">Сауны под санкции не подпадают. У Klafs есть авторизованные дилеры в России.</t>
  </si>
  <si>
    <t xml:space="preserve">Гипербарическая оксигенация</t>
  </si>
  <si>
    <t xml:space="preserve">Гипербарическая кислородная камера (мягкая, 1,3–2,0 ATA)</t>
  </si>
  <si>
    <t xml:space="preserve">OxyHealth Vitaeris / Solace 210</t>
  </si>
  <si>
    <t xml:space="preserve">Мягкая гипербарическая оксигенация для восстановления и долголетия.</t>
  </si>
  <si>
    <t xml:space="preserve">Дилеры OxyHealth 2024; листинги Solace.</t>
  </si>
  <si>
    <t xml:space="preserve">Мягкокорпусная HBOT. Жёсткие медицинские камеры (3+ ATA) дороже в 5–10 раз.</t>
  </si>
  <si>
    <t xml:space="preserve">Гормезис, Снижение воспаления</t>
  </si>
  <si>
    <t xml:space="preserve">Купель / холодный бассейн</t>
  </si>
  <si>
    <t xml:space="preserve">Холодная купель (4–10 °C, 2–3 человека)</t>
  </si>
  <si>
    <t xml:space="preserve">Klafs Cool Pool / Plunge / custom stainless</t>
  </si>
  <si>
    <t xml:space="preserve">Контрастная терапия после сауны или бани ,  необходимая смежная зона.</t>
  </si>
  <si>
    <t xml:space="preserve">Дилеры Klafs/Plunge 2024.</t>
  </si>
  <si>
    <t xml:space="preserve">В состав входят чиллер и фильтрация. Бетонная чаша/корпус не учтены.</t>
  </si>
  <si>
    <t xml:space="preserve">Гормезис, Активация AMPK, Митохондриальная функция</t>
  </si>
  <si>
    <t xml:space="preserve">Да</t>
  </si>
  <si>
    <t xml:space="preserve">Инфракрасная сауна</t>
  </si>
  <si>
    <t xml:space="preserve">Премиальная ИК-сауна (полный спектр, 3–4 человека)</t>
  </si>
  <si>
    <t xml:space="preserve">Sunlighten mPulse Conquer / Klafs InfraPLUS</t>
  </si>
  <si>
    <t xml:space="preserve">Детоксикация и поддержка сердечно-сосудистой системы ,  необременительная фирменная процедура.</t>
  </si>
  <si>
    <t xml:space="preserve">Прайс Sunlighten Conquer 2026 ,  $12 099–16 199; каталог Klafs.</t>
  </si>
  <si>
    <t xml:space="preserve">Sunlighten базируется в США, возможны сложности с ввозом. Для России предпочтительнее Klafs (Германия).</t>
  </si>
  <si>
    <t xml:space="preserve">Локальная криотерапия</t>
  </si>
  <si>
    <t xml:space="preserve">Аппарат локальной криотерапии (холодный воздух -30 °C)</t>
  </si>
  <si>
    <t xml:space="preserve">Cryomed Pro / Zimmer Cryo 6</t>
  </si>
  <si>
    <t xml:space="preserve">Точечная криотерапия для лица и суставов ,  эстетика и реабилитация.</t>
  </si>
  <si>
    <t xml:space="preserve">Дилерские предложения Zimmer MedizinSysteme; каталог Cryomed.</t>
  </si>
  <si>
    <t xml:space="preserve">Производство в Германии ,  чистый канал поставки в Россию.</t>
  </si>
  <si>
    <t xml:space="preserve">Русская баня ,  парная</t>
  </si>
  <si>
    <t xml:space="preserve">Премиальная русская парная (на дровах, сруб, под ключ)</t>
  </si>
  <si>
    <t xml:space="preserve">SEVERNO Valgar / Hamam-Elit / regional Ural artisans / Klafs Banya line</t>
  </si>
  <si>
    <t xml:space="preserve">Русская дровяная парная (60–90 °C, периодические поддачи и веники) ,  культурный якорь.</t>
  </si>
  <si>
    <t xml:space="preserve">Премиальные модульные комплекты SEVERNO 4,3–7,98 млн ₽ (Valgar/Valkeda/Andoma); 95c.ru ,  варианты «под ключ» от 400 тыс. ₽; типовые проекты Hamam-m от 290 тыс. ₽.</t>
  </si>
  <si>
    <t xml:space="preserve">Российская закупка крайне желательна ,  культурная аутентичность и отсутствие логистических затрат. Премиальная спецификация: обшивка кедром или липой, камни жадеит/талькомагнезит, печь премиум-класса (Тунгуска, Купель, Tylo Sense), ручная работа. В штат закладывается банщик. Сысертский регион сохраняет сильную банную традицию.</t>
  </si>
  <si>
    <t xml:space="preserve">Русская баня ,  вторая</t>
  </si>
  <si>
    <t xml:space="preserve">Второй парной зал (белая баня) для увеличения пропускной способности</t>
  </si>
  <si>
    <t xml:space="preserve">SEVERNO / regional Russian builders</t>
  </si>
  <si>
    <t xml:space="preserve">Дополнительная парная для обеспечения ёмкости и приватных групповых посещений.</t>
  </si>
  <si>
    <t xml:space="preserve">SEVERNO Andoma ,  4,3 млн ₽; региональные уральские мастера.</t>
  </si>
  <si>
    <t xml:space="preserve">Для отеля 80–100 номеров рекомендуется иметь не менее двух одновременно работающих парных.</t>
  </si>
  <si>
    <t xml:space="preserve">Русская баня ,  по-чёрному</t>
  </si>
  <si>
    <t xml:space="preserve">Чёрная баня (по-чёрному, традиционная курная)</t>
  </si>
  <si>
    <t xml:space="preserve">Custom artisan build (regional Ural specialists)</t>
  </si>
  <si>
    <t xml:space="preserve">Аутентичная баня по-чёрному ,  редкий премиальный опыт.</t>
  </si>
  <si>
    <t xml:space="preserve">Оценки артельных мастеров (95c.ru, propar.club, региональные уральские строители).</t>
  </si>
  <si>
    <t xml:space="preserve">Подлинная курная баня: дым выходит непосредственно в парилку, стены естественно покрываются дёгтем (антибактериальный эффект). Сысертский и уральский регионы ,  премиальный отличительный признак. Топка занимает 4–6 часов. Локальная закупка обязательна.</t>
  </si>
  <si>
    <t xml:space="preserve">Снежная комната</t>
  </si>
  <si>
    <t xml:space="preserve">Снежная комната (настоящий снежный душ, -10 °C)</t>
  </si>
  <si>
    <t xml:space="preserve">TechnoAlpin SnowRoom / Klafs Iceland</t>
  </si>
  <si>
    <t xml:space="preserve">Премиальный термоконтрастный опыт ,  фирменная фишка Lanserhof.</t>
  </si>
  <si>
    <t xml:space="preserve">Каталог TechnoAlpin/Klafs 2024.</t>
  </si>
  <si>
    <t xml:space="preserve">Премиальный фирменный элемент. Производство Италии и Германии ,  чистый канал в Россию.</t>
  </si>
  <si>
    <t xml:space="preserve">Криотерапия всего тела</t>
  </si>
  <si>
    <t xml:space="preserve">Камера криотерапии всего тела (электрическая, -85… -110 °C)</t>
  </si>
  <si>
    <t xml:space="preserve">Mecotec Cryo:One / Cryomed Pro / CRYO Arctic</t>
  </si>
  <si>
    <t xml:space="preserve">Восстановление и противовоспалительный эффект ,  флагман среди процедур восстановления.</t>
  </si>
  <si>
    <t xml:space="preserve">Дилерские диапазоны Mecotec 2024; прайс CRYO Arctic; отчёт Global Wellness Institute.</t>
  </si>
  <si>
    <t xml:space="preserve">Трёхфазное питание, выделенное помещение ~25 кв. м. Российская альтернатива: Криомед/Krion с ценой ~12–18 млн ₽.</t>
  </si>
  <si>
    <t xml:space="preserve">Лучевая диагностика</t>
  </si>
  <si>
    <t xml:space="preserve">Дополнительная визуализация</t>
  </si>
  <si>
    <t xml:space="preserve">ОКТ сетчатки и фундус-камера (сосудистый биомаркер долголетия)</t>
  </si>
  <si>
    <t xml:space="preserve">Topcon Maestro2, Optos Daytona, Heidelberg Spectralis OCT</t>
  </si>
  <si>
    <t xml:space="preserve">Оптическая когерентная томография и фотография глазного дна ,  оценка ретинальных сосудов как суррогата сердечно-сосудистого риска.</t>
  </si>
  <si>
    <t xml:space="preserve">Дилерские цены Topcon, Heidelberg, Optos; премиальные ОКТ-системы €60–90 тыс. за новые.</t>
  </si>
  <si>
    <t xml:space="preserve">Всё чаще включается в расширенную панель долголетия. По России: Topcon (Япония) поставляется; Heidelberg ,  параллельным импортом.</t>
  </si>
  <si>
    <t xml:space="preserve">Сканер дерматоскопии с ИИ (картирование родинок всего тела)</t>
  </si>
  <si>
    <t xml:space="preserve">FotoFinder bodystudio ATBM, Canfield VECTRA WB180, DermaGraphix</t>
  </si>
  <si>
    <t xml:space="preserve">Тотальная фотография тела для скрининга меланомы ,  ожидание премиального гостя.</t>
  </si>
  <si>
    <t xml:space="preserve">FotoFinder/Canfield ,  коммерческие прайсы €75–130 тыс. за полную систему с ПО на базе ИИ.</t>
  </si>
  <si>
    <t xml:space="preserve">Низкая</t>
  </si>
  <si>
    <t xml:space="preserve">Оценочная стоимость, поставщики не публикуют цены публично. ИИ-компоненты подпадают под экспортный контроль ЕС в отношении России (медицинское ML-ПО). Российских аналогов почти нет.</t>
  </si>
  <si>
    <t xml:space="preserve">КТ</t>
  </si>
  <si>
    <t xml:space="preserve">КТ-сканер 128–256 срезов (премиальный, с протоколом низкодозного скрининга лёгких)</t>
  </si>
  <si>
    <t xml:space="preserve">Siemens SOMATOM go.Top / X.cite, GE Revolution Apex / EVO, Philips Incisive CT 128</t>
  </si>
  <si>
    <t xml:space="preserve">Кардио-КТ, оценка коронарного кальция, низкодозный скрининг рака лёгких, онкостадирование, виртуальная колоноскопия.</t>
  </si>
  <si>
    <t xml:space="preserve">Medical Imaging Source ,  гид по ценам ($175–325 тыс. за класс 128–256 срезов; новые премиальные $700 тыс. – 1,2 млн); LBN Medical; диапазоны Siemens; восстановленный 128-срезовый €120–180 тыс.</t>
  </si>
  <si>
    <t xml:space="preserve">Включает протокол низкодозной КТ грудной клетки (отдельный аппарат для скрининга лёгких не нужен). Помещение со свинцовой защитой обязательно. По России: высокосрезовые КТ западных производителей подпадают под экспортный контроль ЕС/США; параллельный импорт и китайские альтернативы (United Imaging uCT 760, Neusoft NeuViz) применяются всё чаще.</t>
  </si>
  <si>
    <t xml:space="preserve">Митохондриальная функция, Очищение от стареющих клеток, Гормезис</t>
  </si>
  <si>
    <t xml:space="preserve">Кардиология</t>
  </si>
  <si>
    <t xml:space="preserve">Подсчёт коронарного кальция (использует КТ ,  программный модуль)</t>
  </si>
  <si>
    <t xml:space="preserve">Siemens syngo.via CaScoring, GE SmartScore, Philips IntelliSpace</t>
  </si>
  <si>
    <t xml:space="preserve">ИИ-обработка для подсчёта коронарного кальция ,  Agatston score.</t>
  </si>
  <si>
    <t xml:space="preserve">Siemens syngo.via, GE и Philips ,  модули €30–60 тыс., часто в составе пакета; KLAS imaging IT 2024.</t>
  </si>
  <si>
    <t xml:space="preserve">Оценочная стоимость: ПО-надстройка к КТ, обычно идёт в комплекте. ИИ-диагностические платформы попадают под экспортный контроль ЕС/США в отношении России (двойное назначение).</t>
  </si>
  <si>
    <t xml:space="preserve">DEXA</t>
  </si>
  <si>
    <t xml:space="preserve">DEXA денситометр с анализом состава тела (whole-body)</t>
  </si>
  <si>
    <t xml:space="preserve">Hologic Horizon A, GE Lunar iDXA, GE Lunar Prodigy</t>
  </si>
  <si>
    <t xml:space="preserve">Минеральная плотность костей, оценка саркопении, висцеральный жир и состав тела ,  ключевой биомаркер долголетия.</t>
  </si>
  <si>
    <t xml:space="preserve">Block Imaging ,  гид по ценам DEXA 2025 ($16–45 тыс. за восстановленные старые модели; новые Hologic Horizon A и GE iDXA ,  $90–130 тыс.); прайс Hologic; данные Kwipped по аренде.</t>
  </si>
  <si>
    <t xml:space="preserve">iDXA ,  золотой стандарт количественной оценки висцерального жира и тощей массы. По России: ограничений меньше (низкая чувствительность по технологиям); локальные дистрибьюторы Aktiv-Med и Ostex продолжают работу.</t>
  </si>
  <si>
    <t xml:space="preserve">ИТ-визуализация</t>
  </si>
  <si>
    <t xml:space="preserve">Система PACS / RIS</t>
  </si>
  <si>
    <t xml:space="preserve">Sectra PACS, Agfa Enterprise Imaging, Visus JiveX</t>
  </si>
  <si>
    <t xml:space="preserve">Хранение, просмотр и протоколирование изображений ,  корпоративный архив для всех модальностей.</t>
  </si>
  <si>
    <t xml:space="preserve">Отчёты KLAS по рынку PACS; типовые внедрения Sectra/Agfa в небольших клиниках €70–150 тыс. с системой хранения; данные HIMSS Analytics.</t>
  </si>
  <si>
    <t xml:space="preserve">Обязательно при наличии МРТ/КТ/эхо/DEXA на месте. По России: представлены отечественные PACS (RuPACS, Inobitek); западные сталкиваются с ограничениями по облаку и локализации данных.</t>
  </si>
  <si>
    <t xml:space="preserve">МРТ</t>
  </si>
  <si>
    <t xml:space="preserve">МРТ 1,5 Тл (рабочая лошадка ,  класс Magnetom Sola / Ingenia Ambition)</t>
  </si>
  <si>
    <t xml:space="preserve">Siemens Magnetom Sola, Philips Ingenia Ambition 1.5T, GE SIGNA Voyager</t>
  </si>
  <si>
    <t xml:space="preserve">Базовая визуализация для повседневной диагностики, опорно-двигательного аппарата, абдоминальной и сосудистой областей. Бюджетная альтернатива или дополнение к 3 Тл.</t>
  </si>
  <si>
    <t xml:space="preserve">Block Imaging ,  гид по 1,5 Тл 2025 ($150–500 тыс. восстановленные, $1–3 млн новые по Grandview); листинги Atlantis Worldwide GE 1,5 Тл Excite HD; Medical Imaging Source 2025.</t>
  </si>
  <si>
    <t xml:space="preserve">Восстановленные 1,5 Тл доступны за €200–450 тыс. (~50% экономии). Многие резорты долголетия (например, SHA, Chenot) ограничиваются 1,5 Тл и аутсорсят 3 Тл. По России: параллельный импорт с надбавкой, аналогичной 3 Тл, но действующий парк старых 1,5 Тл велик; альтернатива ,  United Imaging uMR 588 примерно на 30% дешевле.</t>
  </si>
  <si>
    <t xml:space="preserve">МРТ 3 Тл (премиальный класс ,  Magnetom Vida / Ingenia Elition / SIGNA Premier)</t>
  </si>
  <si>
    <t xml:space="preserve">Siemens Magnetom Vida, Philips Ingenia Elition 3.0T S, GE SIGNA Premier / Architect</t>
  </si>
  <si>
    <t xml:space="preserve">Премиальная визуализация всего тела: неврологический базис, онкоскрининг, опорно-двигательный аппарат, расширенная кардио-МРТ. Ядро executive-диагностики уровня Lanserhof/CLP.</t>
  </si>
  <si>
    <t xml:space="preserve">Block Imaging ,  гид по МРТ 2026; Medical Imaging Source 2025; Philips Ingenia Elition 3.0T S ,  восстановленный ~$650 тыс.; GE Signa Architect ,  восстановленный ~$1,1 млн; новые премиальные 3 Тл $1,8–3 млн. Цены ЕС обычно на 10–15% ниже американских.</t>
  </si>
  <si>
    <t xml:space="preserve">Требуется радиочастотно-экранированный кабинет (стоимость монтажа €150–250 тыс.), периодическая дозаправка гелия, выделенный рентгенолаборант и врач-рентгенолог. По России: продвинутые системы 3 Тл от GE/Siemens/Philips подпадают под санкции (EU 833/2014, двойное назначение); параллельный импорт через Турцию, ОАЭ или Казахстан увеличивает стоимость на 25–40% и сопровождается потерей сервисного контракта производителя. Российские покупатели всё чаще переходят на United Imaging (Китай) и Neusoft с экономией 30–40%.</t>
  </si>
  <si>
    <t xml:space="preserve">Маммография</t>
  </si>
  <si>
    <t xml:space="preserve">Цифровая маммография</t>
  </si>
  <si>
    <t xml:space="preserve">Hologic Selenia Dimensions 3D, GE Senographe Pristina, Siemens Mammomat Revelation</t>
  </si>
  <si>
    <t xml:space="preserve">Маммография 2D/3D (томосинтез) ,  скрининг рака молочной железы (executive-обследование).</t>
  </si>
  <si>
    <t xml:space="preserve">Цены Block Imaging; Hologic Selenia 3D ,  новый ~$260–350 тыс.</t>
  </si>
  <si>
    <t xml:space="preserve">Опционально: при объёме менее 1000 исследований в год можно аутсорсить. Обязательно для полного executive-скрининга женщин уровня Lanserhof. По России: Hologic ограничен санкциями; жизнеспособны United Imaging uMammo и MTL (Россия).</t>
  </si>
  <si>
    <t xml:space="preserve">Ультразвук</t>
  </si>
  <si>
    <t xml:space="preserve">Универсальный абдоминальный/сосудистый УЗИ-сканер (премиум)</t>
  </si>
  <si>
    <t xml:space="preserve">Philips EPIQ Elite, GE LOGIQ E10, Mindray Resona R9</t>
  </si>
  <si>
    <t xml:space="preserve">Сканирование органов брюшной полости, сосудистый допплер (сонные и периферические сосуды), щитовидная железа, молочные железы.</t>
  </si>
  <si>
    <t xml:space="preserve">Premium-ультразвук Probo Medical; ITN Online; обзоры Mindray Resona I9T/R9 в диапазоне $60–90 тыс.</t>
  </si>
  <si>
    <t xml:space="preserve">По России: Mindray широко доступен и не затронут санкциями ,  экономия 30–40% по сравнению с западными производителями. Многие российские клиники с 2023 года стандартизуют новые проекты на Mindray.</t>
  </si>
  <si>
    <t xml:space="preserve">Портативный УЗИ для опорно-двигательного аппарата (POC)</t>
  </si>
  <si>
    <t xml:space="preserve">Mindray MX8 MSK / ME8, GE LOGIQ V2, Philips Lumify</t>
  </si>
  <si>
    <t xml:space="preserve">Визуализация суставов, сухожилий и мягких тканей; контроль инъекций для ортопедии и реабилитации.</t>
  </si>
  <si>
    <t xml:space="preserve">Ultrasound Portables / National Ultrasound ,  листинги Mindray ME8; гид Probo Medical по MSK-ультразвуку.</t>
  </si>
  <si>
    <t xml:space="preserve">Используется командами физиотерапии и спортивной медицины. По России: цепочка поставок Mindray не нарушена.</t>
  </si>
  <si>
    <t xml:space="preserve">Премиальный кардиологический УЗИ (эхокардиография)</t>
  </si>
  <si>
    <t xml:space="preserve">GE Vivid E95 / E80, Philips EPIQ CVx, Siemens ACUSON SC2000</t>
  </si>
  <si>
    <t xml:space="preserve">Расширенная эхокардиография ,  4D, strain-визуализация, контрастное эхо. Базовое предложение кардиологии.</t>
  </si>
  <si>
    <t xml:space="preserve">Probo Medical ,  гид покупателя (премиум-кардио $50–100 тыс. восстановленные, $130–200 тыс. новые); ITN Online; листинги EPIQ CVx у Vomark и Soma Tech.</t>
  </si>
  <si>
    <t xml:space="preserve">По России: премиальные эхо GE/Philips ограничены санкциями; Mindray Resona 7/R9 (Китай) широко используется как премиальная альтернатива на 40% дешевле. Mindray активно представлен на российском рынке после 2022 года.</t>
  </si>
  <si>
    <t xml:space="preserve">Рентген</t>
  </si>
  <si>
    <t xml:space="preserve">Цифровой рентген-кабинет (DR)</t>
  </si>
  <si>
    <t xml:space="preserve">Siemens Multix Impact, GE Discovery XR656, Philips DigitalDiagnost C90</t>
  </si>
  <si>
    <t xml:space="preserve">Рентгенография общего профиля ,  органы грудной клетки, опорно-двигательный аппарат, неотложная визуализация.</t>
  </si>
  <si>
    <t xml:space="preserve">Block Imaging ,  DR-кабинет $80–180 тыс. за новый; Siemens/Philips/GE DR в коммерческом диапазоне €100–180 тыс.</t>
  </si>
  <si>
    <t xml:space="preserve">Включает детектор, трубку и рабочую станцию (свинцовое экранирование помещения добавляет €40–60 тыс.). По России: домашняя «Электрон Рентген-Оптика» широко используется и обходится примерно вдвое дешевле.</t>
  </si>
  <si>
    <t xml:space="preserve">Тренажёрный зал и силовая зона</t>
  </si>
  <si>
    <t xml:space="preserve">Кардио-линейка</t>
  </si>
  <si>
    <t xml:space="preserve">Премиальная кардио-линейка (8 единиц: дорожки, велотренажёры, эллипсы)</t>
  </si>
  <si>
    <t xml:space="preserve">Technogym Excite Live / Artis cardio</t>
  </si>
  <si>
    <t xml:space="preserve">Кардиозона: 4 беговых дорожки, 2 велотренажёра, 2 эллипса.</t>
  </si>
  <si>
    <t xml:space="preserve">Trade-цены Technogym Excite Live 2024.</t>
  </si>
  <si>
    <t xml:space="preserve">Восемь единиц ,  типовая комплектация для отеля 80–100 номеров. Средняя цена премиума $13–16 тыс. за единицу.</t>
  </si>
  <si>
    <t xml:space="preserve">Свободные веса</t>
  </si>
  <si>
    <t xml:space="preserve">Набор свободных весов (Eleiko, премиальные гантели, штанги, диски)</t>
  </si>
  <si>
    <t xml:space="preserve">Eleiko IPF Powerlifting Set + dumbbells 2.5-50kg</t>
  </si>
  <si>
    <t xml:space="preserve">Зона свободных весов.</t>
  </si>
  <si>
    <t xml:space="preserve">Eleiko IPF Powerlifting Set ~€6–7 тыс.; Oprema.fit, помосты Eleiko €2 359–6 534.</t>
  </si>
  <si>
    <t xml:space="preserve">Швеция, Eleiko ,  чистый канал поставки в Россию. В комплект входят полный набор гантелей, стойки и диски.</t>
  </si>
  <si>
    <t xml:space="preserve">Функциональный/кроссоверы</t>
  </si>
  <si>
    <t xml:space="preserve">Функциональная рама с кроссоверами</t>
  </si>
  <si>
    <t xml:space="preserve">Technogym Kinesis Personal / Escape Octagon / Rogue Monster</t>
  </si>
  <si>
    <t xml:space="preserve">Зона функционального тренинга.</t>
  </si>
  <si>
    <t xml:space="preserve">Technogym Kinesis Personal $20–30 тыс.; Escape Octagon $25–40 тыс. (2024).</t>
  </si>
  <si>
    <t xml:space="preserve">В состав входят два Kinesis Personal, силовая рама и навесные элементы.</t>
  </si>
  <si>
    <t xml:space="preserve">Тяжелоатлетические помосты</t>
  </si>
  <si>
    <t xml:space="preserve">Тяжелоатлетические помосты Eleiko (премиум, 4 станции)</t>
  </si>
  <si>
    <t xml:space="preserve">Eleiko SVR Sound Reduction / IPF Platform</t>
  </si>
  <si>
    <t xml:space="preserve">Зона тяжёлой атлетики и пауэрлифтинга.</t>
  </si>
  <si>
    <t xml:space="preserve">Eleiko SVR Platform; Oprema.fit €2 359–6 534.</t>
  </si>
  <si>
    <t xml:space="preserve">Комплект из четырёх помостов SVR.</t>
  </si>
  <si>
    <t xml:space="preserve">Гостевой опыт</t>
  </si>
  <si>
    <t xml:space="preserve">Линейка селекторных тренажёров</t>
  </si>
  <si>
    <t xml:space="preserve">Премиальная селекторная линейка (15 позиций)</t>
  </si>
  <si>
    <t xml:space="preserve">Technogym Artis Strength / Selection / Matrix Ultra</t>
  </si>
  <si>
    <t xml:space="preserve">Базовые силовые станции на блоках.</t>
  </si>
  <si>
    <t xml:space="preserve">Trade-цены Technogym Artis (~$12–14 тыс. за единицу в среднем); каталог Matrix Ultra.</t>
  </si>
  <si>
    <t xml:space="preserve">Производитель ,  Италия. По России: до 2022 года у Technogym был российский дилер; сейчас ,  параллельный импорт с надбавкой 15–25%.</t>
  </si>
  <si>
    <t xml:space="preserve">Студия групповых занятий</t>
  </si>
  <si>
    <t xml:space="preserve">Комплектация студии (зеркала, велотренажёры, маты, аудио)</t>
  </si>
  <si>
    <t xml:space="preserve">Technogym Group Cycle / Keiser M3i + sound + mirrors</t>
  </si>
  <si>
    <t xml:space="preserve">Групповые занятия (йога, сайклинг, HIIT).</t>
  </si>
  <si>
    <t xml:space="preserve">Дилерские диапазоны Technogym/Keiser 2024.</t>
  </si>
  <si>
    <t xml:space="preserve">20 велотренажёров, аудиосистема, зеркала и напольное покрытие.</t>
  </si>
  <si>
    <t xml:space="preserve">Гидротерапия и SPA</t>
  </si>
  <si>
    <t xml:space="preserve">Душ-впечатления</t>
  </si>
  <si>
    <t xml:space="preserve">Комплект сенсорного душа (дождь/туман/холод/аромат)</t>
  </si>
  <si>
    <t xml:space="preserve">Dornbracht Sensory Sky / Klafs / Effegibi</t>
  </si>
  <si>
    <t xml:space="preserve">Сенсорные переходы во влажной зоне.</t>
  </si>
  <si>
    <t xml:space="preserve">Розничные цены Dornbracht Sensory Sky; каталог Klafs 2024.</t>
  </si>
  <si>
    <t xml:space="preserve">Включает оборудование и систему управления; черновая сантехника не входит.</t>
  </si>
  <si>
    <t xml:space="preserve">Гостевой опыт, Снижение воспаления</t>
  </si>
  <si>
    <t xml:space="preserve">Флоатинг / сенсорная депривация</t>
  </si>
  <si>
    <t xml:space="preserve">Флоат-капсула / танк (коммерческого класса)</t>
  </si>
  <si>
    <t xml:space="preserve">Floatworks i-sopod / Dreampod / Superior Float Tanks</t>
  </si>
  <si>
    <t xml:space="preserve">Сенсорная депривация ,  программа восстановления и долголетия.</t>
  </si>
  <si>
    <t xml:space="preserve">i-sopod £20 460 (~$27 тыс.) ,  Floatworks 2024; листинги Dreampod.</t>
  </si>
  <si>
    <t xml:space="preserve">Не входит подготовка помещения (акустика и влагозащита) ,  дополнительно $15–25 тыс. Первичная заправка сульфатом магния ,  около $3–4 тыс.</t>
  </si>
  <si>
    <t xml:space="preserve">Хаммам</t>
  </si>
  <si>
    <t xml:space="preserve">Хаммам (паровая, премиальная плитка/мрамор, под ключ)</t>
  </si>
  <si>
    <t xml:space="preserve">Starpool Soul / Klafs / Effegibi Topkapi</t>
  </si>
  <si>
    <t xml:space="preserve">Традиционный турецкий хаммам ,  фирменная влажная зона.</t>
  </si>
  <si>
    <t xml:space="preserve">Дилерские диапазоны Starpool/Effegibi (Италия); SPA-бенчмарки financialmodelslab.</t>
  </si>
  <si>
    <t xml:space="preserve">В комплект входят подогреваемая лежанка, парогенератор, мраморная облицовка, освещение. Корпус помещения не входит.</t>
  </si>
  <si>
    <t xml:space="preserve">Кнайпп</t>
  </si>
  <si>
    <t xml:space="preserve">Кнайпп-дорожка (тёплые и холодные ванночки для ног)</t>
  </si>
  <si>
    <t xml:space="preserve">Custom build, Klafs/Hoesch fittings</t>
  </si>
  <si>
    <t xml:space="preserve">Тренировка сосудов ,  фирменный элемент Lanserhof и CLP.</t>
  </si>
  <si>
    <t xml:space="preserve">Каталог Klafs/Hoesch Kneipp; референсы Lanserhof.</t>
  </si>
  <si>
    <t xml:space="preserve">Преимущественно строительные работы и фитинги. Себестоимость сильно зависит от исполнения коробки. Цена отражает только арматуру и насосы.</t>
  </si>
  <si>
    <t xml:space="preserve">Митохондриальная функция, Снижение воспаления</t>
  </si>
  <si>
    <t xml:space="preserve">Массажные столы</t>
  </si>
  <si>
    <t xml:space="preserve">Премиальные массажные столы (электрические, с подогревом)</t>
  </si>
  <si>
    <t xml:space="preserve">Gharieni MLW / Lemi Spa Vision / Living Earth Crafts</t>
  </si>
  <si>
    <t xml:space="preserve">Столы для процедурных кабинетов.</t>
  </si>
  <si>
    <t xml:space="preserve">Каталоги дилеров Gharieni/Lemi 2024.</t>
  </si>
  <si>
    <t xml:space="preserve">Стоимость за единицу. Для 80–100 номеров типовое количество ,  около 14 процедурных кабинетов.</t>
  </si>
  <si>
    <t xml:space="preserve">Соляная пещера</t>
  </si>
  <si>
    <t xml:space="preserve">Галокамера / соляная пещера (под ключ)</t>
  </si>
  <si>
    <t xml:space="preserve">Halogenerator + Himalayan salt walls (custom)</t>
  </si>
  <si>
    <t xml:space="preserve">Респираторное оздоровление, фирменный опыт.</t>
  </si>
  <si>
    <t xml:space="preserve">Дилерские котировки Salt Chamber, Halia, Solay 2024.</t>
  </si>
  <si>
    <t xml:space="preserve">Включает галогенератор (~$8–12 тыс.), соляную облицовку, кресла и освещение.</t>
  </si>
  <si>
    <t xml:space="preserve">Талассотерапевтический бассейн</t>
  </si>
  <si>
    <t xml:space="preserve">Талассо-бассейн (подогретая минерализованная вода с гидромассажем)</t>
  </si>
  <si>
    <t xml:space="preserve">Custom, Hidromassage / Klafs Aqua</t>
  </si>
  <si>
    <t xml:space="preserve">Гидротерапия с минерализованной/морской водой и форсунками.</t>
  </si>
  <si>
    <t xml:space="preserve">Отраслевые бенчмарки SPA; ценовой диапазон Klafs Aqua.</t>
  </si>
  <si>
    <t xml:space="preserve">Только оборудование и фильтрация; чаша добавляет ~$300–500 тыс. Сысерть: морскую воду заменить циркуляцией с минеральной солью.</t>
  </si>
  <si>
    <t xml:space="preserve">Снижение воспаления, Гостевой опыт</t>
  </si>
  <si>
    <t xml:space="preserve">Душ Виши</t>
  </si>
  <si>
    <t xml:space="preserve">Стол душа Виши (мультидушевой массаж)</t>
  </si>
  <si>
    <t xml:space="preserve">Lemi / Gharieni / Starpool Vichy</t>
  </si>
  <si>
    <t xml:space="preserve">Гидромассажный стол ,  фирменная SPA-процедура.</t>
  </si>
  <si>
    <t xml:space="preserve">Дилеры Lemi (Италия); каталог Gharieni 2024.</t>
  </si>
  <si>
    <t xml:space="preserve">Критичны спецификации сантехники и отвода. Производство Италии и Германии ,  чистый канал в Россию.</t>
  </si>
  <si>
    <t xml:space="preserve">Влажные процедурные столы</t>
  </si>
  <si>
    <t xml:space="preserve">Soft pack / Расуль / влажная процедурная капсула</t>
  </si>
  <si>
    <t xml:space="preserve">Gharieni Soft Pack MLW / Rasul chamber</t>
  </si>
  <si>
    <t xml:space="preserve">Гибридные влажно-сухие фирменные процедуры.</t>
  </si>
  <si>
    <t xml:space="preserve">Дилеры Gharieni 2024.</t>
  </si>
  <si>
    <t xml:space="preserve">Производство Германии ,  чистый канал в Россию.</t>
  </si>
  <si>
    <t xml:space="preserve">ИТ, МИС, ПО для пациентов</t>
  </si>
  <si>
    <t xml:space="preserve">Контроль доступа и RFID-замки</t>
  </si>
  <si>
    <t xml:space="preserve">Электронные замки номеров и контроль доступа в служебных зонах</t>
  </si>
  <si>
    <t xml:space="preserve">Salto, Assa Abloy VingCard, dormakaba</t>
  </si>
  <si>
    <t xml:space="preserve">RFID/мобильные ключи на дверь; раздельные зоны для персонала.</t>
  </si>
  <si>
    <t xml:space="preserve">Kompareit hotel access $1500–2500/дверь; 100 дверей плюс 30 служебных.</t>
  </si>
  <si>
    <t xml:space="preserve">Премиальная спецификация (BLE и мобильный ключ). По России: VingCard поставляется параллельным импортом с надбавкой 20–25%.</t>
  </si>
  <si>
    <t xml:space="preserve">МИС/EHR</t>
  </si>
  <si>
    <t xml:space="preserve">МИС среднего класса (уровень Athenahealth)</t>
  </si>
  <si>
    <t xml:space="preserve">Athenahealth athenaOne, Tebra, ModMed; Russian: МИС МедОфис, qMS</t>
  </si>
  <si>
    <t xml:space="preserve">Ведение клинической документации медицинского центра; интеграция с лабораторией и визуализацией.</t>
  </si>
  <si>
    <t xml:space="preserve">Athenahealth $140 за специалиста в месяц плюс 4–8% от собранной выручки; внедрение $2–5 тыс. на специалиста; emrguides.com 2025.</t>
  </si>
  <si>
    <t xml:space="preserve">По России: 152-ФЗ о локализации данных блокирует западные облачные МИС. Российские qMS/МедОфис обходятся примерно на 50% дешевле, но требуют кастомной интеграции.</t>
  </si>
  <si>
    <t xml:space="preserve">МИС (опционально, уровень Epic)</t>
  </si>
  <si>
    <t xml:space="preserve">МИС корпоративного уровня (Epic/Cerner)</t>
  </si>
  <si>
    <t xml:space="preserve">Epic Hyperspace, Oracle Health (Cerner Millennium)</t>
  </si>
  <si>
    <t xml:space="preserve">Полнофункциональная МИС больничного класса для медцентра курорта.</t>
  </si>
  <si>
    <t xml:space="preserve">Tactionsoft 2025 ($500 тыс. – 10 млн); arkenea.com Cerner; Veterans Memorial Hospital $3,88 млн.</t>
  </si>
  <si>
    <t xml:space="preserve">Избыточно для отеля 80–100 номеров; уместно только при стационарной мощности. В России развёртывание невозможно.</t>
  </si>
  <si>
    <t xml:space="preserve">Гостевой опыт / мобильное приложение</t>
  </si>
  <si>
    <t xml:space="preserve">Гостевое мобильное приложение и in-room планшеты</t>
  </si>
  <si>
    <t xml:space="preserve">Crave Interactive, SuitePad, Hudini, INTELITY</t>
  </si>
  <si>
    <t xml:space="preserve">Мобильный check-in, заказ в номер, бронирование процедур, контент.</t>
  </si>
  <si>
    <t xml:space="preserve">Бенчмарки hospitality tech; планшет $600–1200 на номер плюс лицензия $25–40 на номер в месяц.</t>
  </si>
  <si>
    <t xml:space="preserve">Включает планшеты в номера, лицензии и интеграцию с PMS/SPA.</t>
  </si>
  <si>
    <t xml:space="preserve">Платформа долголетия для пациентов</t>
  </si>
  <si>
    <t xml:space="preserve">Специализированная платформа долголетия для пациентов</t>
  </si>
  <si>
    <t xml:space="preserve">Function Health (B2B), Hone Health, Healthspan; alt: custom</t>
  </si>
  <si>
    <t xml:space="preserve">Отслеживание биомаркеров, личный кабинет, продольные результаты, ИИ-аналитика.</t>
  </si>
  <si>
    <t xml:space="preserve">Function Health B2B (Equinox $249, Higginbotham $334 в год за участника); sacra.com.</t>
  </si>
  <si>
    <t xml:space="preserve">Годовой ARR ,  около 200–300 активных участников по $250–350 в год. По России: потребуется кастомная разработка либо изолированный инстанс.</t>
  </si>
  <si>
    <t xml:space="preserve">Гормезис, Активация AMPK, Снижение воспаления</t>
  </si>
  <si>
    <t xml:space="preserve">Сетевая инфраструктура</t>
  </si>
  <si>
    <t xml:space="preserve">Проводная и Wi-Fi 6/7 магистраль (корпоративный класс)</t>
  </si>
  <si>
    <t xml:space="preserve">Cisco Meraki, RUCKUS Networks, Aruba; Russian: Eltex, QTECH</t>
  </si>
  <si>
    <t xml:space="preserve">Гостевая и служебная сети с сегментированными VLAN, включая медицинский сегмент.</t>
  </si>
  <si>
    <t xml:space="preserve">RUCKUS/Cisco hospitality vertical; ~€2–3 тыс. за установленную точку доступа, 80 точек плюс коммутация.</t>
  </si>
  <si>
    <t xml:space="preserve">По России: Cisco/Aruba под санкциями с 2022 года. Замена ,  Eltex/QTECH либо серый рынок.</t>
  </si>
  <si>
    <t xml:space="preserve">Снижение воспаления</t>
  </si>
  <si>
    <t xml:space="preserve">PMS ,  отельная часть</t>
  </si>
  <si>
    <t xml:space="preserve">Облачная PMS (отель 80–100 номеров класса люкс)</t>
  </si>
  <si>
    <t xml:space="preserve">Mews Enterprise, Oracle Opera Cloud, Protel; Russian: Bnovo, Shelter, TravelLine</t>
  </si>
  <si>
    <t xml:space="preserve">Бронирование, гостевые счета, хаускипинг, channel manager, интеграция POS.</t>
  </si>
  <si>
    <t xml:space="preserve">Mews Enterprise (hoteltechreport, roommaster); цена Mews EUR 300/мес.</t>
  </si>
  <si>
    <t xml:space="preserve">По России на 2026 год: Mews и Opera ушли после санкций 2022 года. Российские альтернативы (Shelter, Bnovo) обходятся на 40–50% дешевле, но уступают премиальным сценариям.</t>
  </si>
  <si>
    <t xml:space="preserve">Гормезис, Активация AMPK, Митохондриальная функция, Снижение воспаления</t>
  </si>
  <si>
    <t xml:space="preserve">Безопасность ,  видеонаблюдение</t>
  </si>
  <si>
    <t xml:space="preserve">IP-видеонаблюдение (40–60 камер плюс NVR)</t>
  </si>
  <si>
    <t xml:space="preserve">Avigilon, Axis, Hanwha; Russian: TRASSIR, Macroscop</t>
  </si>
  <si>
    <t xml:space="preserve">Периметр и служебные зоны.</t>
  </si>
  <si>
    <t xml:space="preserve">Avigilon/Axis у дилеров; ~€1–1,5 тыс. за установленную камеру.</t>
  </si>
  <si>
    <t xml:space="preserve">По России: доминирует TRASSIR; цена выгоднее западных решений.</t>
  </si>
  <si>
    <t xml:space="preserve">Система записи в SPA и медицинском блоке</t>
  </si>
  <si>
    <t xml:space="preserve">Интегрированная система записи на SPA и процедуры</t>
  </si>
  <si>
    <t xml:space="preserve">Book4Time, Agilysys Spa, ResortSuite</t>
  </si>
  <si>
    <t xml:space="preserve">Расписание терапевтов, загрузка кабинетов, управление пакетами, ритейл.</t>
  </si>
  <si>
    <t xml:space="preserve">Book4Time, Agilysys, ResortSuite ,  ориентировочные цены 2025.</t>
  </si>
  <si>
    <t xml:space="preserve">Критично для премиальных велнес-резортов; интегрируется с PMS и МИС.</t>
  </si>
  <si>
    <t xml:space="preserve">Телефония и IPTV</t>
  </si>
  <si>
    <t xml:space="preserve">VoIP-телефония и IPTV</t>
  </si>
  <si>
    <t xml:space="preserve">Mitel, Cisco; LG/Samsung Pro:Idiom IPTV</t>
  </si>
  <si>
    <t xml:space="preserve">Телефония в номерах, IPTV, телефония в служебных зонах.</t>
  </si>
  <si>
    <t xml:space="preserve">Бенчмарк интеграторов hospitality AV/IT.</t>
  </si>
  <si>
    <t xml:space="preserve">Резорты среднего сегмента иногда отказываются от стационарной телефонии в пользу стриминга.</t>
  </si>
  <si>
    <t xml:space="preserve">Гормезис, Активация AMPK, Митохондриальная функция, Снижение воспаления, Гостевой опыт</t>
  </si>
  <si>
    <t xml:space="preserve">Инфузионная терапия</t>
  </si>
  <si>
    <t xml:space="preserve">Гипербарическая кислородная камера ,  мягкая HBOT (1,3–1,5 ATA)</t>
  </si>
  <si>
    <t xml:space="preserve">OxyHealth Vitaeris 320, Hyperbaric Centrales OxyVita, Summit to Sea Dive</t>
  </si>
  <si>
    <t xml:space="preserve">Мягкокорпусная гипербарическая оксигенация для протоколов восстановления и долголетия.</t>
  </si>
  <si>
    <t xml:space="preserve">Прайс OxyHealth Vitaeris 320 $20–35 тыс.; типовая мягкокорпусная HBOT €25–45 тыс. Жёсткие медицинские камеры (2,0+ ATA) дороже в 5–10 раз.</t>
  </si>
  <si>
    <t xml:space="preserve">Объём ограничен мягкокорпусной HBOT (упрощённая регуляторика, без сжатого кислорода). Жёсткие камеры ,  отдельная категория, не учтены. По России: отечественные камеры BLKS и OxyHealth ,  параллельным импортом.</t>
  </si>
  <si>
    <t xml:space="preserve">ИГГТ</t>
  </si>
  <si>
    <t xml:space="preserve">Аппарат интервальной гипоксической-гипероксической тренировки</t>
  </si>
  <si>
    <t xml:space="preserve">Cellgym Pro / Lounge, Hypoxico Everest Summit II, GO2Altitude Biomedtech</t>
  </si>
  <si>
    <t xml:space="preserve">Интервальная гипоксия-гипероксия ,  митохондриальный тренинг, протокол долголетия.</t>
  </si>
  <si>
    <t xml:space="preserve">Cellgym у дилеров €30–45 тыс. за Pro/Lounge; цены дистрибьюторов Hypoxico; референсы установок Cellgym в Cocoon Medical Spa.</t>
  </si>
  <si>
    <t xml:space="preserve">Оценочно: публичная цена Cellgym отсутствует. Розничная сессия €50–80. Три аппарата покрывают 25–30 сеансов в день. По России: отечественная Bio-Nova MTI/IHT ,  альтернатива за €12–18 тыс.</t>
  </si>
  <si>
    <t xml:space="preserve">IV-зона</t>
  </si>
  <si>
    <t xml:space="preserve">Кресло-реклайнер для IV-капельниц</t>
  </si>
  <si>
    <t xml:space="preserve">Champion Manufacturing 56 series, Stance Healthcare Bari, Winco CareCliner</t>
  </si>
  <si>
    <t xml:space="preserve">Удобное кресло-реклайнер для капельниц, NAD+ и витаминотерапии.</t>
  </si>
  <si>
    <t xml:space="preserve">Champion / Stance / Winco ,  клинические реклайнеры $2 500–5 000; типовые предложения дилеров €3 000–4 500.</t>
  </si>
  <si>
    <t xml:space="preserve">6–8 кресел на резорт 80–100 номеров. По России: отечественный Med-Mos и поставки через Турцию одинаково жизнеспособны.</t>
  </si>
  <si>
    <t xml:space="preserve">Инфузионные насосы</t>
  </si>
  <si>
    <t xml:space="preserve">Умный инфузионный насос</t>
  </si>
  <si>
    <t xml:space="preserve">B.Braun Infusomat Space, Baxter Sigma Spectrum IQ, BD Alaris</t>
  </si>
  <si>
    <t xml:space="preserve">Умный инфузионный насос с DERS для витаминов, NAD+, хелатной терапии и пептидов.</t>
  </si>
  <si>
    <t xml:space="preserve">Outfront Medical / Coast Biomed Baxter Sigma Spectrum ,  восстановленные $1,5–2,5 тыс.; B.Braun ,  новый ~€3–4 тыс.</t>
  </si>
  <si>
    <t xml:space="preserve">8 насосов на 6 кресел плюс 2 резервных. По России: B.Braun (Германия) поставляется, но сроки увеличены; используются и российские насосы Yelatma.</t>
  </si>
  <si>
    <t xml:space="preserve">Озонотерапия</t>
  </si>
  <si>
    <t xml:space="preserve">Медицинский озонотерапевтический генератор</t>
  </si>
  <si>
    <t xml:space="preserve">Herrmann Apparatebau Hyper Medozon comfort, Zotzmann + Stahl OzonoSan, Humares Medozon</t>
  </si>
  <si>
    <t xml:space="preserve">Большая и малая аутогемотерапия, инсуффляция, озонированный физраствор.</t>
  </si>
  <si>
    <t xml:space="preserve">MedicalExpo Herrmann Hyper Medozon comfort; листинг HealthManagement.org; восстановленные на Medbidding €6–9 тыс.; новые €15–22 тыс. от немецких дилеров.</t>
  </si>
  <si>
    <t xml:space="preserve">Жёстко регулируется: запрещено/ограничено в США (FDA), разрешено в Германии, Австрии, Швейцарии, Испании, России под медицинским контролем. По России: озонотерапия имеет зарегистрированные показания Минздрава; отечественная альтернатива ,  Медозонс-БМ.</t>
  </si>
  <si>
    <t xml:space="preserve">Кухня и F&amp;B</t>
  </si>
  <si>
    <t xml:space="preserve">Хлебопекарная печь</t>
  </si>
  <si>
    <t xml:space="preserve">Подовая/конвекционная хлебопекарная печь</t>
  </si>
  <si>
    <t xml:space="preserve">MIWE Condo 3.0608, MIWE econo, Wachtel</t>
  </si>
  <si>
    <t xml:space="preserve">Собственный хлеб, выпечка, безглютеновая продукция.</t>
  </si>
  <si>
    <t xml:space="preserve">Ориентировочные цены MIWE/Wachtel (archiexpo, bakeryequipment.com) для трёхподовой модели.</t>
  </si>
  <si>
    <t xml:space="preserve">Органическая безглютеновая пекарня в стиле Lanserhof требует подовую печь с расстойкой.</t>
  </si>
  <si>
    <t xml:space="preserve">Холодный цех</t>
  </si>
  <si>
    <t xml:space="preserve">Станция холодной кухни (охлаждаемая зона подготовки и подачи)</t>
  </si>
  <si>
    <t xml:space="preserve">Inomak, True, Hoshizaki</t>
  </si>
  <si>
    <t xml:space="preserve">Салаты, raw-блюда, сашими, подача чистой кухни.</t>
  </si>
  <si>
    <t xml:space="preserve">Inomak/True (дилеры ЕС); линейная зона 6–8 м.</t>
  </si>
  <si>
    <t xml:space="preserve">Критично для raw- и clean-программ (стиль Chenot).</t>
  </si>
  <si>
    <t xml:space="preserve">Пароконвектомат</t>
  </si>
  <si>
    <t xml:space="preserve">Премиальный пароконвектомат (10×1/1 GN)</t>
  </si>
  <si>
    <t xml:space="preserve">Rational iCombi Pro 10-1/1, Convotherm 4 easyTouch</t>
  </si>
  <si>
    <t xml:space="preserve">Терапевтическая и ресторанная кухня; пар, конвекция, низкие температуры.</t>
  </si>
  <si>
    <t xml:space="preserve">Дилеры Rational (WebstaurantStore, Buzz Catering, Nella) 2025; российский дилер ~+25% к ЕС.</t>
  </si>
  <si>
    <t xml:space="preserve">Три аппарата покрывают терапевтическую, горячую и банкетную кухни.</t>
  </si>
  <si>
    <t xml:space="preserve">Гормезис, Гостевой опыт</t>
  </si>
  <si>
    <t xml:space="preserve">Пароконвектомат (компакт)</t>
  </si>
  <si>
    <t xml:space="preserve">Компактный пароконвектомат (6×1/1 GN)</t>
  </si>
  <si>
    <t xml:space="preserve">Rational iCombi Pro 6-1/1, UNOX ChefTop</t>
  </si>
  <si>
    <t xml:space="preserve">Кондитерский цех, рыба, диетическая зона, room-service.</t>
  </si>
  <si>
    <t xml:space="preserve">Прайс Rational; дилеры UNOX (ЕС) 2025.</t>
  </si>
  <si>
    <t xml:space="preserve">Используется в кондитерской и дополнительной диетической линии.</t>
  </si>
  <si>
    <t xml:space="preserve">Посудомоечная машина (конвейерная)</t>
  </si>
  <si>
    <t xml:space="preserve">Конвейерная/тоннельная посудомоечная машина</t>
  </si>
  <si>
    <t xml:space="preserve">Hobart FT1000e, Winterhalter MTF, Meiko M-iQ</t>
  </si>
  <si>
    <t xml:space="preserve">Основная линия моечной для банкетов и ресторана.</t>
  </si>
  <si>
    <t xml:space="preserve">Hobart, Winterhalter ,  дилеры ЕС 2025; hobartcorp.com.</t>
  </si>
  <si>
    <t xml:space="preserve">Обязательна для отеля 80–100 номеров с банкетной нагрузкой.</t>
  </si>
  <si>
    <t xml:space="preserve">Посудомоечные машины (фронтальные и подстольные)</t>
  </si>
  <si>
    <t xml:space="preserve">Подстольные и фронтальные стаканомойки и посудомойки (комплект)</t>
  </si>
  <si>
    <t xml:space="preserve">Hobart, Winterhalter UC-M, Meiko</t>
  </si>
  <si>
    <t xml:space="preserve">Бар, сокобар, станции подготовки.</t>
  </si>
  <si>
    <t xml:space="preserve">Hobart/Winterhalter ,  дилеры ЕС 2025.</t>
  </si>
  <si>
    <t xml:space="preserve">Комплект из 4 машин закрывает бар, сокобар, банкеты и сателлит.</t>
  </si>
  <si>
    <t xml:space="preserve">Зонты и вентиляция</t>
  </si>
  <si>
    <t xml:space="preserve">Зонты I типа, пожаротушение и приточно-вытяжная установка</t>
  </si>
  <si>
    <t xml:space="preserve">Halton, Captive Aire, Greenheck</t>
  </si>
  <si>
    <t xml:space="preserve">Обязательная по нормативам вытяжка над горячим цехом.</t>
  </si>
  <si>
    <t xml:space="preserve">Halton/Captive Aire; справочник по коммерческой кухне Avanti 2025 ($8–25 тыс. за зонт).</t>
  </si>
  <si>
    <t xml:space="preserve">Система вытяжки ,  крупная скрытая статья; обязательна для горячей линии.</t>
  </si>
  <si>
    <t xml:space="preserve">Промышленный холодный пресс</t>
  </si>
  <si>
    <t xml:space="preserve">Goodnature X-1 или серийный пресс для гостевых соков</t>
  </si>
  <si>
    <t xml:space="preserve">Goodnature X-1, Bucher Vaslin</t>
  </si>
  <si>
    <t xml:space="preserve">Производство 200+ бутылок в день для гостевых наборов.</t>
  </si>
  <si>
    <t xml:space="preserve">Goodnature X-1 ,  промышленный референс 2025.</t>
  </si>
  <si>
    <t xml:space="preserve">Опционально, если соковый протокол ,  фирменный элемент.</t>
  </si>
  <si>
    <t xml:space="preserve">Сокобар/жмыходавильная зона</t>
  </si>
  <si>
    <t xml:space="preserve">Коммерческий холодный пресс для соков</t>
  </si>
  <si>
    <t xml:space="preserve">Goodnature CT7 / X-1, Norwalk 290, Angel Pro</t>
  </si>
  <si>
    <t xml:space="preserve">Терапевтические соки, ежедневный соковый протокол, розничный розлив.</t>
  </si>
  <si>
    <t xml:space="preserve">Goodnature.com CT7; Surplus Marketplace 2025; Norwalk MSRP $2 495.</t>
  </si>
  <si>
    <t xml:space="preserve">Две машины ,  основной сокобар плюс станция в терапевтической кухне.</t>
  </si>
  <si>
    <t xml:space="preserve">Кулинарный модульный блок</t>
  </si>
  <si>
    <t xml:space="preserve">Модульный кулинарный блок на заказ (4 м)</t>
  </si>
  <si>
    <t xml:space="preserve">Molteni, Charvet, Athanor; alt: Vulcan Endurance</t>
  </si>
  <si>
    <t xml:space="preserve">Основная горячая линия à la minute.</t>
  </si>
  <si>
    <t xml:space="preserve">Дилерские оценки Molteni/Charvet; Vulcan как альтернатива на NA-уровне.</t>
  </si>
  <si>
    <t xml:space="preserve">Премиум обычно выбирает Molteni; средний сегмент укладывается в €35–50 тыс.</t>
  </si>
  <si>
    <t xml:space="preserve">Активация AMPK, Модуляция mTOR, Митохондриальная функция, Гормезис</t>
  </si>
  <si>
    <t xml:space="preserve">Smallwares и фарфор/стекло</t>
  </si>
  <si>
    <t xml:space="preserve">Пакет smallwares (ножи, посуда, фарфор, стекло, столовое серебро)</t>
  </si>
  <si>
    <t xml:space="preserve">Wusthof, Mauviel, Riedel, Schott Zwiesel</t>
  </si>
  <si>
    <t xml:space="preserve">Первичное оснащение всех станций и ресторанных кувертов.</t>
  </si>
  <si>
    <t xml:space="preserve">Бенчмарк FF&amp;E hospitality; ~€1,5–2 тыс. за куверт премиального фарфора и стекла со smallware.</t>
  </si>
  <si>
    <t xml:space="preserve">Премиальный сегмент использует Riedel/Schott. Высокая ежегодная замена (~15%).</t>
  </si>
  <si>
    <t xml:space="preserve">Активация AMPK, Митохондриальная функция, Гормезис</t>
  </si>
  <si>
    <t xml:space="preserve">Изготовление из нержавеющей стали</t>
  </si>
  <si>
    <t xml:space="preserve">Столы, мойки, стеллажи (полная нержавеющая обвязка кухни)</t>
  </si>
  <si>
    <t xml:space="preserve">Custom local fab; Eagle Group, Advance Tabco</t>
  </si>
  <si>
    <t xml:space="preserve">Прилавки, полки, рукомойники по всей кухне.</t>
  </si>
  <si>
    <t xml:space="preserve">Справочник Avanti по коммерческим кухням; обвязка кухни 250–350 кв. м.</t>
  </si>
  <si>
    <t xml:space="preserve">По России: локальное изготовление существенно дешевле.</t>
  </si>
  <si>
    <t xml:space="preserve">Активация AMPK, Модуляция mTOR, Гормезис</t>
  </si>
  <si>
    <t xml:space="preserve">Sous-vide и шок-фризер</t>
  </si>
  <si>
    <t xml:space="preserve">Шок-фризер, вакуумные упаковщики и термостаты sous-vide</t>
  </si>
  <si>
    <t xml:space="preserve">Irinox, Friginox; Henkelman vacuum; Polyscience circulators</t>
  </si>
  <si>
    <t xml:space="preserve">HACCP cook-chill, sous-vide для терапевтической кухни.</t>
  </si>
  <si>
    <t xml:space="preserve">Irinox ,  дилер ЕС 2025; комплект.</t>
  </si>
  <si>
    <t xml:space="preserve">Стандарт для терапевтических кухонь с длительными низкотемпературными режимами.</t>
  </si>
  <si>
    <t xml:space="preserve">Холодильные камеры walk-in</t>
  </si>
  <si>
    <t xml:space="preserve">Камера холодильная и морозильная (несколько зон)</t>
  </si>
  <si>
    <t xml:space="preserve">Foster, Friginox, Polar King; US: Barr</t>
  </si>
  <si>
    <t xml:space="preserve">Хранение органических продуктов, белков и кондитерки.</t>
  </si>
  <si>
    <t xml:space="preserve">Restaurant Warehouse 2025; Barr Commercial; 3–4 walk-in зоны.</t>
  </si>
  <si>
    <t xml:space="preserve">В состав входят холодильные и морозильные камеры с холодильным агрегатом.</t>
  </si>
  <si>
    <t xml:space="preserve">Лаборатория и биомаркеры</t>
  </si>
  <si>
    <t xml:space="preserve">Расширенные биомаркеры (аутсорс)</t>
  </si>
  <si>
    <t xml:space="preserve">Расширенная биомаркерная панель ,  аутсорс (LabCorp Whole Health / Quest Cardio IQ)</t>
  </si>
  <si>
    <t xml:space="preserve">LabCorp Whole Health (1000+ biomarkers), Quest Cardio IQ, Boston Heart Diagnostics</t>
  </si>
  <si>
    <t xml:space="preserve">ApoB, Lp(a), GlycA, oxLDL, индекс омега-3, расширенное фракционирование липидов, микронутриенты.</t>
  </si>
  <si>
    <t xml:space="preserve">Запуск LabCorp Whole Health Solutions; программы Blueprint ~$365 в год; обзор Healthcare Huddle.</t>
  </si>
  <si>
    <t xml:space="preserve">Pass-through OPEX, не CAPEX. На гостя €400–1200 за расширенную панель; учитывается с нулевым CAPEX для полноты картины. Российский эквивалент: Helix, Invitro, KDL ,  отечественные лаборатории закрывают большую часть панелей примерно на 30% дешевле.</t>
  </si>
  <si>
    <t xml:space="preserve">Активация AMPK, Митохондриальная функция, Гормезис, Гостевой опыт</t>
  </si>
  <si>
    <t xml:space="preserve">Биохимия</t>
  </si>
  <si>
    <t xml:space="preserve">Биохимический анализатор</t>
  </si>
  <si>
    <t xml:space="preserve">Roche cobas c311 / c503, Abbott Architect c4000, Beckman AU480</t>
  </si>
  <si>
    <t xml:space="preserve">Стандартная биохимия ,  печёночные и почечные показатели, липиды, глюкоза, электролиты.</t>
  </si>
  <si>
    <t xml:space="preserve">Block Scientific ,  листинги cobas; LabX Roche; отраслевой ориентир €60–90 тыс. за middle-throughput.</t>
  </si>
  <si>
    <t xml:space="preserve">Реагенты ,  основная статья OPEX. По России: поставки реагентов Roche/Abbott в основном сохраняются после 2022 года (медицинское исключение); локальная альтернатива ,  Mindray BS-2000M.</t>
  </si>
  <si>
    <t xml:space="preserve">Состав тела</t>
  </si>
  <si>
    <t xml:space="preserve">Биоимпедансный анализатор медицинского класса</t>
  </si>
  <si>
    <t xml:space="preserve">InBody 970 / 770, seca mBCA 555, Bodystat QuadScan 4000</t>
  </si>
  <si>
    <t xml:space="preserve">Сегментарный состав тела, ECW/ICW, фазовый угол ,  дополнение к DEXA.</t>
  </si>
  <si>
    <t xml:space="preserve">Южная Корея</t>
  </si>
  <si>
    <t xml:space="preserve">InBody 970 у дилеров $18–25 тыс. (США/ЕС); seca mBCA 555 €15–22 тыс.; рыночные данные клинических BCA.</t>
  </si>
  <si>
    <t xml:space="preserve">InBody 970 ,  отраслевой стандарт премиальных клиник. По России: InBody (Корея) широко представлен; Medass ,  отечественная альтернатива.</t>
  </si>
  <si>
    <t xml:space="preserve">CGM</t>
  </si>
  <si>
    <t xml:space="preserve">Комплекты непрерывного мониторинга глюкозы (расходные)</t>
  </si>
  <si>
    <t xml:space="preserve">Dexcom G7, Abbott FreeStyle Libre 3 Plus</t>
  </si>
  <si>
    <t xml:space="preserve">14-дневный мониторинг глюкозы в составе программ метаболической оптимизации.</t>
  </si>
  <si>
    <t xml:space="preserve">Diabetic Warehouse Dexcom G7 (3-pack $399.99); листинги Dexcom и Abbott $70–140 за сенсор; Healthline ,  анализ Dexcom vs Libre.</t>
  </si>
  <si>
    <t xml:space="preserve">Pass-through, €70–130 за сенсор. По России: параллельный импорт через Турцию даёт надбавку ~50%; российские глюкометры пока уступают Dexcom по точности.</t>
  </si>
  <si>
    <t xml:space="preserve">Коагулология / спецтесты</t>
  </si>
  <si>
    <t xml:space="preserve">Анализатор коагуляции с урианализом</t>
  </si>
  <si>
    <t xml:space="preserve">Sysmex CS-1600 / CS-2500, Roche cobas u 411, Stago STA Compact</t>
  </si>
  <si>
    <t xml:space="preserve">Коагулограмма (PT/INR/aPTT) и общий анализ мочи с осадком для executive-скрининга.</t>
  </si>
  <si>
    <t xml:space="preserve">Sysmex/Stago у дилеров; LabX ,  восстановленные коагулометры $10–25 тыс.; новые €30–50 тыс.</t>
  </si>
  <si>
    <t xml:space="preserve">Совмещённая линия коагулометра и анализатора мочи. По России: альтернативы ,  Mindray и отечественная Belspetsmedtekhnika.</t>
  </si>
  <si>
    <t xml:space="preserve">Эпигенетика</t>
  </si>
  <si>
    <t xml:space="preserve">Эпигенетические тесты возраста (аутсорс ,  TruDiagnostic / Clock Foundation)</t>
  </si>
  <si>
    <t xml:space="preserve">TruDiagnostic TruAge Complete, Clock Foundation GrimAge, Elysium Index</t>
  </si>
  <si>
    <t xml:space="preserve">Биологические часы Horvath, GrimAge, DunedinPACE ,  бенчмаркинг и повторное тестирование.</t>
  </si>
  <si>
    <t xml:space="preserve">TruDiagnostic shop ($499 за кит, $998 за 4 квартальных); LongevityAdvice 2024.</t>
  </si>
  <si>
    <t xml:space="preserve">Pass-through на гостя: $230–500 за кит. Аутсорс лабораториям TruDiagnostic / Clock Foundation. По России: отправка образцов в США частично заблокирована; альтернативы ,  GeroScience либо отправка через Казахстан/Армению.</t>
  </si>
  <si>
    <t xml:space="preserve">Модуляция mTOR, Инфраструктура</t>
  </si>
  <si>
    <t xml:space="preserve">Геномика</t>
  </si>
  <si>
    <t xml:space="preserve">Геномное и фармакогеномное тестирование (аутсорс)</t>
  </si>
  <si>
    <t xml:space="preserve">Nucleus Genomics, Illumina-network labs, 23andMe Plus, Color</t>
  </si>
  <si>
    <t xml:space="preserve">Полногеномный анализ, WES, фармакогеномное профилирование ,  однократный долголетческий базис.</t>
  </si>
  <si>
    <t xml:space="preserve">Nucleus Genomics $399–1000 за WGS; Color $250–500 за панель.</t>
  </si>
  <si>
    <t xml:space="preserve">Pass-through на гостя; on-site CAPEX отсутствует. По России: Atlas Biomed и Genotek проводят отечественный WES за 25–60 тыс. ₽.</t>
  </si>
  <si>
    <t xml:space="preserve">Гематология</t>
  </si>
  <si>
    <t xml:space="preserve">Гематологический анализатор (5-diff)</t>
  </si>
  <si>
    <t xml:space="preserve">Sysmex XN-1000, Sysmex XN-550, Mindray BC-6800Plus</t>
  </si>
  <si>
    <t xml:space="preserve">Общий анализ крови, 5-фракционная лейкоформула, ретикулоциты ,  рутинная ежедневная диагностика.</t>
  </si>
  <si>
    <t xml:space="preserve">Bimedis Sysmex XN-1000 (восстановленный $6,5–11,7 тыс.); LabX ,  новые цены; новый Sysmex обычно €40–60 тыс. Эквивалент Mindray дешевле примерно на 30%.</t>
  </si>
  <si>
    <t xml:space="preserve">Собственная лаборатория ,  отличительный признак. По России: Mindray BC-6800 ,  доминирующая альтернатива; Sysmex остаётся доступен через параллельный импорт без серьёзных ограничений.</t>
  </si>
  <si>
    <t xml:space="preserve">Гормоны / иммуноанализ</t>
  </si>
  <si>
    <t xml:space="preserve">Иммуноанализатор / гормональный анализатор</t>
  </si>
  <si>
    <t xml:space="preserve">Roche cobas e411 / e601, Abbott Architect i1000SR, Siemens ADVIA Centaur XP</t>
  </si>
  <si>
    <t xml:space="preserve">Гормональные панели (тиреоидные, кортизол, половые, IGF-1), кардиомаркеры, витамины (D, B12).</t>
  </si>
  <si>
    <t xml:space="preserve">Bimedis cobas e411 (восстановленный $1,3–21 тыс.); LabX ,  новый e411 ~$85 тыс.; коммерческий прайс Roche.</t>
  </si>
  <si>
    <t xml:space="preserve">Критично для гормонозаместительной терапии и протоколов долголетия. Привязка к реагентам. По России: реагенты Roche продолжают поступать; восстановленные аппараты всё чаще ввозятся из ЕС.</t>
  </si>
  <si>
    <t xml:space="preserve">Микробиом</t>
  </si>
  <si>
    <t xml:space="preserve">Киты микробиомного секвенирования (аутсорс)</t>
  </si>
  <si>
    <t xml:space="preserve">Viome Gut Intelligence, Zoe, DayTwo, BiomeSight</t>
  </si>
  <si>
    <t xml:space="preserve">Метагеномное секвенирование микробиоты кишечника ,  вход для персонализированной нутрициологии.</t>
  </si>
  <si>
    <t xml:space="preserve">InnerBuddies / Nucleus ,  сравнение; Viome $199–399; Zoe $354; DayTwo $499.</t>
  </si>
  <si>
    <t xml:space="preserve">Pass-through, €250–500 за кит. По России: отечественный Atlas Biomed предлагает микробиомную панель за 18–25 тыс. ₽; трансграничная доставка образцов рабочая.</t>
  </si>
  <si>
    <t xml:space="preserve">Медицинская инфраструктура</t>
  </si>
  <si>
    <t xml:space="preserve">HEPA-вентиляция медицинских зон</t>
  </si>
  <si>
    <t xml:space="preserve">HEPA-фильтрация для зон визуализации, операционных и чистых помещений</t>
  </si>
  <si>
    <t xml:space="preserve">Camfil HEPA, AAF Flanders; AHU: Daikin/Trane</t>
  </si>
  <si>
    <t xml:space="preserve">MERV 16 / HEPA по ASHRAE 170 для зоны визуализации и процедурных кабинетов.</t>
  </si>
  <si>
    <t xml:space="preserve">ASHRAE 170 / Camfil; консультанты по HVAC для медицины $50–150 тыс. за зону, 3–4 зоны.</t>
  </si>
  <si>
    <t xml:space="preserve">Замена фильтров ,  существенная статья OPEX. По России: СанПиН 2.1.3.2630 в целом эквивалентен.</t>
  </si>
  <si>
    <t xml:space="preserve">Аварийное питание ,  ИБП</t>
  </si>
  <si>
    <t xml:space="preserve">ИБП для медицинских и ИТ-зон (200 кВА, модульный)</t>
  </si>
  <si>
    <t xml:space="preserve">Schneider Galaxy VS, Eaton 93PM, Vertiv Liebert</t>
  </si>
  <si>
    <t xml:space="preserve">Резервное питание для операционных, визуализации и серверов МИС.</t>
  </si>
  <si>
    <t xml:space="preserve">CPP Sales ,  больничный ИБП; Backup Battery Power 200 кВА.</t>
  </si>
  <si>
    <t xml:space="preserve">Замена аккумуляторов через 5–7 лет добавляет существенные затраты.</t>
  </si>
  <si>
    <t xml:space="preserve">Аварийное питание ,  генератор</t>
  </si>
  <si>
    <t xml:space="preserve">Дизель-генератор 400–500 кВА с АВР</t>
  </si>
  <si>
    <t xml:space="preserve">Caterpillar C18, Cummins QSX15, Kohler; Russian: Energo, ЯМЗ</t>
  </si>
  <si>
    <t xml:space="preserve">Резервное питание всего курорта с приоритетом медицинских зон.</t>
  </si>
  <si>
    <t xml:space="preserve">Дилерские референсы; бенчмарки резервного питания для медицины (globalpwr.com); АВР и контейнер включены.</t>
  </si>
  <si>
    <t xml:space="preserve">Резервирование N+1 добавляет ~80%; Energo ,  более бюджетная российская опция.</t>
  </si>
  <si>
    <t xml:space="preserve">Медицинские газы</t>
  </si>
  <si>
    <t xml:space="preserve">Трубопровод медицинских газов (O2, вакуум, медицинский воздух, N2O)</t>
  </si>
  <si>
    <t xml:space="preserve">BeaconMedaes, Atlas Copco GA series, Amico</t>
  </si>
  <si>
    <t xml:space="preserve">Централизованная подача O2, вакуума и воздуха в кабинеты клиники, IV-зоны и зоны восстановления.</t>
  </si>
  <si>
    <t xml:space="preserve">BeaconMedaes / Atlas Copco; проектные бенчмарки для 10–15 точек.</t>
  </si>
  <si>
    <t xml:space="preserve">Стоимость зависит от количества точек (NFPA 99 / EN ISO 7396). Выше при наличии анестезиологических кабинетов.</t>
  </si>
  <si>
    <t xml:space="preserve">Медицинские отходы</t>
  </si>
  <si>
    <t xml:space="preserve">Автоклав и система сегрегации медицинских отходов</t>
  </si>
  <si>
    <t xml:space="preserve">Tuttnauer medical waste autoclave, Celitron, Sterilwave</t>
  </si>
  <si>
    <t xml:space="preserve">Локальная дезактивация биоопасных отходов.</t>
  </si>
  <si>
    <t xml:space="preserve">Tuttnauer ,  линейка для медотходов; экономическое исследование nature.com 2024.</t>
  </si>
  <si>
    <t xml:space="preserve">По России: чаще передаётся лицензированному подрядчику; для собственной обработки требуется соответствие СанПиН.</t>
  </si>
  <si>
    <t xml:space="preserve">Стерилизация ,  большой автоклав CSSD</t>
  </si>
  <si>
    <t xml:space="preserve">Госпитальный автоклав среднего размера (CSSD)</t>
  </si>
  <si>
    <t xml:space="preserve">Tuttnauer GS Series, Getinge 700HC-E, Steris Amsco</t>
  </si>
  <si>
    <t xml:space="preserve">Стерилизация хирургического и эстетического инструментария.</t>
  </si>
  <si>
    <t xml:space="preserve">Tuttnauer cost guide 2025 ($60–120 тыс. для среднего размера); medequipdepot.com.</t>
  </si>
  <si>
    <t xml:space="preserve">Горизонтальный автоклав среднего размера класса B подходит для CSSD клинического объёма.</t>
  </si>
  <si>
    <t xml:space="preserve">Стерилизация ,  настольный автоклав и УЗ-мойка</t>
  </si>
  <si>
    <t xml:space="preserve">Настольный автоклав и ультразвуковая мойка</t>
  </si>
  <si>
    <t xml:space="preserve">Tuttnauer EZ11Plus, Midmark M11; Bandelin/Branson ultrasonic</t>
  </si>
  <si>
    <t xml:space="preserve">Резервная и сателлитная стерилизация, предварительная очистка инструмента.</t>
  </si>
  <si>
    <t xml:space="preserve">Henry Schein, Tuttnauer 2025; комплект.</t>
  </si>
  <si>
    <t xml:space="preserve">Стоимость указана за комплект автоклав + УЗ-мойка.</t>
  </si>
  <si>
    <t xml:space="preserve">Движение и реабилитация</t>
  </si>
  <si>
    <t xml:space="preserve">Антигравитационная дорожка</t>
  </si>
  <si>
    <t xml:space="preserve">Антигравитационная беговая дорожка (DAP-технология)</t>
  </si>
  <si>
    <t xml:space="preserve">AlterG NEO+ / PRO</t>
  </si>
  <si>
    <t xml:space="preserve">Тренировка ходьбы со снижением веса, послеоперационная реабилитация, перформанс.</t>
  </si>
  <si>
    <t xml:space="preserve">AlterG (Lifeward) NEO+ у дилеров 2024; eBay б/у $30–45 тыс.</t>
  </si>
  <si>
    <t xml:space="preserve">Версия PRO ~$95 тыс. Производитель ,  США, поэтому в Россию идёт через параллельный импорт.</t>
  </si>
  <si>
    <t xml:space="preserve">Гиротоник</t>
  </si>
  <si>
    <t xml:space="preserve">Gyrotonic Pulley Tower (оригинальный, коммерческий)</t>
  </si>
  <si>
    <t xml:space="preserve">Gyrotonic Ultima XS / Reveal</t>
  </si>
  <si>
    <t xml:space="preserve">Gyrotonic ,  круговое движение, премиальное предложение.</t>
  </si>
  <si>
    <t xml:space="preserve">Gyrotonic.com Ultima series; trade-дилеры 2024.</t>
  </si>
  <si>
    <t xml:space="preserve">Оригинальное оборудование Gyrotonic лицензируется и стоит существенно дороже типовых «гиротоник-подобных» устройств с Alibaba. Требуется сертификация тренеров.</t>
  </si>
  <si>
    <t xml:space="preserve">Гидротерапевтический бассейн</t>
  </si>
  <si>
    <t xml:space="preserve">Подводная беговая дорожка / гидротерапевтический бассейн с переменной глубиной</t>
  </si>
  <si>
    <t xml:space="preserve">HydroWorx 2000 / SwimEx 800</t>
  </si>
  <si>
    <t xml:space="preserve">Аквареабилитация и тренировка походки ,  отличие элитной реабилитации.</t>
  </si>
  <si>
    <t xml:space="preserve">Оценки HydroWorx; цены The Recovery Club.</t>
  </si>
  <si>
    <t xml:space="preserve">HydroWorx 2000 с переменной глубиной и дорожкой ,  золотой стандарт. Корпус не входит. Бюджетная альтернатива SwimEx 800 ,  ~$180–220 тыс.</t>
  </si>
  <si>
    <t xml:space="preserve">Пилатес ,  реформеры</t>
  </si>
  <si>
    <t xml:space="preserve">Студия пилатес-реформеров (премиум, 8 единиц)</t>
  </si>
  <si>
    <t xml:space="preserve">Balanced Body Allegro 2 / STOTT V2 Max / Peak Fit</t>
  </si>
  <si>
    <t xml:space="preserve">Базовое оборудование студии пилатеса.</t>
  </si>
  <si>
    <t xml:space="preserve">Balanced Body Allegro 2 ~$5 200 MSRP; CAD-листинги $5 924; STOTT trade.</t>
  </si>
  <si>
    <t xml:space="preserve">Комплект из 8 Allegro 2 с аксессуарами (боксы, jumpboard). Альтернатива ,  STOTT V2 Max.</t>
  </si>
  <si>
    <t xml:space="preserve">Пилатес ,  кадиллак/тауэр</t>
  </si>
  <si>
    <t xml:space="preserve">Комплект Pilates Cadillac/tower</t>
  </si>
  <si>
    <t xml:space="preserve">Balanced Body Cadillac / STOTT Cadillac</t>
  </si>
  <si>
    <t xml:space="preserve">Полный пилатес-аппарат.</t>
  </si>
  <si>
    <t xml:space="preserve">Trade-цены Balanced Body.</t>
  </si>
  <si>
    <t xml:space="preserve">За единицу. Wunda Chair и Spine Corrector добавляют $2–3 тыс.</t>
  </si>
  <si>
    <t xml:space="preserve">Зона восстановления</t>
  </si>
  <si>
    <t xml:space="preserve">Recovery-комплект (компрессионные сапоги, перкуссия, cryo-cuff)</t>
  </si>
  <si>
    <t xml:space="preserve">Normatec 3 + Theragun Pro + Game Ready</t>
  </si>
  <si>
    <t xml:space="preserve">Спортивная зона восстановления.</t>
  </si>
  <si>
    <t xml:space="preserve">Hyperice/Normatec/Game Ready ,  коммерческие цены 2024.</t>
  </si>
  <si>
    <t xml:space="preserve">Комплект на одну recovery-комнату. Потребительское оборудование из США ,  параллельный импорт несложен.</t>
  </si>
  <si>
    <t xml:space="preserve">Роботизированная реабилитация походки</t>
  </si>
  <si>
    <t xml:space="preserve">Роботизированная система реабилитации походки</t>
  </si>
  <si>
    <t xml:space="preserve">Hocoma Lokomat Pro / Nanos</t>
  </si>
  <si>
    <t xml:space="preserve">Реабилитация при тяжёлых неврологических состояниях ,  фирменный продукт медицинского уровня.</t>
  </si>
  <si>
    <t xml:space="preserve">Hocoma ,  дилеры 2024; обзор экономической эффективности в PMC (€350 тыс. и выше); Lokomat Nanos $250 тыс.</t>
  </si>
  <si>
    <t xml:space="preserve">Опционально: оправдано лишь при истинном нейрореабилитационном направлении. Производитель ,  Швейцария, чистый канал в Россию. Lokomat Nanos ,  компактная бюджетная альтернатива.</t>
  </si>
  <si>
    <t xml:space="preserve">Инфраструктура, Гостевой опыт</t>
  </si>
  <si>
    <t xml:space="preserve">Подвесная система Redcord</t>
  </si>
  <si>
    <t xml:space="preserve">Потолочная подвесная тренировка Redcord (клинический класс)</t>
  </si>
  <si>
    <t xml:space="preserve">Redcord Trainer / Workstation Professional</t>
  </si>
  <si>
    <t xml:space="preserve">Нейромышечная активация, suspension-терапия.</t>
  </si>
  <si>
    <t xml:space="preserve">Trade-цены Redcord 2024.</t>
  </si>
  <si>
    <t xml:space="preserve">Производитель ,  Норвегия, чистый канал в Россию. В состав входит потолочная направляющая и аксессуары на станцию.</t>
  </si>
  <si>
    <t xml:space="preserve">Виброплатформа</t>
  </si>
  <si>
    <t xml:space="preserve">Платформа вибротренинга всего тела (коммерческого класса)</t>
  </si>
  <si>
    <t xml:space="preserve">Power Plate Pro7 / Pro8</t>
  </si>
  <si>
    <t xml:space="preserve">Виброподготовка, лимфодренаж, перформанс.</t>
  </si>
  <si>
    <t xml:space="preserve">Fitness Factory Pro7; Strength Warehouse.</t>
  </si>
  <si>
    <t xml:space="preserve">Производитель ,  Великобритания, чистый канал в Россию через реэкспорт.</t>
  </si>
  <si>
    <t xml:space="preserve">Йога/мат-студия</t>
  </si>
  <si>
    <t xml:space="preserve">Оснащение йога/мат-студии (зеркала, реквизит, аудио)</t>
  </si>
  <si>
    <t xml:space="preserve">Manduka commercial mats + sound + mirrors + storage</t>
  </si>
  <si>
    <t xml:space="preserve">Зал для занятий на матах (йога, пилатес).</t>
  </si>
  <si>
    <t xml:space="preserve">Оценки trade-каталогов.</t>
  </si>
  <si>
    <t xml:space="preserve">Зеркала, премиальное напольное покрытие, аудиосистема, хранение реквизита. Корпус не учтён.</t>
  </si>
  <si>
    <t xml:space="preserve">Нутрициология и ЖКТ-диагностика</t>
  </si>
  <si>
    <t xml:space="preserve">Колоногидротерапия</t>
  </si>
  <si>
    <t xml:space="preserve">Аппарат колоногидротерапии (открытая система FDA Class II)</t>
  </si>
  <si>
    <t xml:space="preserve">LIBBE / Angel of Water</t>
  </si>
  <si>
    <t xml:space="preserve">Колоногидротерапия ,  основа детокс-программ.</t>
  </si>
  <si>
    <t xml:space="preserve">LIBBE прайс ~$10 тыс. (libbecolonhydrotherapydevice.com); листинги Bimedis.</t>
  </si>
  <si>
    <t xml:space="preserve">Стандарт SHA, CLP и Lanserhof. Включает монтажный комплект; расходники ~$15 за процедуру.</t>
  </si>
  <si>
    <t xml:space="preserve">Дыхательный тест ЖКТ</t>
  </si>
  <si>
    <t xml:space="preserve">Анализатор водорода/метана (SIBO)</t>
  </si>
  <si>
    <t xml:space="preserve">QuinTron BreathTracker / Bedfont Gastro+</t>
  </si>
  <si>
    <t xml:space="preserve">Оценка SIBO/IBS ,  программы здоровья ЖКТ.</t>
  </si>
  <si>
    <t xml:space="preserve">QuinTron / Bedfont ,  оценки 2024.</t>
  </si>
  <si>
    <t xml:space="preserve">Расходники (тест-киты) ,  повторяющаяся статья затрат.</t>
  </si>
  <si>
    <t xml:space="preserve">Непрямая калориметрия</t>
  </si>
  <si>
    <t xml:space="preserve">Анализатор базального метаболизма</t>
  </si>
  <si>
    <t xml:space="preserve">Cosmed Fitmate Pro / Korr ReeVue</t>
  </si>
  <si>
    <t xml:space="preserve">RMR для расчёта диетических протоколов.</t>
  </si>
  <si>
    <t xml:space="preserve">Cosmed Fitmate Pro; Korr ReeVue 2024.</t>
  </si>
  <si>
    <t xml:space="preserve">Бюджетная альтернатива полноценному CPET, когда нужен только RMR.</t>
  </si>
  <si>
    <t xml:space="preserve">Эластография печени</t>
  </si>
  <si>
    <t xml:space="preserve">Эластография печени (FibroScan transient elastography)</t>
  </si>
  <si>
    <t xml:space="preserve">Echosens FibroScan 530 Compact / 630 Expert</t>
  </si>
  <si>
    <t xml:space="preserve">Неинвазивный скрининг фиброза и стеатоза печени ,  протокол долголетия.</t>
  </si>
  <si>
    <t xml:space="preserve">Bimedis FibroScan $17 108–45 871 (б/у); новый ~$70–85 тыс.; AuntMinnie 2024.</t>
  </si>
  <si>
    <t xml:space="preserve">Французский OEM (Echosens) ,  более чистый канал в Россию по сравнению с американскими устройствами.</t>
  </si>
  <si>
    <t xml:space="preserve">Сон и неврология</t>
  </si>
  <si>
    <t xml:space="preserve">Когнитивное тестирование</t>
  </si>
  <si>
    <t xml:space="preserve">Платформа когнитивного тестирования (подписка/лицензия)</t>
  </si>
  <si>
    <t xml:space="preserve">Cambridge Cognition CANTAB, Creyos (formerly Cambridge Brain Sciences), Cogstate Brief Battery</t>
  </si>
  <si>
    <t xml:space="preserve">Валидированная цифровая оценка памяти, исполнительных функций, внимания.</t>
  </si>
  <si>
    <t xml:space="preserve">Capterra CANTAB; клинические подписки Creyos; отраслевая оценка €8–20 тыс. в год за клиническую лицензию плюс планшеты и онбординг.</t>
  </si>
  <si>
    <t xml:space="preserve">Оценочно: цены поставщики предоставляют по запросу. Учитывается лицензия на год, 4 iPad и онбординг. Доля поддержки отражает продление подписки. По России: ограниченно; CANTAB на русском доступен; в остальном ,  отечественные нейропсихологические батареи.</t>
  </si>
  <si>
    <t xml:space="preserve">ЭЭГ</t>
  </si>
  <si>
    <t xml:space="preserve">ЭЭГ-система 32–64 канала</t>
  </si>
  <si>
    <t xml:space="preserve">Natus NicoletOne EEG 32ch, Compumedics Neuvo 64ch, Cadwell Arc</t>
  </si>
  <si>
    <t xml:space="preserve">Самостоятельная ЭЭГ ,  неврологический базис, мягкий когнитивный скрининг, подготовка к биообратной связи.</t>
  </si>
  <si>
    <t xml:space="preserve">Hospitalstore.com Natus NicoletOne (32 канала); Compumedics Neuvo; восстановленные на Relink Online $15–25 тыс.; новые €40–60 тыс.</t>
  </si>
  <si>
    <t xml:space="preserve">Опционально: оправдано на уровне Lanserhof и продвинутых неврологических программ. По России: Mitsar (Санкт-Петербург) ,  уважаемый отечественный производитель ЭЭГ за 50% от западной цены.</t>
  </si>
  <si>
    <t xml:space="preserve">HSAT</t>
  </si>
  <si>
    <t xml:space="preserve">Парк устройств домашнего скрининга апноэ сна (HSAT)</t>
  </si>
  <si>
    <t xml:space="preserve">ResMed ApneaLink Air, ZOLL Itamar WatchPAT One, Philips Alice NightOne</t>
  </si>
  <si>
    <t xml:space="preserve">Амбулаторный скрининг апноэ сна (Type III) ,  на дому либо в номере.</t>
  </si>
  <si>
    <t xml:space="preserve">MedGrade ,  обзор ApneaLink Air; Itamar WatchPAT; SleepWorks Medical $3–4 тыс. за регистратор ApneaLink Air; одноразовый WatchPAT ONE ~$200 за исследование.</t>
  </si>
  <si>
    <t xml:space="preserve">Парк из 5 регистраторов покрывает ~20 гостей в неделю. Расходники WatchPAT ONE ($150–200 за исследование) ,  pass-through. По России: ResMed ограничен после 2022 года; параллельный импорт работает.</t>
  </si>
  <si>
    <t xml:space="preserve">Лаборатория сна</t>
  </si>
  <si>
    <t xml:space="preserve">Полисомнография (PSG) ,  32 канала плюс палата</t>
  </si>
  <si>
    <t xml:space="preserve">Natus NicoletOne / Embla, Compumedics Grael, SOMNOmedics SOMNOscreen</t>
  </si>
  <si>
    <t xml:space="preserve">Полная PSG (ЭЭГ, EOG, ЭМГ, ЭКГ, оксиметрия, поток воздуха, усилие) ,  золотой стандарт сомнологии.</t>
  </si>
  <si>
    <t xml:space="preserve">Sleep Review 2024 ,  сравнение PSG; восстановленные Embla / NicoletOne на DotMed $20–40 тыс.; коммерческий прайс Natus / Compumedics €80–120 тыс. за 32 канала.</t>
  </si>
  <si>
    <t xml:space="preserve">Включает усилитель, электроды, видео, звукоизолированную палату (отделка ~€30 тыс. дополнительно). Для 80–100 номеров ,  1–2 койки.</t>
  </si>
  <si>
    <t xml:space="preserve">Носимые устройства</t>
  </si>
  <si>
    <t xml:space="preserve">Премиальные носимые устройства (Oura/WHOOP/Apple Watch)</t>
  </si>
  <si>
    <t xml:space="preserve">Oura Ring Gen 4, WHOOP 5.0, Apple Watch Ultra 2</t>
  </si>
  <si>
    <t xml:space="preserve">Стадии сна, ВСР, восстановление, тренировочная нагрузка ,  гостевой носимый гаджет в составе программы.</t>
  </si>
  <si>
    <t xml:space="preserve">Oura Ring $349–499; WHOOP $239 + $30 в месяц; Apple Watch Ultra 2 $799. Парк 25 единиц по средней цене €320.</t>
  </si>
  <si>
    <t xml:space="preserve">Парк выдаётся гостям на проживание. Подписки относятся к OPEX. По России: Apple Watch и Oura ,  параллельный импорт (надбавка 30%); WHOOP официально недоступен.</t>
  </si>
  <si>
    <t xml:space="preserve">Телемедицина и цифровое здоровье</t>
  </si>
  <si>
    <t xml:space="preserve">Интеграция данных CGM</t>
  </si>
  <si>
    <t xml:space="preserve">Интеграция платформы CGM (тип Levels)</t>
  </si>
  <si>
    <t xml:space="preserve">Levels Health API, Nutrisense, Veri</t>
  </si>
  <si>
    <t xml:space="preserve">Передача данных непрерывных глюкометров в платформу долголетия.</t>
  </si>
  <si>
    <t xml:space="preserve">Levels API B2B / Nutrisense; ориентировочная стоимость интеграции.</t>
  </si>
  <si>
    <t xml:space="preserve">Сенсоры тарифицируются отдельно по гостю. По России: Abbott Libre ,  параллельным импортом; портал ,  российская разработка.</t>
  </si>
  <si>
    <t xml:space="preserve">Инфраструктура, Диагностика</t>
  </si>
  <si>
    <t xml:space="preserve">Платформа постгостевого коучинга</t>
  </si>
  <si>
    <t xml:space="preserve">Приложение для коучинга и консьерж-сервиса (после выезда)</t>
  </si>
  <si>
    <t xml:space="preserve">MindBody Plus, Healthie, custom on Twilio</t>
  </si>
  <si>
    <t xml:space="preserve">Индивидуальный коучинг, контент и удержание клиента в течение 6–12 месяцев после визита.</t>
  </si>
  <si>
    <t xml:space="preserve">Healthie / индивидуальная разработка; референс модели Lanserhof@home.</t>
  </si>
  <si>
    <t xml:space="preserve">Критичный драйвер выручки и возврата гостей ,  формирует ARR через подписку. Штатный показатель ,  численность коучей.</t>
  </si>
  <si>
    <t xml:space="preserve">Платформа видеоконсультаций</t>
  </si>
  <si>
    <t xml:space="preserve">HIPAA/GDPR-совместимая телемедицинская платформа</t>
  </si>
  <si>
    <t xml:space="preserve">Doxy.me Enterprise, Teladoc B2B, Amwell</t>
  </si>
  <si>
    <t xml:space="preserve">Видеоконсультации с врачами долголетия после визита.</t>
  </si>
  <si>
    <t xml:space="preserve">Doxy.me Clinic $50 за пользователя в месяц; Enterprise ,  индивидуально; ~30–40 пользователей.</t>
  </si>
  <si>
    <t xml:space="preserve">По России: используются российские альтернативы (Mednote, Doctis) из-за GDPR/152-ФЗ и санкций.</t>
  </si>
  <si>
    <t xml:space="preserve">Носимые устройства ,  WHOOP/Garmin</t>
  </si>
  <si>
    <t xml:space="preserve">WHOOP Unite + Garmin Health (корпоративный пакет)</t>
  </si>
  <si>
    <t xml:space="preserve">WHOOP Unite, Garmin Health enterprise</t>
  </si>
  <si>
    <t xml:space="preserve">Учёт нагрузки и восстановления, коучинг по перформансу и долголетию.</t>
  </si>
  <si>
    <t xml:space="preserve">WHOOP Unite (200+ корпоративных клиентов, prnewswire 2022); Garmin Health B2B.</t>
  </si>
  <si>
    <t xml:space="preserve">Опционально как дополнение к Oura. По России: оборудование ,  параллельным импортом.</t>
  </si>
  <si>
    <t xml:space="preserve">Носимые устройства ,  кольца</t>
  </si>
  <si>
    <t xml:space="preserve">Корпоративное развёртывание Oura Ring</t>
  </si>
  <si>
    <t xml:space="preserve">Oura for Business, Ultrahuman Ring, RingConn</t>
  </si>
  <si>
    <t xml:space="preserve">Отслеживание сна, ВСР и восстановления; долгосрочный крючок вовлечения.</t>
  </si>
  <si>
    <t xml:space="preserve">Oura for Business B2B (sacra.com ,  23% выручки); ~200 колец по $300 плюс дашборд.</t>
  </si>
  <si>
    <t xml:space="preserve">Стартовый парк 150–250 колец и B2B-дашборд; ежегодное пополнение ~25%.</t>
  </si>
  <si>
    <t xml:space="preserve">СВОДКА CapEx ПО УРОВНЯМ</t>
  </si>
  <si>
    <t xml:space="preserve">Живой свод из реестра через SUMPRODUCT. Меняйте цены в реестре ,  итоги обновятся.</t>
  </si>
  <si>
    <t xml:space="preserve">keys_count</t>
  </si>
  <si>
    <t xml:space="preserve">← редактируемый параметр (середина диапазона 80–100 номеров)</t>
  </si>
  <si>
    <t xml:space="preserve">Курс RUB/EUR</t>
  </si>
  <si>
    <t xml:space="preserve">Курс RUB/USD</t>
  </si>
  <si>
    <t xml:space="preserve">РЕГИОН ,  Европа (€)</t>
  </si>
  <si>
    <t xml:space="preserve">Группа</t>
  </si>
  <si>
    <t xml:space="preserve">Итого медицинский CapEx</t>
  </si>
  <si>
    <t xml:space="preserve">Итого SPA и восстановление</t>
  </si>
  <si>
    <t xml:space="preserve">Итого фитнес и движение</t>
  </si>
  <si>
    <t xml:space="preserve">Итого ИТ и ПО (единовременный CapEx)</t>
  </si>
  <si>
    <t xml:space="preserve">Итого кухня и F&amp;B</t>
  </si>
  <si>
    <t xml:space="preserve">Итого медицинская инфраструктура</t>
  </si>
  <si>
    <t xml:space="preserve">ИТОГО CapEx</t>
  </si>
  <si>
    <t xml:space="preserve">CapEx на номер</t>
  </si>
  <si>
    <t xml:space="preserve">РЕГИОН ,  Северная Америка ($)</t>
  </si>
  <si>
    <t xml:space="preserve">РЕГИОН ,  Азия ($)</t>
  </si>
  <si>
    <t xml:space="preserve">РЕГИОН ,  Россия (₽)</t>
  </si>
  <si>
    <t xml:space="preserve">БЕНЧМАРКИ</t>
  </si>
  <si>
    <t xml:space="preserve">Люкс-отель: CapEx на номер (HVS, глобально)</t>
  </si>
  <si>
    <t xml:space="preserve">$400 000 – $1 100 000</t>
  </si>
  <si>
    <t xml:space="preserve">HVS Hotel Development Cost Survey, люкс-сегмент</t>
  </si>
  <si>
    <t xml:space="preserve">Премиальный longevity-резорт: общий CapEx на номер (оценка)</t>
  </si>
  <si>
    <t xml:space="preserve">$700 000 – $1 500 000</t>
  </si>
  <si>
    <t xml:space="preserve">Оборудование в этой книге показано как НАДБАВКА к базовой постройке отеля.</t>
  </si>
  <si>
    <t xml:space="preserve">CapEx на номер только по оборудованию по уровням (это исследование)</t>
  </si>
  <si>
    <t xml:space="preserve">Считается живой формулой из реестра по каждому региону выше.</t>
  </si>
  <si>
    <t xml:space="preserve">Меняйте цены в реестре ,  все своды обновятся.</t>
  </si>
  <si>
    <t xml:space="preserve">Примечание о цитировании</t>
  </si>
  <si>
    <t xml:space="preserve">Все ценовые ориентиры операторов (Lanserhof, SHA, CLP, Chenot) перекрёстно проверены за 2025–2026 годы.</t>
  </si>
  <si>
    <t xml:space="preserve">Полную библиографию см. на листе «Источники и методология».</t>
  </si>
  <si>
    <t xml:space="preserve">ОПЕРАЦИОННАЯ ЭКОНОМИКА</t>
  </si>
  <si>
    <t xml:space="preserve">Метрика</t>
  </si>
  <si>
    <t xml:space="preserve">Six Senses Place</t>
  </si>
  <si>
    <t xml:space="preserve">SHA / Chenot</t>
  </si>
  <si>
    <t xml:space="preserve">Lanserhof / CLP</t>
  </si>
  <si>
    <t xml:space="preserve">Годовой ФОТ клиники, EUR</t>
  </si>
  <si>
    <t xml:space="preserve">Годовой ФОТ клиники, RUB</t>
  </si>
  <si>
    <t xml:space="preserve">Выручка программ, год 5, EUR</t>
  </si>
  <si>
    <t xml:space="preserve">Выручка программ, год 5, RUB</t>
  </si>
  <si>
    <t xml:space="preserve">Контрибуционная маржа программ, EUR</t>
  </si>
  <si>
    <t xml:space="preserve">МОДЕЛЬ ОКУПАЕМОСТИ И ВЫРУЧКИ</t>
  </si>
  <si>
    <t xml:space="preserve">Окупаемость на уровне оборудования при российской рублёвой базе затрат; цены в EUR/USD приведены в реестре.</t>
  </si>
  <si>
    <t xml:space="preserve">ДОПУЩЕНИЯ</t>
  </si>
  <si>
    <t xml:space="preserve">Номера</t>
  </si>
  <si>
    <t xml:space="preserve">Загрузка на 5-й год</t>
  </si>
  <si>
    <t xml:space="preserve">Годовых ночей продаж на 5-й год</t>
  </si>
  <si>
    <t xml:space="preserve">Среднее число заездов в год (при 7 ночах)</t>
  </si>
  <si>
    <t xml:space="preserve">Рабочих дней в году</t>
  </si>
  <si>
    <t xml:space="preserve">Рабочих часов в день</t>
  </si>
  <si>
    <t xml:space="preserve">Рабочих часов в году</t>
  </si>
  <si>
    <t xml:space="preserve">БЛОКИ ОКУПАЕМОСТИ ОБОРУДОВАНИЯ (база Россия / RUB)</t>
  </si>
  <si>
    <t xml:space="preserve">Блок</t>
  </si>
  <si>
    <t xml:space="preserve">Уровень</t>
  </si>
  <si>
    <t xml:space="preserve">CapEx (₽)</t>
  </si>
  <si>
    <t xml:space="preserve">Годовые расходы (₽)</t>
  </si>
  <si>
    <t xml:space="preserve">Цена процедуры (₽)</t>
  </si>
  <si>
    <t xml:space="preserve">Годовое количество процедур</t>
  </si>
  <si>
    <t xml:space="preserve">Прямая выручка (₽)</t>
  </si>
  <si>
    <t xml:space="preserve">Годовой вклад (₽)</t>
  </si>
  <si>
    <t xml:space="preserve">Окупаемость (лет)</t>
  </si>
  <si>
    <t xml:space="preserve">Характер</t>
  </si>
  <si>
    <t xml:space="preserve">МРТ 3 Тл (премиальный скрининг)</t>
  </si>
  <si>
    <t xml:space="preserve">Прямая ,  оплата за процедуру</t>
  </si>
  <si>
    <t xml:space="preserve">Пропускная способность ограничена 2 200 сканов в год (~50% гостей плюс 30% внешних). Высокомаржинальный executive-скрининг при санкционно обусловленном CapEx. Бенчмарк ЕС €1 800–2 500; целевая цена в России 110 тыс. ₽ ≈ €1 200.</t>
  </si>
  <si>
    <t xml:space="preserve">МРТ 1,5 Тл (рабочая лошадка)</t>
  </si>
  <si>
    <t xml:space="preserve">Целевая нагрузка по опорно-двигательному аппарату, неврологии и кардиологии; премия ниже, чем у 3 Тл. Пропускная способность ограничена 1 800 сканами в год.</t>
  </si>
  <si>
    <t xml:space="preserve">КТ-сканер 128–256 срезов</t>
  </si>
  <si>
    <t xml:space="preserve">Кардио-CA scoring и низкодозный скрининг лёгких; ~30% гостей. Загрузка ниже МРТ при более высокой пропускной способности.</t>
  </si>
  <si>
    <t xml:space="preserve">DEXA-сканер (состав тела + плотность кости)</t>
  </si>
  <si>
    <t xml:space="preserve">Базовая позиция программ долголетия ,  назначается практически всем гостям. Цена в России 12 тыс. ₽ ≈ €130.</t>
  </si>
  <si>
    <t xml:space="preserve">Полный полисомнографический комплекс (PSG)</t>
  </si>
  <si>
    <t xml:space="preserve">Однокоечная PSG; пропускная способность ,  1 исследование за ночь × 320 ночей. Расширение до многокоечной возможно. Целевая цена 80 тыс. ₽ против €800–2500 в ЕС.</t>
  </si>
  <si>
    <t xml:space="preserve">CPET / VO2max ,  метаболическая платформа</t>
  </si>
  <si>
    <t xml:space="preserve">Lanserhof Classic Plus включает CPET в пакет; в России оценочно ~50% от европейских €350–500.</t>
  </si>
  <si>
    <t xml:space="preserve">Премиальный кардиологический УЗИ (эхо)</t>
  </si>
  <si>
    <t xml:space="preserve">Кардиологическая опорная позиция; включается в executive-панель плюс оплачивается отдельно за исследование.</t>
  </si>
  <si>
    <t xml:space="preserve">Гормональный/иммуноанализатор</t>
  </si>
  <si>
    <t xml:space="preserve">Высокая доля реагентов; включается в долголетческие панели. Пропускная способность ограничена 4 000 тестами в год (~1,3 на гостя).</t>
  </si>
  <si>
    <t xml:space="preserve">Стандартная составляющая executive-панели; ежедневное использование.</t>
  </si>
  <si>
    <t xml:space="preserve">Блок IV-кресел (NAD+/витаминно-инфузионная зона)</t>
  </si>
  <si>
    <t xml:space="preserve">Высокомаржинальный сервис (NAD+ €600–1200; «коктейль Майерса» €120–300). Шесть кресел дают 6 × 320 × 4 сеанса = 7 680 сеансов в год; реалистичная нагрузка ~30%.</t>
  </si>
  <si>
    <t xml:space="preserve">FibroScan</t>
  </si>
  <si>
    <t xml:space="preserve">Часть протоколов longevity и метаболического скрининга. Французский OEM ,  чистый канал в Россию.</t>
  </si>
  <si>
    <t xml:space="preserve">Криосауна (whole-body)</t>
  </si>
  <si>
    <t xml:space="preserve">ADR-recovered</t>
  </si>
  <si>
    <t xml:space="preserve">Цена за сеанс 3 тыс. ₽ ≈ €33 ,  ниже европейской, что соответствует позиционированию России как «доступной премиальной» аудитории.</t>
  </si>
  <si>
    <t xml:space="preserve">Премиальный комплекс банных и термальных зон</t>
  </si>
  <si>
    <t xml:space="preserve">ADR-recovered (niche neurorehab; consider deferring)</t>
  </si>
  <si>
    <t xml:space="preserve">ADR-надбавка / пакеты</t>
  </si>
  <si>
    <t xml:space="preserve">Выручка идёт через ADR и комплексные пакеты, а не через прямой биллинг. Якорь культурной идентичности резорта.</t>
  </si>
  <si>
    <t xml:space="preserve">Гидротерапевтический контур (Виши, душ-впечатления, Кнайпп, хаммам)</t>
  </si>
  <si>
    <t xml:space="preserve">Окупается через ADR-надбавку и SPA-пакеты. Прямой биллинг лишь для отдельных Виши-сеансов.</t>
  </si>
  <si>
    <t xml:space="preserve">Полный комплекс Pilates (8 реформеров + кадиллак)</t>
  </si>
  <si>
    <t xml:space="preserve">Источник выручки ,  групповые занятия и пакеты. Прямые сеансы ,  €40–80 за индивидуальный.</t>
  </si>
  <si>
    <t xml:space="preserve">Тренажёрный зал Technogym Artis (премиум-линейка)</t>
  </si>
  <si>
    <t xml:space="preserve">ADR-надбавка</t>
  </si>
  <si>
    <t xml:space="preserve">Не выставляется отдельным счётом; обеспечивает позиционирование курорта и ADR.</t>
  </si>
  <si>
    <t xml:space="preserve">PMS, гостевая инфраструктура и AV</t>
  </si>
  <si>
    <t xml:space="preserve">Обеспечивающая инфраструктура</t>
  </si>
  <si>
    <t xml:space="preserve">Окупается через ADR и операционную эффективность. ~5–7 млн ₽ в год ,  это OPEX по подпискам.</t>
  </si>
  <si>
    <t xml:space="preserve">Премиальный кухонный комплекс</t>
  </si>
  <si>
    <t xml:space="preserve">Enabling spend</t>
  </si>
  <si>
    <t xml:space="preserve">Терапевтическая и ресторанная кухня. Окупается через P&amp;L F&amp;B (контрибьюшн 25–35%).</t>
  </si>
  <si>
    <t xml:space="preserve">МИС среднего класса (тип Athenahealth)</t>
  </si>
  <si>
    <t xml:space="preserve">Обязательная инфраструктура; окупается через эффективность и комплаенс. Подписка 6 млн ₽ в год относится к OPEX.</t>
  </si>
  <si>
    <t xml:space="preserve">Полный стек PMS, бронирования SPA и гостевого приложения</t>
  </si>
  <si>
    <t xml:space="preserve">Стек hospitality и велнес-операций. Подписка 5–7 млн ₽ в год относится к OPEX.</t>
  </si>
  <si>
    <t xml:space="preserve">БЕНЧМАРКИ ЦЕН НА ПРОЦЕДУРЫ</t>
  </si>
  <si>
    <t xml:space="preserve">Процедура</t>
  </si>
  <si>
    <t xml:space="preserve">Lanserhof, якорь (€)</t>
  </si>
  <si>
    <t xml:space="preserve">SHA (€)</t>
  </si>
  <si>
    <t xml:space="preserve">CLP (€)</t>
  </si>
  <si>
    <t xml:space="preserve">Россия, цель (₽)</t>
  </si>
  <si>
    <t xml:space="preserve">Россия, эквивалент (€)</t>
  </si>
  <si>
    <t xml:space="preserve">МРТ всего тела (executive-скрининг, без контраста)</t>
  </si>
  <si>
    <t xml:space="preserve">Lanserhof, SHA и CLP не публикуют отдельных цен на МРТ всего тела ,  она входит в пакеты долголетия. Бенчмарк ЕС оценочно €1 800–2 500 за самостоятельное исследование (без контраста) в премиальной клинике. Российский эквивалент в премиальной частной клинике ,  €1 200–1 800.</t>
  </si>
  <si>
    <t xml:space="preserve">DEXA (состав тела и плотность кости)</t>
  </si>
  <si>
    <t xml:space="preserve">Lanserhof, CLP и Chenot включают DEXA в пакеты долголетия и не публикуют отдельной цены. Оценено по бенчмаркам прямой оплаты в США и Великобритании. Эквивалент в российской премиальной клинике ,  €80–150.</t>
  </si>
  <si>
    <t xml:space="preserve">VO2max / CPET (кардиопульмональный тест)</t>
  </si>
  <si>
    <t xml:space="preserve">Пакет Lanserhof Classic Plus на 7 ночей (от €4 046 без проживания) включает VO2max. Российский премиум-сегмент ,  €200–350.</t>
  </si>
  <si>
    <t xml:space="preserve">Полная полисомнография (стационарная ночная)</t>
  </si>
  <si>
    <t xml:space="preserve">Стационарная PSG; домашние тесты обычно €200–600. Российский премиум-сегмент ,  €300–800.</t>
  </si>
  <si>
    <t xml:space="preserve">Executive-диагностическая / longevity-панель (medical basis therapy + диагностика, без проживания, 7 ночей)</t>
  </si>
  <si>
    <t xml:space="preserve">Программное ценообразование ,  базовая медицинская терапия наиболее близка к самостоятельному executive-блоку.</t>
  </si>
  <si>
    <t xml:space="preserve">Программа здорового старения / расширенного долголетия (7 ночей, без проживания)</t>
  </si>
  <si>
    <t xml:space="preserve">Самый прямой отраслевой бенчмарк цены программы. CLP Revitalisation Premium до 48 520 CHF задаёт верхнюю границу.</t>
  </si>
  <si>
    <t xml:space="preserve">Тест биологического возраста / эпигенетика (биомаркерная панель)</t>
  </si>
  <si>
    <t xml:space="preserve">Бенчмарки розничного DTC. Премиальные клиники (CLP, SHA) включают тест в программу; самостоятельный ,  обычно €400–700. Российские аналоги (Atlas, Genotek) ,  €80–200 розницей.</t>
  </si>
  <si>
    <t xml:space="preserve">Тест микробиома (16S rRNA или метагеномика, отчёт)</t>
  </si>
  <si>
    <t xml:space="preserve">Розница DTC €100–450; администрирование в премиальной клинике (с консультацией) ,  €350–700. Российские аналоги (Atlas, Knomx) ,  €80–180.</t>
  </si>
  <si>
    <t xml:space="preserve">Пакет «Здоровый мозг» (Lanserhof Tegernsee, без проживания)</t>
  </si>
  <si>
    <t xml:space="preserve">Lanserhof не раскрывает точную цену надстройки; структура повторяет надстройку Longevity (€5 113). Учитывается как оценка.</t>
  </si>
  <si>
    <t xml:space="preserve">БЕНЧМАРКИ ЦЕН НА ПАКЕТЫ</t>
  </si>
  <si>
    <t xml:space="preserve">Оператор</t>
  </si>
  <si>
    <t xml:space="preserve">Пакет</t>
  </si>
  <si>
    <t xml:space="preserve">Цена (€)</t>
  </si>
  <si>
    <t xml:space="preserve">Включает проживание</t>
  </si>
  <si>
    <t xml:space="preserve">Что входит</t>
  </si>
  <si>
    <t xml:space="preserve">Lanserhof Tegernsee</t>
  </si>
  <si>
    <t xml:space="preserve">Lanserhof Cure Classic + Longevity (7 ночей, только программа, без проживания)</t>
  </si>
  <si>
    <t xml:space="preserve">Первичный и заключительный осмотры врача, промежуточные приёмы с мануальными абдоминальными процедурами, диагностика состава тела, ежедневные терапевтические групповые сессии, longevity-диагностика (эпигенетика и биомаркеры), питание по принципам Майра (полный пансион), доступ к SPA. Проживание ,  отдельно.</t>
  </si>
  <si>
    <t xml:space="preserve">https://lanserhof.com/en/lanserhof-tegernsee/treatments/package-longevity-tegernsee/ ; https://www.serenityways.com/clinics/lanserhof-tegernsee</t>
  </si>
  <si>
    <t xml:space="preserve">SHA Wellness Clinic Spain (Аликанте)</t>
  </si>
  <si>
    <t xml:space="preserve">Advanced Longevity (7 ночей, программа + Deluxe Suite с видом на море, на 2 гостей)</t>
  </si>
  <si>
    <t xml:space="preserve">Генетическое тестирование, биомаркерный анализ, биологический профиль из 88 показателей, гипоксическая тренировка, нейрокогнитивная оценка, фотобиомодуляция, NAD-терапия, гипербарическая оксигенация, индивидуальная нутрициология (полный пансион), холистические процедуры, проживание в Deluxe Suite с видом на море.</t>
  </si>
  <si>
    <t xml:space="preserve">https://shawellness.com/en/advanced-longevity/ ; https://www.serenityways.com/clinics/sha-spain</t>
  </si>
  <si>
    <t xml:space="preserve">Clinique La Prairie (Монтрё)</t>
  </si>
  <si>
    <t xml:space="preserve">Master Detox (6 ночей / 7 дней)</t>
  </si>
  <si>
    <t xml:space="preserve">Проживание, полный пансион (детокс-меню CLP), комплексные медицинские консультации и диагностика (кардиология, терапия), углублённые детокс-процедуры, лимфодренаж, IV-терапия, доступ к SPA, план дальнейшего наблюдения.</t>
  </si>
  <si>
    <t xml:space="preserve">https://www.cliniquelaprairie.com/programs/master-detox/ ; https://swissmedexpert.com/clinique-la-prairie-detox</t>
  </si>
  <si>
    <t xml:space="preserve">Revitalisation Premium / Legendary Premium (1 неделя, верхний уровень)</t>
  </si>
  <si>
    <t xml:space="preserve">Фирменная клеточная программа CLP, полный медицинский осмотр с визуализацией, расширенная диагностика, мультиспециализированные консультации, проживание в премиальном сьюте, полный пансион, SPA.</t>
  </si>
  <si>
    <t xml:space="preserve">https://serenityways.com/pages/clinique-la-prairie-prices ; https://swissmedexpert.com/clinic-la-prairie</t>
  </si>
  <si>
    <t xml:space="preserve">Chenot Palace Weggis</t>
  </si>
  <si>
    <t xml:space="preserve">Advanced Detox (7 ночей, без проживания)</t>
  </si>
  <si>
    <t xml:space="preserve">Метод Chenot, ежедневные медицинские консультации, энергетические и детокс-процедуры (hydro-jet, биоэнергетические, фитогрязи, массаж), комплексная диагностика, питание (диета Chenot, fasting-mimicking), доступ к фитнесу, бассейну и термальной зоне. Проживание ,  отдельно.</t>
  </si>
  <si>
    <t xml:space="preserve">https://www.chenot.com/chenot-palace/weggis/programmes/ ; https://www.serenityways.com/clinics/chenot-palace-weggis ; https://www.chenot.com/wp-content/uploads/2024/05/Chenot-Palace-Weggis-Brochure-EN.pdf</t>
  </si>
  <si>
    <t xml:space="preserve">VIVAMAYR Maria Wörth / Altaussee</t>
  </si>
  <si>
    <t xml:space="preserve">Modern Mayr Cure Classic (7 ночей, только программа)</t>
  </si>
  <si>
    <t xml:space="preserve">Первичная и заключительная консультации с врачом по Майру, ежедневные абдоминальные процедуры, полный пансион по диете Майра, процедуры пищеварения, базовая диагностика (лаборатория, состав тела), доступ к SPA. Проживание ,  отдельно (номера от €378 до €3 750 за ночь).</t>
  </si>
  <si>
    <t xml:space="preserve">https://www.vivamayr.com/en/downloads/ ; https://serenityways.com/pages/vivamayr-prices ; https://www.best-treatment.com/en/clinics/vivamayr-altaussee/packages/modern-mayr-cure-basic</t>
  </si>
  <si>
    <t xml:space="preserve">Buchinger Wilhelmi (Боденское озеро, Юберлинген)</t>
  </si>
  <si>
    <t xml:space="preserve">Классическая 10-дневная программа лечебного голодания</t>
  </si>
  <si>
    <t xml:space="preserve">Минимум 10 ночей: разгрузочный день, ~6 дней голодания, дни выхода. Две медицинские консультации на 7 ночей, расширенная лабораторная диагностика, ежедневный осмотр, печёночные обёртывания, кишечные процедуры через день, круглосуточный дежурный врач, ваучер €45 за ночь на процедуры. Проживание ,  отдельно (обычно от €218 за ночь).</t>
  </si>
  <si>
    <t xml:space="preserve">https://www.buchinger-wilhelmi.com/en/buchinger-wilhelmi-lake-constance/arrangements-packages/ ; https://www.buchinger-wilhelmi.com/wp-content/uploads/2024/11/What-we-offer-2025_web_V1.3.pdf ; https://luxury-rehabs.com/buchinger-wilhelmi/</t>
  </si>
  <si>
    <t xml:space="preserve">Six Senses (базовая программа долголетия в нескольких отелях)</t>
  </si>
  <si>
    <t xml:space="preserve">Six Senses Longevity (зависит от объекта; например Six Senses Ibiza, Douro Valley, Kaplankaya)</t>
  </si>
  <si>
    <t xml:space="preserve">Персонализированная программа с биомаркерной базой, интегративной медицинской консультацией, анализом сна, фитнес-оценкой, IV/пептидной терапией (там, где разрешено), индивидуальным питанием, холистическими процедурами, проживанием и полным пансионом.</t>
  </si>
  <si>
    <t xml:space="preserve">https://www.sixsenses.com/en/wellness-spa/personalized-wellness/longevity/ ; https://www.sixsenses.com/en/wellness-spa/retreats/ ; https://www.hotel-online.com/news/six-senses-2025-wellness-forecast</t>
  </si>
  <si>
    <t xml:space="preserve">ЭКОНОМИКА ПАКЕТА ,  премиум-программа долголетия 7 ночей по €15 000 на гостя</t>
  </si>
  <si>
    <t xml:space="preserve">Компонент</t>
  </si>
  <si>
    <t xml:space="preserve">Доля</t>
  </si>
  <si>
    <t xml:space="preserve">Стоимость (€)</t>
  </si>
  <si>
    <t xml:space="preserve">Проживание</t>
  </si>
  <si>
    <t xml:space="preserve">Сьют, тариф за номер на 7 ночей</t>
  </si>
  <si>
    <t xml:space="preserve">Медицинские процедуры (собственное оборудование)</t>
  </si>
  <si>
    <t xml:space="preserve">Аллокация МРТ/КТ/DEXA/PSG/CPET/лаборатории на пакет</t>
  </si>
  <si>
    <t xml:space="preserve">SPA и восстановление (собственное оборудование)</t>
  </si>
  <si>
    <t xml:space="preserve">Гидротерапия, криосауна, банный комплекс, хаммам, Виши, пилатес</t>
  </si>
  <si>
    <t xml:space="preserve">F&amp;B (терапевтическая и ресторанная)</t>
  </si>
  <si>
    <t xml:space="preserve">Терапевтическое меню и a la carte allowance</t>
  </si>
  <si>
    <t xml:space="preserve">Профильные консультации (труд)</t>
  </si>
  <si>
    <t xml:space="preserve">Время врача, нутрициолога, специалиста по сну, физиотерапевта</t>
  </si>
  <si>
    <t xml:space="preserve">Маржинальный вклад</t>
  </si>
  <si>
    <t xml:space="preserve">Контрибьюшн объекта после прямого OPEX</t>
  </si>
  <si>
    <t xml:space="preserve">Итого пакет</t>
  </si>
  <si>
    <t xml:space="preserve">ОБОРУДОВАНИЕ БЕЗ ПРЯМОГО БИЛЛИНГА ,  ЛОГИКА НАДБАВКИ К ADR</t>
  </si>
  <si>
    <t xml:space="preserve">Обоснование</t>
  </si>
  <si>
    <t xml:space="preserve">Высококлассный тренажёрный зал, гидротерапевтический бассейн, премиальный банный комплекс, полная пилатес-студия, снежная комната и хаммам не выставляются за процедуру, но обеспечивают значимую надбавку к ADR относительно сопоставимого люкс-отеля.</t>
  </si>
  <si>
    <t xml:space="preserve">Надбавка к ADR за ночь (€)</t>
  </si>
  <si>
    <t xml:space="preserve">Надбавка к ADR за ночь (₽)</t>
  </si>
  <si>
    <t xml:space="preserve">Годовая надбавка (₽)</t>
  </si>
  <si>
    <t xml:space="preserve">Годовая надбавка (€-эквивалент)</t>
  </si>
  <si>
    <t xml:space="preserve">Надбавка = 23 000 ₽ × 21 352 ночи (90 номеров × 365 × 65% загрузки). Отраслевое правило: премиальное SPA/велнес добавляет 15–30% к ADR; €250 за ночь ,  консервативная оценка при базе €1 000–1 500 за ночь.</t>
  </si>
  <si>
    <t xml:space="preserve">СВОДНЫЕ ДИАПАЗОНЫ ОКУПАЕМОСТИ</t>
  </si>
  <si>
    <t xml:space="preserve">Быстрая окупаемость (&lt; 1,5 года)</t>
  </si>
  <si>
    <t xml:space="preserve">Парк IV-кресел (~0,05 года), CPET (~0,5 года), DEXA, гормональный анализатор (~1 год) ,  небольшой CapEx и высокая маржинальность.</t>
  </si>
  <si>
    <t xml:space="preserve">Средняя окупаемость (1,5–6 лет)</t>
  </si>
  <si>
    <t xml:space="preserve">Гематологический анализатор, полная PSG (~1–1,5 года); МРТ 3 Тл (~3 года), МРТ 1,5 Тл (~3 года), КТ (~5–6 лет с поправкой на загрузку), кардио-УЗИ (~3 года).</t>
  </si>
  <si>
    <t xml:space="preserve">Долгая окупаемость (&gt; 6 лет напрямую)</t>
  </si>
  <si>
    <t xml:space="preserve">Криосауна (~4 года), банный комплекс (~6–8 лет смешанно), Виши/хаммам (~10–15 лет напрямую).</t>
  </si>
  <si>
    <t xml:space="preserve">Надбавка к ADR / обеспечивающая инфраструктура</t>
  </si>
  <si>
    <t xml:space="preserve">Гидротерапевтический бассейн, полный комплект Technogym, пилатес-студия, кухня и F&amp;B, МИС, полный стек PMS+ИТ ,  окупаются через ADR, цены пакетов, маржу F&amp;B либо обеспечивают инфраструктуру. Lokomat помечен как нишевый/маржинальный ,  целесообразно отложить.</t>
  </si>
  <si>
    <t xml:space="preserve">РЕГИОНАЛЬНЫЕ ФАКТОРЫ СТОИМОСТИ</t>
  </si>
  <si>
    <t xml:space="preserve">Справочный документ ,  основан на Phase 6 исследования. Российский раздел проработан наиболее детально с учётом санкционной сложности.</t>
  </si>
  <si>
    <t xml:space="preserve">1. ЗАПАДНАЯ ЕВРОПА</t>
  </si>
  <si>
    <t xml:space="preserve">Базовый прайс OEM</t>
  </si>
  <si>
    <t xml:space="preserve">Западная Европа (Германия, Швейцария, Австрия, Италия, Франция, Испания) фактически выступает базовой шкалой OEM-цен по основным производителям медицинского и SPA-оборудования для сегмента longevity-резортов: Siemens Healthineers, GE HealthCare (продажи в ЕС), Philips, Drägerwerk, Storz, Olympus, Hologic, Technogym, Klafs, Starpool, Iyashi Dôme, Cosmed, Schiller, Mindray-Europe. Прайс в EUR обычно служит ориентиром для трансграничных бенчмарков.</t>
  </si>
  <si>
    <t xml:space="preserve">Дистрибьюторская наценка</t>
  </si>
  <si>
    <t xml:space="preserve">Типичная наценка локального дистрибьютора над прайсом OEM ,  15–25%. Прямые контракты с OEM на крупные пакеты (от €1 млн) часто дают скидку 8–15% от прайса; единичные покупки оплачиваются по полному прайсу с дистрибьюторской наценкой.</t>
  </si>
  <si>
    <t xml:space="preserve">Уровень затрат на обслуживание</t>
  </si>
  <si>
    <t xml:space="preserve">Сервисные контракты в среднем составляют 6–10% CapEx для визуализации (МРТ, КТ, УЗИ) и 4–7% для SPA и оборудования восстановления. Многолетние пакеты (5–7 лет) обычно согласуются по эффективной ставке 5–7%.</t>
  </si>
  <si>
    <t xml:space="preserve">Рынок б/у и refurb</t>
  </si>
  <si>
    <t xml:space="preserve">Сильный вторичный рынок: восстановленные МРТ и КТ обычно стоят 40–60% от прайса нового, восстановленный ультразвук ,  35–50%, DEXA ,  50–65%. Block Imaging, Oxford Instruments, Soma Tech и Avante Health Solutions ,  основные брокеры с присутствием в ЕС. По SPA-оборудованию (криосауна, ИГГТ, гипербарика, Technogym) refurb-рынок тоньше: 60–80% от нового и ограниченное предложение.</t>
  </si>
  <si>
    <t xml:space="preserve">Ключевые замечания</t>
  </si>
  <si>
    <t xml:space="preserve">Возмещение НДС обычно доступно лицам с медицинской лицензией (Германия 19%, Австрия 20%, Швейцария 8,1%, Испания 21%, Италия 22%). Для медицинских изделий обязательна маркировка CE в рамках MDR (EU 2017/745); сроки перехода 2022–2024 годов привели к удорожанию изделий Class II/III на 5–8%. Энергетическая и трудовая инфляция 2022–2024 годов добавила примерно 10–15% к стоимости SPA-проектов.</t>
  </si>
  <si>
    <t xml:space="preserve">Замечания по валютам</t>
  </si>
  <si>
    <t xml:space="preserve">База ,  EUR; премия CHF к EUR обычно 10–15% для оборудования швейцарского производства.</t>
  </si>
  <si>
    <t xml:space="preserve">2. СЕВЕРНАЯ АМЕРИКА</t>
  </si>
  <si>
    <t xml:space="preserve">Цены относительно Европы</t>
  </si>
  <si>
    <t xml:space="preserve">Прайс в USD обычно на 10–20% выше европейского по визуализации и лабораторной технике (до перевода валют); для SPA и эстетики ,  на 5–15%. Связано с более высокой маржей дилеров, регуляторными издержками и премией за tort-litigation, заложенной в цены.</t>
  </si>
  <si>
    <t xml:space="preserve">Регуляторика FDA</t>
  </si>
  <si>
    <t xml:space="preserve">Требуется одобрение FDA 510(k) или PMA; срок вывода на рынок длиннее (обычно +6–18 месяцев против CE), и регуляторные издержки OEM включаются в американский прайс. Часть моделей, доступных в ЕС, недоступна в США, что приводит к выбору альтернативных SKU по более высокой цене. МРТ всего тела с одобрением FDA (Prenuvo, Ezra) развивается как сегмент прямой оплаты.</t>
  </si>
  <si>
    <t xml:space="preserve">Лизинговый рынок</t>
  </si>
  <si>
    <t xml:space="preserve">Сильно развитый рынок equipment finance и операционного лизинга; большинство премиальных велнес-операторов лизингует визуализацию (типичный срок 60 месяцев, эффективная ставка 4–7%). DLL, Siemens Financial Services и GE HealthCare Financial Services занимают доминирующие позиции. Доля лизинга по визуализации ,  около 50–60%, по SPA ,  25–35%.</t>
  </si>
  <si>
    <t xml:space="preserve">Сервисная сеть</t>
  </si>
  <si>
    <t xml:space="preserve">Плотное сервисное покрытие OEM; в крупных метрополиях доступен SLA с откликом 4 часа за ~10–12% CapEx в год.</t>
  </si>
  <si>
    <t xml:space="preserve">Налог с продаж по штатам ,  0–9,5%. Тарифные риски в 2024–2026 годах повышены (тарифы Section 301 на Китай затронули Mindray/Edan, отдельные SKU Technogym, собираемые в Азии). Соответствие HIPAA и интеграция МИС добавляют 5–10% к ИТ-CapEx.</t>
  </si>
  <si>
    <t xml:space="preserve">3. АЗИЯ</t>
  </si>
  <si>
    <t xml:space="preserve">Региональное производство</t>
  </si>
  <si>
    <t xml:space="preserve">Mindray (Китай, Шэньчжэнь) ,  №3 в мире по мониторам пациента и УЗИ; Edan (Китай) ,  ЭКГ, УЗИ, мониторы; Samsung Medison (Корея) ,  УЗИ, рентген; United Imaging (Китай) ,  МРТ/КТ, конкурентные с Siemens/GE/Philips, на 30–50% дешевле; Esaote (итальянская, производство в АТР) ,  УЗИ. Ниже стоимость по мониторингу, ЭКГ, УЗИ и базовой лаборатории; почти паритет по продвинутой визуализации.</t>
  </si>
  <si>
    <t xml:space="preserve">Импортные пошлины</t>
  </si>
  <si>
    <t xml:space="preserve">Сингапур: 0% на большинство медицинских изделий (HSA-перечень); Таиланд: 0–10% (большинство ,  освобождено по FDA-TH); ОАЭ: 0–5% (DHA/MOHAP); Япония: 0%; Корея: 0–8%; Китай: 0–4% при НДС 13% (медицина обычно по сниженной ставке 9% или освобождена); Гонконг: 0%.</t>
  </si>
  <si>
    <t xml:space="preserve">Сильная в Сингапуре, Гонконге, ОАЭ, Японии и Сеуле; слабее в Индонезии, Вьетнаме и второстепенных городах Китая. Mindray заявляет о сервисной сети в более чем 190 странах с региональными хабами.</t>
  </si>
  <si>
    <t xml:space="preserve">Оборудование азиатского производства (УЗИ Mindray и Samsung, диагностика сна BMC) после 2022 года всё чаще выступает заменителем в России. ОАЭ стали хабом параллельного реэкспорта. Индия предлагает оборудование Wipro GE с дисконтом 10–25% к европейскому прайсу.</t>
  </si>
  <si>
    <t xml:space="preserve">4. РОССИЯ ,  наиболее детальная глубина: санкции, параллельный импорт, отечественные альтернативы</t>
  </si>
  <si>
    <t xml:space="preserve">Таможенные пошлины</t>
  </si>
  <si>
    <t xml:space="preserve">Медицинское оборудование по ТН ВЭД 9018–9022 ,  обычно 0–5% (большая часть визуализации, ЭКГ, УЗИ и хирургический инструмент 0–5%); отдельные категории 5–10%. Постановление №1042 (2008, с поправками) перечисляет конкретное медицинское оборудование, освобождаемое от пошлины. Статус необходимо перепроверять по коду ТН ВЭД при таможенной декларации.</t>
  </si>
  <si>
    <t xml:space="preserve">НДС</t>
  </si>
  <si>
    <t xml:space="preserve">Стандартная ставка НДС ,  20%; многие медицинские изделия из правительственного перечня (Постановление №1042 / перечень жизненно необходимых) освобождены от НДС либо облагаются по сниженной ставке 10%. Оператору следует подтверждать освобождение по каждому изделию через российского таможенного брокера.</t>
  </si>
  <si>
    <t xml:space="preserve">Волатильность RUB</t>
  </si>
  <si>
    <t xml:space="preserve">RUB ослаб с ~89/USD на конец 2023 года до ~110/USD на конец 2024 года (~23%). Модели CapEx должны учитывать запас 15–25% на ослабление RUB на горизонте 5 лет ,  с FX-хеджированием либо контрактами в USD/EUR, где это возможно. Многотраншевая закупка по этапам строительства снижает FX-шок.</t>
  </si>
  <si>
    <t xml:space="preserve">Категории, затронутые санкциями</t>
  </si>
  <si>
    <t xml:space="preserve">Ограничено (EU 833/2014 и US BIS): высокотехнологичная визуализация при стоимости свыше $750 тыс. либо с компонентами двойного назначения (продвинутые МРТ от 3 Тл и выше, ПЭТ-КТ, отдельные КТ, ИИ-диагностические платформы, зависящие от облака на западных серверах). Допущено по лицензиям/исключениям: стандартные УЗИ, ЭКГ, мониторы пациента, базовые лабораторные анализаторы, диагностика сна, большая часть SPA и оборудования восстановления. Лицензионное исключение US BIS MED (апрель 2024, 15 CFR 740.23) разрешает экспорт медицинских устройств класса EAR99 в Россию без лицензии. EU 833/2014 содержит медицинское исключение для лекарств и большинства медицинских изделий.</t>
  </si>
  <si>
    <t xml:space="preserve">Механика параллельного импорта</t>
  </si>
  <si>
    <t xml:space="preserve">Постановление Правительства №506 (29 марта 2022) и приказ Минпромторга №1532 (апрель 2022, с изменениями в 2024–2025 годах) разрешают параллельный импорт по многим категориям медицинской техники без согласия правообладателя. Механизм продлён до 2025 года и далее. Побочные эффекты: гарантия OEM аннулируется, заводской сервисный контракт отсутствует, обновления ПО и удалённая диагностика часто отключены, сроки поставки запчастей через серый канал ,  3–6 месяцев.</t>
  </si>
  <si>
    <t xml:space="preserve">Сервис OEM после 2022 года</t>
  </si>
  <si>
    <t xml:space="preserve">Siemens Healthineers, GE HealthCare и Philips приостановили новые продажи и большую часть сервисных контрактов в России после февраля 2022 года. Сервис установленной базы ведётся частично (по гуманитарным/жизненно необходимым исключениям). Российские системные интеграторы (например, Medtech-M, Medrobotics, ММЦ, Intelmed, R-Pharm) поставляют запчасти и оказывают сторонний сервис. Сроки поставки запчастей ,  8–24 недели; поддержка ПО и прошивок ненадёжна.</t>
  </si>
  <si>
    <t xml:space="preserve">Б/у и refurb по России</t>
  </si>
  <si>
    <t xml:space="preserve">Активный отечественный и параллельный refurb-рынок: типично 40–60% от европейского прайса по визуализации и 50–70% по SPA. Предложение по западным брендам сокращается; растёт предложение новых и восстановленных китайских изделий. Контроль качества затруднён без сервиса OEM.</t>
  </si>
  <si>
    <t xml:space="preserve">Отечественные альтернативы и заменители</t>
  </si>
  <si>
    <t xml:space="preserve">ЭКГ/Холтер: Aktiv-Med, Medical Computer Systems (Нейрософт), Schiller-Реомед (СП). УЗИ: ограниченные отечественные мощности; параллельный импорт замещают Mindray (Китай) и Samsung (Корея). Мониторы пациента: «Тритон Электронные Системы», «Квазар». Стерилизаторы и автоклавы: «Озон-Мед», «КАСИМОВ-МЕДИН», Tuttnauer (параллельный). Лабораторные анализаторы: АО «ЭЙЛИТОН», «Реамед»; в премиум-сегменте доминируют Mindray и Roche-cobas (параллельный). Гипербарика и кислород: производители на базе Хруничевского, аффилированные с Сеченовским университетом. Криотерапия: отечественных мало; CryoBuilt и Mecotec ,  параллельный импорт. SPA и восстановление (сауны, ИК, соляные комнаты): сильные отечественные мощности (лицензионная сборка TyloHelo, аналоги Helo, KLAFS ,  параллельный). Российские лаборатории биомаркеров и долголетия: Atlas, Genotek, MyGenetics ,  эпигенетика и микробиом по цене 30–50% от европейской розницы.</t>
  </si>
  <si>
    <t xml:space="preserve">МЕТОДОЛОГИЧЕСКАЯ ЗАМЕТКА</t>
  </si>
  <si>
    <t xml:space="preserve">Кросс-региональная корректировка</t>
  </si>
  <si>
    <t xml:space="preserve">Региональные корректировки к базовому EUR-прайсу OEM применяются следующим образом. (1) Стартовая точка ,  EUR-прайс (база Западной Европы). (2) Применяется категорийная российская надбавка: визуализация ,  +25–40% к EUR-прайсу (параллельный импорт, логистика, FX-буфер, премия серого канала); SPA и восстановление ,  +15–25%; лаборатория и ИТ ,  +10–20%; локально закупаемое FF&amp;E ,  −10…−25% к ЕС. (3) Добавляется FX-буфер 15–25% на CapEx, распределённый на 24–36 месяцев строительства. (4) Добавляется 8–12% премии за монтаж и пусконаладку для санкционного оборудования, требующего стороннего сервисного развёртывания. (5) Для международных бенчмарков уровня Tier-1 (Lanserhof, CLP, Chenot) используется база Западной Европы напрямую ,  эти операторы закупают по прайсу OEM с европейскими сервисными контрактами. (6) Годовое обслуживание (OPEX): 8–12% CapEx для базы в России (против 6–10% в ЕС) с учётом стоимости запчастей через серый канал. (7) Для аудиторского следа методологии каждая позиция документируется по источнику: прайс OEM, котировка дистрибьютора, котировка refurb-брокера, сопоставимая цена peer, либо триангулированная оценка по (а) глобальному прайсу, (б) российскому коэффициенту надбавки, (в) FX-предположению.</t>
  </si>
  <si>
    <t xml:space="preserve">СВОДКА РИСКОВ ПО РОССИИ</t>
  </si>
  <si>
    <t xml:space="preserve">Таможня и НДС</t>
  </si>
  <si>
    <t xml:space="preserve">Пошлина 0–5% по ТН ВЭД 9018–9022 с исключениями по Постановлению №1042; стандартный НДС 20%, сниженная ставка 10% или освобождение для многих медицинских изделий из правительственного перечня. Оператор обязан проверять освобождение по каждому коду ТН ВЭД через российского таможенного брокера.</t>
  </si>
  <si>
    <t xml:space="preserve">Затронуто санкциями</t>
  </si>
  <si>
    <t xml:space="preserve">ОГРАНИЧЕНО (EU 833/2014 и US BIS): премиальные МРТ от 3 Тл, ПЭТ-КТ, продвинутая КТ, ИИ-диагностические платформы, зависящие от облака. РАЗРЕШЕНО по лицензии/исключению: стандартные УЗИ, ЭКГ, мониторы пациента, базовые лабораторные анализаторы, диагностика сна, большая часть SPA и оборудования восстановления. Лицензионное исключение US BIS MED разрешает медицинские устройства класса EAR99 с апреля 2024 года.</t>
  </si>
  <si>
    <t xml:space="preserve">Параллельный импорт и сервисный риск</t>
  </si>
  <si>
    <t xml:space="preserve">Постановление №506 (2022) разрешает параллельный импорт без согласия правообладателя до 2025 года и далее. Побочные эффекты: гарантия OEM аннулируется, заводской сервисный контракт отсутствует, обновления ПО и удалённая диагностика часто отключены, запчасти через серый канал ,  3–6 месяцев (8–24 недели). По визуализации ,  премия 25–40%.</t>
  </si>
  <si>
    <t xml:space="preserve">Отечественные альтернативы</t>
  </si>
  <si>
    <t xml:space="preserve">Mindray / United Imaging / Samsung Medison (УЗИ, КТ, МРТ через параллельный импорт); Нейрософт / Aktiv-Med / Schiller-Реомед СП (ЭКГ, Холтер); TyloHelo / KLAFS-сборка (сауна); «Тритон» / «Квазар» (мониторы); Atlas / Genotek / MyGenetics (эпигенетика, микробиом, биомаркеры по цене 30–50% от европейской розницы).</t>
  </si>
  <si>
    <t xml:space="preserve">ИСТОЧНИКИ И МЕТОДОЛОГИЯ</t>
  </si>
  <si>
    <t xml:space="preserve">Библиография из 56 цитируемых источников, оценка достоверности и рекомендации по верификации.</t>
  </si>
  <si>
    <t xml:space="preserve">Название</t>
  </si>
  <si>
    <t xml:space="preserve">Тип</t>
  </si>
  <si>
    <t xml:space="preserve">Использовано для</t>
  </si>
  <si>
    <t xml:space="preserve">URL</t>
  </si>
  <si>
    <t xml:space="preserve">Дата обращения</t>
  </si>
  <si>
    <t xml:space="preserve">Lanserhof Tegernsee ,  Package Longevity</t>
  </si>
  <si>
    <t xml:space="preserve">Публикация цен оператором</t>
  </si>
  <si>
    <t xml:space="preserve">Цена надстройки Longevity (€5 113), базовая Classic-терапия (€2 940), пакет «Здоровый мозг»</t>
  </si>
  <si>
    <t xml:space="preserve">https://lanserhof.com/en/lanserhof-tegernsee/treatments/package-longevity-tegernsee/</t>
  </si>
  <si>
    <t xml:space="preserve">Lanserhof Lans ,  Package Longevity</t>
  </si>
  <si>
    <t xml:space="preserve">Lanserhof Longevity отдельно ,  €6 618 без проживания</t>
  </si>
  <si>
    <t xml:space="preserve">https://lanserhof.com/en/lanserhof-lans/treatments/package-longevity-lans/</t>
  </si>
  <si>
    <t xml:space="preserve">SerenityWays ,  Lanserhof Tegernsee profile</t>
  </si>
  <si>
    <t xml:space="preserve">Отраслевой агрегатор</t>
  </si>
  <si>
    <t xml:space="preserve">Перекрёстная проверка цен программ и итогов (€8 175 ,  стартовая стоимость 7 ночей)</t>
  </si>
  <si>
    <t xml:space="preserve">https://www.serenityways.com/clinics/lanserhof-tegernsee</t>
  </si>
  <si>
    <t xml:space="preserve">SHA Wellness Clinic ,  Advanced Longevity programme page</t>
  </si>
  <si>
    <t xml:space="preserve">Advanced Longevity 7 ночей ,  €7 500; 10 ночей ,  €9 500; 14 ночей ,  €12 000</t>
  </si>
  <si>
    <t xml:space="preserve">https://shawellness.com/en/advanced-longevity/</t>
  </si>
  <si>
    <t xml:space="preserve">SerenityWays ,  SHA Spain prices</t>
  </si>
  <si>
    <t xml:space="preserve">Полная стоимость пребывания SHA с проживанием (€12 520 за 7 ночей на 2 гостей в Deluxe Suite)</t>
  </si>
  <si>
    <t xml:space="preserve">https://www.serenityways.com/clinics/sha-spain</t>
  </si>
  <si>
    <t xml:space="preserve">Clinique La Prairie ,  Master Detox programme</t>
  </si>
  <si>
    <t xml:space="preserve">Master Detox: 20 950 CHF за 7 дней / 6 ночей</t>
  </si>
  <si>
    <t xml:space="preserve">https://www.cliniquelaprairie.com/programs/master-detox/</t>
  </si>
  <si>
    <t xml:space="preserve">SwissMedExpert ,  Clinique La Prairie pricing summary</t>
  </si>
  <si>
    <t xml:space="preserve">Программный диапазон CLP: 5 000–48 520 CHF (от Detox до Legendary Premium Revitalisation)</t>
  </si>
  <si>
    <t xml:space="preserve">https://swissmedexpert.com/clinic-la-prairie</t>
  </si>
  <si>
    <t xml:space="preserve">Chenot Palace Weggis ,  Programmes &amp; brochure</t>
  </si>
  <si>
    <t xml:space="preserve">Advanced Detox 5 500 CHF за 7 ночей только программа; Nest Room 410 CHF за ночь; общий старт 8 370 CHF</t>
  </si>
  <si>
    <t xml:space="preserve">https://www.chenot.com/chenot-palace/weggis/programmes/</t>
  </si>
  <si>
    <t xml:space="preserve">Chenot Palace Weggis ,  2024 Brochure (PDF)</t>
  </si>
  <si>
    <t xml:space="preserve">Публикация оператора</t>
  </si>
  <si>
    <t xml:space="preserve">Структура программы и состав</t>
  </si>
  <si>
    <t xml:space="preserve">https://www.chenot.com/wp-content/uploads/2024/05/Chenot-Palace-Weggis-Brochure-EN.pdf</t>
  </si>
  <si>
    <t xml:space="preserve">VIVAMAYR ,  Downloads (price lists)</t>
  </si>
  <si>
    <t xml:space="preserve">Modern Mayr Cure Classic: Maria Wörth ,  €3 825; Altaussee ,  €4 385; уровни проживания</t>
  </si>
  <si>
    <t xml:space="preserve">https://www.vivamayr.com/en/downloads/</t>
  </si>
  <si>
    <t xml:space="preserve">VIVAMAYR Maria Worth pricelist (PDF, Jan 2024)</t>
  </si>
  <si>
    <t xml:space="preserve">Цены программ и проживания в EUR</t>
  </si>
  <si>
    <t xml:space="preserve">https://www.vivamayr.com/app/uploads/2025/01/VIVAMAYR_MW_Preisliste_E_inkl.-Programme_15.01.2024.pdf</t>
  </si>
  <si>
    <t xml:space="preserve">Buchinger Wilhelmi Lake Constance ,  Arrangements &amp; Packages</t>
  </si>
  <si>
    <t xml:space="preserve">10-дневная программа голодания, состав; ваучер €45 за ночь</t>
  </si>
  <si>
    <t xml:space="preserve">https://www.buchinger-wilhelmi.com/en/buchinger-wilhelmi-lake-constance/arrangements-packages/</t>
  </si>
  <si>
    <t xml:space="preserve">Buchinger Wilhelmi ,  What we offer 2025 Lake Constance (PDF)</t>
  </si>
  <si>
    <t xml:space="preserve">Каталог услуг и цен 2025 ,  Боденское озеро</t>
  </si>
  <si>
    <t xml:space="preserve">https://www.buchinger-wilhelmi.com/wp-content/uploads/2024/11/What-we-offer-2025_web_V1.3.pdf</t>
  </si>
  <si>
    <t xml:space="preserve">Buchinger Wilhelmi ,  What we offer 2025 Marbella (PDF)</t>
  </si>
  <si>
    <t xml:space="preserve">Каталог услуг и цен 2025 ,  Марбелья</t>
  </si>
  <si>
    <t xml:space="preserve">https://www.buchinger-wilhelmi.com/wp-content/uploads/2024/11/What-we-offer-2025_web_V1.0.pdf</t>
  </si>
  <si>
    <t xml:space="preserve">Six Senses ,  Wellness &amp; Longevity</t>
  </si>
  <si>
    <t xml:space="preserve">Структура программ долголетия в отелях Six Senses</t>
  </si>
  <si>
    <t xml:space="preserve">https://www.sixsenses.com/en/wellness-spa/personalized-wellness/longevity/</t>
  </si>
  <si>
    <t xml:space="preserve">Six Senses 2025 Wellness Forecast (Hotel Online)</t>
  </si>
  <si>
    <t xml:space="preserve">Отраслевое освещение</t>
  </si>
  <si>
    <t xml:space="preserve">Контекст Six Senses Place, запуск женской велнес-программы</t>
  </si>
  <si>
    <t xml:space="preserve">https://www.hotel-online.com/news/six-senses-2025-wellness-forecast</t>
  </si>
  <si>
    <t xml:space="preserve">Anova IRM Germany ,  Diagnostic Work-Up</t>
  </si>
  <si>
    <t xml:space="preserve">Старт МРТ всего тела ,  €2 490</t>
  </si>
  <si>
    <t xml:space="preserve">https://anova-irm.com/en/diagnostics/diagnostic-work-up</t>
  </si>
  <si>
    <t xml:space="preserve">Radiologie Dr Jung ,  MRI cost overview</t>
  </si>
  <si>
    <t xml:space="preserve">МРТ всего тела при прямой оплате в Германии ,  €1 200–1 500</t>
  </si>
  <si>
    <t xml:space="preserve">https://www.radiologie-dr-jung.de/en/mri-cost-overview/</t>
  </si>
  <si>
    <t xml:space="preserve">Prenuvo ,  Pricing</t>
  </si>
  <si>
    <t xml:space="preserve">МРТ всего тела ,  $2 499 (бенчмарк США)</t>
  </si>
  <si>
    <t xml:space="preserve">https://prenuvo.com/pricing</t>
  </si>
  <si>
    <t xml:space="preserve">Ezra ,  MRI Pricing</t>
  </si>
  <si>
    <t xml:space="preserve">МРТ всего тела ,  $1 995 (бенчмарк США)</t>
  </si>
  <si>
    <t xml:space="preserve">https://www.ezra.com/pricing</t>
  </si>
  <si>
    <t xml:space="preserve">Sleep Foundation ,  Sleep Study Cost</t>
  </si>
  <si>
    <t xml:space="preserve">Отраслевой справочник</t>
  </si>
  <si>
    <t xml:space="preserve">Диапазон стоимости полисомнографии в США/ЕС</t>
  </si>
  <si>
    <t xml:space="preserve">https://www.sleepfoundation.org/sleep-studies/how-much-does-a-sleep-study-cost</t>
  </si>
  <si>
    <t xml:space="preserve">TruDiagnostic ,  TruAge</t>
  </si>
  <si>
    <t xml:space="preserve">Цена производителя/оператора</t>
  </si>
  <si>
    <t xml:space="preserve">Эпигенетический тест биологического возраста: $499; в Великобритании ,  £380</t>
  </si>
  <si>
    <t xml:space="preserve">https://shop.trudiagnostic.com/products/truage-complete-epigenetic-collection</t>
  </si>
  <si>
    <t xml:space="preserve">Longevity Advice ,  11 Best Biological Age Tests 2024</t>
  </si>
  <si>
    <t xml:space="preserve">Отраслевое сравнение</t>
  </si>
  <si>
    <t xml:space="preserve">Розничные цены тестов биологического возраста (TruDiagnostic, GlycanAge, TruMe, EpiAging, Muhdo)</t>
  </si>
  <si>
    <t xml:space="preserve">https://www.longevityadvice.com/best-biological-age-tests/</t>
  </si>
  <si>
    <t xml:space="preserve">Viome ,  Microbiome test</t>
  </si>
  <si>
    <t xml:space="preserve">Базовая цена Viome ,  $119</t>
  </si>
  <si>
    <t xml:space="preserve">https://www.viome.com/</t>
  </si>
  <si>
    <t xml:space="preserve">InnerBody ,  Viome review</t>
  </si>
  <si>
    <t xml:space="preserve">Отраслевой обзор</t>
  </si>
  <si>
    <t xml:space="preserve">Контекст розничных цен Viome и микробиома</t>
  </si>
  <si>
    <t xml:space="preserve">https://www.innerbody.com/viome-review</t>
  </si>
  <si>
    <t xml:space="preserve">HVS ,  U.S. Hotel Development Cost Survey 2024</t>
  </si>
  <si>
    <t xml:space="preserve">Бенчмарк гостиничного рынка</t>
  </si>
  <si>
    <t xml:space="preserve">CapEx на номер: люкс ,  медиана выше $1 млн; полный сервис ,  выше $400 тыс.; midscale ,  $160–170 тыс.</t>
  </si>
  <si>
    <t xml:space="preserve">https://www.hvs.com/article/9999-HVS-US-Hotel-Development-Cost-Survey-2024</t>
  </si>
  <si>
    <t xml:space="preserve">HVS ,  U.S. Hotel Development Cost Survey 2025</t>
  </si>
  <si>
    <t xml:space="preserve">Перекрёстная проверка стоимости номеров класса люкс и full-service</t>
  </si>
  <si>
    <t xml:space="preserve">https://www.hvs.com/article/10219-hvs-us-hotel-development-cost-survey-2025</t>
  </si>
  <si>
    <t xml:space="preserve">Cushman &amp; Wakefield ,  Hotel Investor Compass 2024</t>
  </si>
  <si>
    <t xml:space="preserve">Отраслевой отчёт</t>
  </si>
  <si>
    <t xml:space="preserve">Спрос инвесторов в люксовом сегменте Европы и контекст размещения капитала</t>
  </si>
  <si>
    <t xml:space="preserve">https://www.cushmanwakefield.com/en/insights/hotel-investor-compass</t>
  </si>
  <si>
    <t xml:space="preserve">Cushman &amp; Wakefield ,  Hotel Investor Compass 2024 Spain</t>
  </si>
  <si>
    <t xml:space="preserve">Настроение иберийских инвесторов в люкс-отелях ,  4,3 из 5</t>
  </si>
  <si>
    <t xml:space="preserve">https://www.cushmanwakefield.com/en/spain/news/2024/05/hotel-investor-campass-2024</t>
  </si>
  <si>
    <t xml:space="preserve">Statista ,  European hotel construction costs by city 2024</t>
  </si>
  <si>
    <t xml:space="preserve">Отраслевые данные</t>
  </si>
  <si>
    <t xml:space="preserve">Вариативность стоимости строительства отелей по европейским городам</t>
  </si>
  <si>
    <t xml:space="preserve">https://www.statista.com/statistics/1380696/hotel-construction-costs-european-cities/</t>
  </si>
  <si>
    <t xml:space="preserve">Global Wellness Institute ,  Wellness Real Estate 2024 (PDF)</t>
  </si>
  <si>
    <t xml:space="preserve">Велнес-недвижимость: $548 млрд в 2024 году с ростом до $1,1 трлн к 2029 году; тенденции интеграции долголетия</t>
  </si>
  <si>
    <t xml:space="preserve">https://globalwellnessinstitute.org/wp-content/uploads/2024/05/GWI-Wellness-Real-Estate-2024.pdf</t>
  </si>
  <si>
    <t xml:space="preserve">Global Wellness Institute ,  Build Well to Live Well 2025</t>
  </si>
  <si>
    <t xml:space="preserve">Статистика роста рынка велнес-недвижимости</t>
  </si>
  <si>
    <t xml:space="preserve">https://globalwellnessinstitute.org/press-room/press-releases/build-well-to-live-well-2025/</t>
  </si>
  <si>
    <t xml:space="preserve">Federal Register ,  License Exception MED, 89 FR (Apr 29 2024)</t>
  </si>
  <si>
    <t xml:space="preserve">Первичный регуляторный источник</t>
  </si>
  <si>
    <t xml:space="preserve">Санкционная рамка US BIS для медицинских устройств в Россию, Беларусь и оккупированные территории Украины</t>
  </si>
  <si>
    <t xml:space="preserve">https://www.federalregister.gov/documents/2024/04/29/2024-09076/amendment-to-existing-controls-on-russia-and-belarus-under-the-export-administration-regulations-ear</t>
  </si>
  <si>
    <t xml:space="preserve">BIS ,  License Exception Medical Devices (PDF)</t>
  </si>
  <si>
    <t xml:space="preserve">Допустимые позиции, охват EAR99, требования к учёту</t>
  </si>
  <si>
    <t xml:space="preserve">https://www.bis.gov/media/961</t>
  </si>
  <si>
    <t xml:space="preserve">European Commission ,  Sanctions FAQ Medicines and Medical Devices (PDF)</t>
  </si>
  <si>
    <t xml:space="preserve">Уточнения медицинского исключения EU 833/2014</t>
  </si>
  <si>
    <t xml:space="preserve">https://finance.ec.europa.eu/system/files/2023-02/faqs-sanctions-russia-medical_en.pdf</t>
  </si>
  <si>
    <t xml:space="preserve">EUR-Lex ,  Regulation 833/2014 (consolidated)</t>
  </si>
  <si>
    <t xml:space="preserve">База санкций ЕС, включая медицинские исключения</t>
  </si>
  <si>
    <t xml:space="preserve">https://eur-lex.europa.eu/eli/reg/2014/833/oj/eng</t>
  </si>
  <si>
    <t xml:space="preserve">Brace Law Firm ,  Parallel Import in Russia: Medicines &amp; Medical Devices</t>
  </si>
  <si>
    <t xml:space="preserve">Юридический анализ</t>
  </si>
  <si>
    <t xml:space="preserve">Постановление №506 (март 2022) и приказ №1532 ,  параллельный импорт медицинских изделий</t>
  </si>
  <si>
    <t xml:space="preserve">https://brace-lf.com/en/analytics/pharmaceutical-and-medical-law/parallel-import-russia-medicines-medical-devices</t>
  </si>
  <si>
    <t xml:space="preserve">Morgan Lewis ,  Update: Russia Legalizes Parallel Import of Certain Goods</t>
  </si>
  <si>
    <t xml:space="preserve">Перечень №506 из 55 категорий, включая фармацию и медицинские изделия</t>
  </si>
  <si>
    <t xml:space="preserve">https://www.morganlewis.com/pubs/2022/04/update-russia-legalizes-parallel-import-of-certain-goods</t>
  </si>
  <si>
    <t xml:space="preserve">Denuo ,  Regulation of parallel imports in 2024</t>
  </si>
  <si>
    <t xml:space="preserve">Продление механизма параллельного импорта до 2025 года</t>
  </si>
  <si>
    <t xml:space="preserve">https://denuo.legal/en/insights/news/240711/</t>
  </si>
  <si>
    <t xml:space="preserve">US ITA ,  Country Commercial Guide: Russia Medical Equipment</t>
  </si>
  <si>
    <t xml:space="preserve">Государственный коммерческий справочник</t>
  </si>
  <si>
    <t xml:space="preserve">Структура российского рынка медицинской техники, картина импортёров</t>
  </si>
  <si>
    <t xml:space="preserve">https://www.trade.gov/country-commercial-guides/russia-medical-equipment</t>
  </si>
  <si>
    <t xml:space="preserve">Securiti ,  Russian Federal Law No. 152-FZ explainer</t>
  </si>
  <si>
    <t xml:space="preserve">Справочник по комплаенсу</t>
  </si>
  <si>
    <t xml:space="preserve">Требования 152-ФЗ к локализации персональных и медицинских данных</t>
  </si>
  <si>
    <t xml:space="preserve">https://securiti.ai/russian-federal-law-no-152-fz/</t>
  </si>
  <si>
    <t xml:space="preserve">Konsu ,  New requirements for localization of personal data in Russia (July 2025)</t>
  </si>
  <si>
    <t xml:space="preserve">Обновления 152-ФЗ: 420-ФЗ (ноябрь 2024) ,  рост штрафов до 18 млн ₽; 23-ФЗ (февраль 2025)</t>
  </si>
  <si>
    <t xml:space="preserve">https://konsugroup.com/en/news/new-requirements-personal-data-protection-russia-2025-07/</t>
  </si>
  <si>
    <t xml:space="preserve">WTO ,  Russian Federation Tariff Profile (PDF)</t>
  </si>
  <si>
    <t xml:space="preserve">Базовая структура российского таможенного тарифа</t>
  </si>
  <si>
    <t xml:space="preserve">https://www.wto.org/english/res_e/statis_e/daily_update_e/tariff_profiles/RU_E.pdf</t>
  </si>
  <si>
    <t xml:space="preserve">Tonlexing ,  Customs Clearance in Russia 2025 guide</t>
  </si>
  <si>
    <t xml:space="preserve">Стандартный НДС 20% и сниженная ставка 10% для жизненно важных товаров (медицина)</t>
  </si>
  <si>
    <t xml:space="preserve">https://www.tonlexing.com/customs-clearance-in-russia/</t>
  </si>
  <si>
    <t xml:space="preserve">Mindray ,  Unlimited Potentials: Mindray's Story in Russia</t>
  </si>
  <si>
    <t xml:space="preserve">Публикация производителя</t>
  </si>
  <si>
    <t xml:space="preserve">Позиция Mindray на российском рынке (топ-3 импортируемой медтехники с 2007 года)</t>
  </si>
  <si>
    <t xml:space="preserve">https://www.mindray.com/en/media-center/blogs/unlimited-potentials-mindray-s-story-in-russia</t>
  </si>
  <si>
    <t xml:space="preserve">TAdviser ,  Medical Equipment (Russian Market)</t>
  </si>
  <si>
    <t xml:space="preserve">Объём рынка медтехники в России ,  129,2 млрд ₽; доли брендов; динамика замещения</t>
  </si>
  <si>
    <t xml:space="preserve">https://tadviser.com/index.php/Article:Medical_Equipment_(Russian_Market)</t>
  </si>
  <si>
    <t xml:space="preserve">Schmidt &amp; Schmidt ,  New Rules for Medical Device Registration in Russia (Mar 2025)</t>
  </si>
  <si>
    <t xml:space="preserve">Регуляторный анализ</t>
  </si>
  <si>
    <t xml:space="preserve">Изменения регистрации медицинских изделий ЕАЭС/России и их влияние на сроки</t>
  </si>
  <si>
    <t xml:space="preserve">https://schmidt-export.com/news/new-rules-registration-medical-devices-starting-march-1-2025-russia</t>
  </si>
  <si>
    <t xml:space="preserve">FocusEconomics ,  Russia Exchange Rate Forecast</t>
  </si>
  <si>
    <t xml:space="preserve">Макроэкономические данные</t>
  </si>
  <si>
    <t xml:space="preserve">Курс RUB/USD в 2024 году (109,8 на конец 2024 против 89,4 на конец 2023)</t>
  </si>
  <si>
    <t xml:space="preserve">https://www.focus-economics.com/country-indicator/russia/exchange-rate/</t>
  </si>
  <si>
    <t xml:space="preserve">Asia Times ,  Ruble volatility exposes Russia's emerging economic crisis (Dec 2024)</t>
  </si>
  <si>
    <t xml:space="preserve">Макроэкономический анализ</t>
  </si>
  <si>
    <t xml:space="preserve">Контекст ослабления рубля для FX-методологии</t>
  </si>
  <si>
    <t xml:space="preserve">https://asiatimes.com/2024/12/ruble-volatility-exposes-russias-emerging-economic-crisis/</t>
  </si>
  <si>
    <t xml:space="preserve">Cooley ,  New License Exception Authorizes Medical Device Exports to Russia</t>
  </si>
  <si>
    <t xml:space="preserve">Практический комплаенс по лицензионному исключению MED</t>
  </si>
  <si>
    <t xml:space="preserve">https://www.cooley.com/news/insight/2024/2024-05-06-new-license-exception-authorizes-exports-of-previously-restricted-medical-devices-and-related-items</t>
  </si>
  <si>
    <t xml:space="preserve">Curtis ,  EU 14th Sanctions Package (Regulation 2024/1745)</t>
  </si>
  <si>
    <t xml:space="preserve">Поправки EU 833/2014 в 2024 году</t>
  </si>
  <si>
    <t xml:space="preserve">https://www.curtis.com/our-firm/news/the-eu-adopts-its-14th-sanctions-package-against-russia</t>
  </si>
  <si>
    <t xml:space="preserve">Hospitality Net ,  Six Senses 2025 Wellness Forecast</t>
  </si>
  <si>
    <t xml:space="preserve">Структура и контекст цен ретритов Six Senses</t>
  </si>
  <si>
    <t xml:space="preserve">https://www.hospitalitynet.org/news/4125285.html</t>
  </si>
  <si>
    <t xml:space="preserve">BodySpec ,  DEXA scan cost in major cities</t>
  </si>
  <si>
    <t xml:space="preserve">Розничные бенчмарки DEXA в США/Великобритании</t>
  </si>
  <si>
    <t xml:space="preserve">https://www.bodyspec.com/blog/post/how_much_does_a_dexa_scan_cost_in_major_cities</t>
  </si>
  <si>
    <t xml:space="preserve">Block Imaging ,  Bone Densitometer Price Guide</t>
  </si>
  <si>
    <t xml:space="preserve">Цены брокера refurb-оборудования</t>
  </si>
  <si>
    <t xml:space="preserve">Аппаратные и refurb-цены DEXA</t>
  </si>
  <si>
    <t xml:space="preserve">https://www.blockimaging.com/ge-and-hologic-bone-densitometer-price-cost-guide</t>
  </si>
  <si>
    <t xml:space="preserve">Healing Holidays ,  Lanserhof Tegernsee accommodation</t>
  </si>
  <si>
    <t xml:space="preserve">Публикация оператора/дистрибьютора</t>
  </si>
  <si>
    <t xml:space="preserve">Перекрёстная проверка цен номеров и итогов пакетов</t>
  </si>
  <si>
    <t xml:space="preserve">https://www.healingholidays.com/accommodation/germany/lanserhof-tegernsee</t>
  </si>
  <si>
    <t xml:space="preserve">Globetrender ,  Six Senses to open three urban wellness resorts in 2026</t>
  </si>
  <si>
    <t xml:space="preserve">Six Senses London (Whiteley) ,  мощность 109 номеров и 14 резиденций; открытие в 2026 году</t>
  </si>
  <si>
    <t xml:space="preserve">https://globetrender.com/2025/12/02/four-new-six-senses-resorts-2026/</t>
  </si>
  <si>
    <t xml:space="preserve">ОЦЕНКА ДОСТОВЕРНОСТИ</t>
  </si>
  <si>
    <t xml:space="preserve">Наиболее надёжно</t>
  </si>
  <si>
    <t xml:space="preserve">Цены по Западной Европе (€) и Северной Америке (USD) для кухни, спортзала, SPA и ИТ/PMS ,  взяты с актуальных страниц дилеров и из прайсов OEM (Rational, Technogym, Pilates, Klafs, Mews, Salesforce). Расхождение с фактической котировкой обычно ±10%.</t>
  </si>
  <si>
    <t xml:space="preserve">Умеренно надёжно</t>
  </si>
  <si>
    <t xml:space="preserve">Визуализация (МРТ, КТ, DEXA), лабораторные анализаторы и медицинская инфраструктура для ЕС и Северной Америки ,  взяты из прайсов refurb-брокеров (Block Imaging, Avante, Soma Tech) и публичных котировок OEM. По новому оборудованию расхождение составляет ±15%; refurb-предложения точнее.</t>
  </si>
  <si>
    <t xml:space="preserve">Самая слабая колонка ,  Россия (₽)</t>
  </si>
  <si>
    <t xml:space="preserve">Российские цены ТРИАНГУЛИРОВАНЫ, а не получены прямой котировкой. Метод: европейский прайс EUR + надбавка 25–40% по визуализации (премия параллельного импорта плюс FX-буфер) + 15–25% по SPA и восстановлению + 10–20% по лаборатории и ИТ; минус 10–25% на локально закупаемом FF&amp;E. Достоверность: средняя для SPA/ИТ, низкая для санкционной визуализации. Расхождение с фактической котировкой ±25–40%.</t>
  </si>
  <si>
    <t xml:space="preserve">Pass-through позиции</t>
  </si>
  <si>
    <t xml:space="preserve">Расширенные биомаркерные панели, киты CGM, киты микробиома, эпигенетические тесты возраста ,  это позиции с нулевым CapEx (расходники, оплачиваемые на гостя), учитываются как pass-through. Объёмы влияют на маржу, а не на CapEx.</t>
  </si>
  <si>
    <t xml:space="preserve">РЕКОМЕНДАЦИИ ПО ВЕРИФИКАЦИИ ПЕРЕД ФИКСАЦИЕЙ CapEx</t>
  </si>
  <si>
    <t xml:space="preserve">Российская визуализация ,  ОБЯЗАТЕЛЬНО</t>
  </si>
  <si>
    <t xml:space="preserve">Запросить котировку у российского брокера медицинской техники до фиксации CapEx. Рекомендованы: M-Equipment (Москва), MedTechMarket, Medtech-M либо консультант по закупкам, аффилированный с Сеченовским университетом. Особенно по позициям: МРТ 3 Тл, КТ 128 срезов, DEXA, маммография. Расхождение с оценками этой книги составит 25–40%.</t>
  </si>
  <si>
    <t xml:space="preserve">Российские SPA и баня ,  РЕКОМЕНДУЕТСЯ</t>
  </si>
  <si>
    <t xml:space="preserve">Подтвердить с российским SPA-генподрядчиком (Termopark, «Русская баня», Banya Project), поскольку цена банного комплекса варьируется в 2–3 раза в зависимости от технологии и породы (кедр, липа, дуб). Оценки в RUB предполагают поставку «под ключ» из бруса и могут занижать стоимость премиального кедра на 15–30%.</t>
  </si>
  <si>
    <t xml:space="preserve">Визуализация в Западной Европе ,  ОПЦИОНАЛЬНО</t>
  </si>
  <si>
    <t xml:space="preserve">Сверить с Block Imaging, Avante или Soma Tech по refurb-аналогам того же класса; прайс OEM обычно даёт скидку 10–15% на пакеты от €1 млн.</t>
  </si>
  <si>
    <t xml:space="preserve">ИТ / ПО ,  ОПЦИОНАЛЬНО</t>
  </si>
  <si>
    <t xml:space="preserve">Цены Mews, Salesforce и Athenahealth масштабируются количеством номеров и числом специалистов. Подтвердить котировкой поставщика на момент подписания. Подписочный рост обычно 5–8% в год.</t>
  </si>
  <si>
    <t xml:space="preserve">Цены процедур и пакетов ,  ОПЦИОНАЛЬНО</t>
  </si>
  <si>
    <t xml:space="preserve">Цены процедур привязаны к публичным данным Lanserhof, CLP и SHA, а также к самостоятельным европейским клиникам (Anova IRM, Radiologie Dr Jung, Prenuvo, Ezra). Российские целевые цены ,  позиционные оценки; следует свериться с публичными прайсами Сеченовского центра и клиники «Рассвет».</t>
  </si>
  <si>
    <t xml:space="preserve">ПАКЕТЫ БИОМАРКЕРОВ</t>
  </si>
  <si>
    <t xml:space="preserve">Цена ЕС, EUR</t>
  </si>
  <si>
    <t xml:space="preserve">Цена в РФ, EUR</t>
  </si>
  <si>
    <t xml:space="preserve">Цена в РФ, RUB</t>
  </si>
  <si>
    <t xml:space="preserve">Кейс применения</t>
  </si>
  <si>
    <t xml:space="preserve">Маркеры</t>
  </si>
  <si>
    <t xml:space="preserve">Foundation Longevity Panel</t>
  </si>
  <si>
    <t xml:space="preserve">Baseline at intake for any longevity program, repeated annually. The diagnostic spine that justifies every downstream protocol.</t>
  </si>
  <si>
    <t xml:space="preserve">TruAge Complete (Horvath, GrimAge2, DunedinPACE, OMICmAge, SYMPHONYAge); Glycan age; PhenoAge (calculated); hsCRP, IL-6, fibrinogen; Fasting glucose, fasting insulin, HOMA-IR, HbA1c; Full lipid panel, ApoB, Lp(a); Total and free testosterone, SHBG, estradiol, DHEA-S; TSH, free T3, free T4; IGF-1; Cortisol AM/PM; 25-OH vitamin D, holotranscobalamin B12, RBC folate; Omega-3 index; Liver and kidney panels; Heavy metals (4-metal whole blood); APOE, MTHFR (one-time)</t>
  </si>
  <si>
    <t xml:space="preserve">Inflammaging Panel</t>
  </si>
  <si>
    <t xml:space="preserve">Inflammaging Reversal program follow-up at 90 and 180 days; repeat annually.</t>
  </si>
  <si>
    <t xml:space="preserve">Glycan age; hsCRP, IL-6, TNF-alpha, IL-1beta, fibrinogen; GDF15 (SASP surrogate); oxLDL; Omega-3 index</t>
  </si>
  <si>
    <t xml:space="preserve">Mitochondrial / NAD+ Panel</t>
  </si>
  <si>
    <t xml:space="preserve">Mitochondrial Reset program; pre-and-post NAD+ infusion measurement; repeat at 30 and 90 days.</t>
  </si>
  <si>
    <t xml:space="preserve">Intracellular NAD+ (Jinfiniti); Lactate (fasting, post-exercise); Pyruvate; Organic acids urine (Genova or local equivalent); Ubiquinone (CoQ10) plasma; Carnitine free and total</t>
  </si>
  <si>
    <t xml:space="preserve">Metabolic / Time-Restricted Eating Panel</t>
  </si>
  <si>
    <t xml:space="preserve">Metabolic Renewal and TRE programs; CGM at intake and at 90 days.</t>
  </si>
  <si>
    <t xml:space="preserve">Fasting glucose, fasting insulin, HOMA-IR, HbA1c; OGTT 75g with insulin (3-hour); ApoB, Lp(a), small dense LDL, oxLDL; CGM 14-day (FreeStyle Libre 2); Liver panel (ALT, AST, GGT); Adiponectin and leptin</t>
  </si>
  <si>
    <t xml:space="preserve">Hormone and HPA Axis Panel</t>
  </si>
  <si>
    <t xml:space="preserve">HRT candidacy, Stress and Sleep program, Adrenal Reset; repeat at 90 days post HRT initiation.</t>
  </si>
  <si>
    <t xml:space="preserve">Total and free testosterone, SHBG; Estradiol, progesterone, DHEA-S; Cortisol 4-point salivary diurnal (Genova or DUTCH); IGF-1; TSH, free T3, free T4, reverse T3; Pregnenolone, 17-OH progesterone</t>
  </si>
  <si>
    <t xml:space="preserve">Premium Cellular Renewal Panel (top tier)</t>
  </si>
  <si>
    <t xml:space="preserve">Annual deep-dive for high-net-worth members on the Cellular Renewal flagship program. Marketing-grade comprehensive panel benchmarked against Lanserhof Lans Med Concept and Clinique La Prairie Master Diagnosis.</t>
  </si>
  <si>
    <t xml:space="preserve">Full Foundation Longevity Panel; Telomere length (Life Length TAT); SASP / Olink Inflammation 96; LDL-P NMR LipoProfile; Microbiome shotgun (Viome or Genova GI Effects); Heavy metals 8-metal extended; Pharmacogenomics CYP panel; Senescence research add-ons</t>
  </si>
  <si>
    <t xml:space="preserve">ПОЛНЫЙ РЕЕСТР 54 МАРКЕРОВ</t>
  </si>
  <si>
    <t xml:space="preserve">Маркер</t>
  </si>
  <si>
    <t xml:space="preserve">Биологический путь</t>
  </si>
  <si>
    <t xml:space="preserve">Метод</t>
  </si>
  <si>
    <t xml:space="preserve">Вендор</t>
  </si>
  <si>
    <t xml:space="preserve">Цена РФ landed, RUB</t>
  </si>
  <si>
    <t xml:space="preserve">Доступность РФ</t>
  </si>
  <si>
    <t xml:space="preserve">Evidence</t>
  </si>
  <si>
    <t xml:space="preserve">Использовано в программах</t>
  </si>
  <si>
    <t xml:space="preserve">Epigenetic age, Horvath multi-tissue clock</t>
  </si>
  <si>
    <t xml:space="preserve">DNA methylation drift, cellular senescence accumulation, mortality risk</t>
  </si>
  <si>
    <t xml:space="preserve">Whole blood or buccal swab, Illumina EPIC methylation array (850K CpG sites)</t>
  </si>
  <si>
    <t xml:space="preserve">TruDiagnostic (Lexington KY) TruAge Complete; alternative myDNAge (Epimorphy/Zymo)</t>
  </si>
  <si>
    <t xml:space="preserve">No domestic provider with validated Horvath clock. Sample (DBS card or EDTA whole blood) must ship out. Workflow: kit imported via Astana, sample drawn at resort, return courier via DHL Medical Express ex-Almaty or Istanbul.</t>
  </si>
  <si>
    <t xml:space="preserve">B (mechanistic strong; intervention reversibility growing)</t>
  </si>
  <si>
    <t xml:space="preserve">Cellular Renewal; Epigenetic Age Reduction; Intake baseline</t>
  </si>
  <si>
    <t xml:space="preserve">Epigenetic age, GrimAge2</t>
  </si>
  <si>
    <t xml:space="preserve">Mortality and morbidity prediction via DNAm surrogates of plasma proteins (GDF15, PAI-1, B2M, leptin) and smoking pack-years</t>
  </si>
  <si>
    <t xml:space="preserve">Bundled in TruAge Complete, same EPIC array</t>
  </si>
  <si>
    <t xml:space="preserve">TruDiagnostic (licensed by Lu and Horvath); also Elysium Index</t>
  </si>
  <si>
    <t xml:space="preserve">Bundled in TruAge Complete, see Horvath row</t>
  </si>
  <si>
    <t xml:space="preserve">A (most predictive of all-cause mortality among published clocks)</t>
  </si>
  <si>
    <t xml:space="preserve">Cellular Renewal; Epigenetic Age Reduction</t>
  </si>
  <si>
    <t xml:space="preserve">DunedinPACE pace-of-aging</t>
  </si>
  <si>
    <t xml:space="preserve">Pace of biological aging per chronological year, derived from Dunedin birth cohort</t>
  </si>
  <si>
    <t xml:space="preserve">Bundled in TruAge Complete</t>
  </si>
  <si>
    <t xml:space="preserve">TruDiagnostic (exclusive license); also Elysium Index</t>
  </si>
  <si>
    <t xml:space="preserve">Bundled, see Horvath row</t>
  </si>
  <si>
    <t xml:space="preserve">A (most responsive clock to lifestyle intervention in CALERIE trial)</t>
  </si>
  <si>
    <t xml:space="preserve">Cellular Renewal; Epigenetic Age Reduction; follow-up at 12 months</t>
  </si>
  <si>
    <t xml:space="preserve">PhenoAge (Levine)</t>
  </si>
  <si>
    <t xml:space="preserve">Composite of 9 routine clinical biomarkers (albumin, creatinine, glucose, hsCRP, lymphocyte percent, MCV, RDW, alkaline phosphatase, WBC) plus chronological age, mapped to a methylation clock</t>
  </si>
  <si>
    <t xml:space="preserve">Phenotypic version: standard chemistry (in Russia via INVITRO or KDL). DNAm version: Illumina EPIC.</t>
  </si>
  <si>
    <t xml:space="preserve">Calculated in-house from standard chemistry; methylation version bundled in TruAge</t>
  </si>
  <si>
    <t xml:space="preserve">Phenotypic version fully calculable from Russian lab data at zero incremental cost. Marketing-grade win.</t>
  </si>
  <si>
    <t xml:space="preserve">A (validated against NHANES mortality)</t>
  </si>
  <si>
    <t xml:space="preserve">all programs (free add-on)</t>
  </si>
  <si>
    <t xml:space="preserve">Glycan age (IgG glycosylation)</t>
  </si>
  <si>
    <t xml:space="preserve">IgG N-glycan profile (galactosylation, sialylation, bisecting GlcNAc) reflects systemic chronic low-grade inflammation</t>
  </si>
  <si>
    <t xml:space="preserve">Dried blood spot, UPLC analysis of released IgG N-glycans</t>
  </si>
  <si>
    <t xml:space="preserve">GlycanAge Ltd (UK)</t>
  </si>
  <si>
    <t xml:space="preserve">Sample export required. DBS card friendly to courier. Route via Istanbul or Yerevan. GlycanAge accepts samples globally.</t>
  </si>
  <si>
    <t xml:space="preserve">B (mechanistic strong, reversible with intervention)</t>
  </si>
  <si>
    <t xml:space="preserve">Inflammaging Reversal; Cellular Renewal</t>
  </si>
  <si>
    <t xml:space="preserve">Telomere length (median and percent critically short)</t>
  </si>
  <si>
    <t xml:space="preserve">Replicative senescence; telomere attrition is a primary hallmark of aging</t>
  </si>
  <si>
    <t xml:space="preserve">EDTA whole blood, high-throughput Q-FISH at single-cell resolution</t>
  </si>
  <si>
    <t xml:space="preserve">Life Length S.L. (Madrid, TAT high-throughput Q-FISH); alternative TeloYears qPCR</t>
  </si>
  <si>
    <t xml:space="preserve">Whole blood ships to Madrid via DHL Medical Express ex-Istanbul or Almaty. Stability requires 5 day cold chain. Risk of sample rejection if transit is delayed; build 24-hour pickup-to-courier SLA.</t>
  </si>
  <si>
    <t xml:space="preserve">B (associated with mortality; intervention-responsive in some studies)</t>
  </si>
  <si>
    <t xml:space="preserve">Cellular Renewal; annual repeat</t>
  </si>
  <si>
    <t xml:space="preserve">Intracellular NAD+ level</t>
  </si>
  <si>
    <t xml:space="preserve">NAD+ is co-substrate for sirtuins, PARPs, CD38; declines roughly 50 percent from age 30 to 70 and is rate-limiting for mitochondrial and DNA-repair function</t>
  </si>
  <si>
    <t xml:space="preserve">Capillary blood DBS, LC-MS/MS quantification of intracellular NAD+</t>
  </si>
  <si>
    <t xml:space="preserve">Jinfiniti Precision Medicine (CLIA, Augusta GA); ChromaDex Niagen+ (HCP-only); Vibrant America Methylation/NAD profile</t>
  </si>
  <si>
    <t xml:space="preserve">DBS card is courier-tolerant (room-temp stable 14 days). Ship via EMS or DHL ex-Almaty. Jinfiniti accepts international samples.</t>
  </si>
  <si>
    <t xml:space="preserve">B (NAD+ decline well documented; supplementation response measurable)</t>
  </si>
  <si>
    <t xml:space="preserve">Mitochondrial Reset; NAD+ infusion program follow-up</t>
  </si>
  <si>
    <t xml:space="preserve">Senescence-associated secretory phenotype (SASP) panel</t>
  </si>
  <si>
    <t xml:space="preserve">Senescent cells secrete pro-inflammatory cytokines and proteases (IL-6, IL-8, MMP-3, MCP-1, GDF15, PAI-1) that drive inflammaging and tissue dysfunction</t>
  </si>
  <si>
    <t xml:space="preserve">Plasma, multiplex immunoassay (Luminex, Olink) or aptamer (SomaScan)</t>
  </si>
  <si>
    <t xml:space="preserve">Quest Cardio IQ plus GDF15 add-on (US); SomaLogic SomaScan (research-grade, 7000 proteins); Olink Target 96 Inflammation</t>
  </si>
  <si>
    <t xml:space="preserve">Plasma must ship frozen on dry ice. Logistically the hardest marker class to deliver from Russia. Two-temperature courier via Astana possible but cost is high. Alternative: surrogate panel (IL-6, hsCRP, GDF15, fibrinogen) measured in Russia at INVITRO or KDL with SASP interpretation overlay.</t>
  </si>
  <si>
    <t xml:space="preserve">C (panel composition not standardized; clinical thresholds emerging)</t>
  </si>
  <si>
    <t xml:space="preserve">Inflammaging Reversal; Senolytic protocol monitoring</t>
  </si>
  <si>
    <t xml:space="preserve">p16INK4a expression (CDKN2A)</t>
  </si>
  <si>
    <t xml:space="preserve">Cyclin-dependent kinase inhibitor; canonical senescence marker, upregulated in T cells with age</t>
  </si>
  <si>
    <t xml:space="preserve">PBMC isolation, qPCR for CDKN2A mRNA</t>
  </si>
  <si>
    <t xml:space="preserve">Research-only (UNC Lineberger, SiRNAxiome); not a routine commercial CLIA test in 2026</t>
  </si>
  <si>
    <t xml:space="preserve">Not commercially routinely available. Flag as research-grade only.</t>
  </si>
  <si>
    <t xml:space="preserve">C (research only)</t>
  </si>
  <si>
    <t xml:space="preserve">future research collaboration</t>
  </si>
  <si>
    <t xml:space="preserve">hsCRP (high-sensitivity C-reactive protein)</t>
  </si>
  <si>
    <t xml:space="preserve">Acute-phase reactant; tracks chronic low-grade inflammation and CV risk</t>
  </si>
  <si>
    <t xml:space="preserve">Immunoturbidimetric, serum</t>
  </si>
  <si>
    <t xml:space="preserve">INVITRO, KDL, Helix, CMD (all Russia); Quest, Labcorp (US)</t>
  </si>
  <si>
    <t xml:space="preserve">Routine in every Russian lab. INVITRO Moscow approx 750 RUB consumer (about EUR 8).</t>
  </si>
  <si>
    <t xml:space="preserve">Inflammaging Reversal; Cellular Renewal; Metabolic; all baselines</t>
  </si>
  <si>
    <t xml:space="preserve">Interleukin-6 (IL-6)</t>
  </si>
  <si>
    <t xml:space="preserve">Pro-inflammatory cytokine; key SASP component; mortality predictor in elderly</t>
  </si>
  <si>
    <t xml:space="preserve">ECLIA or chemiluminescence, serum</t>
  </si>
  <si>
    <t xml:space="preserve">INVITRO, KDL, Helix (Russia); Quest, Labcorp (US)</t>
  </si>
  <si>
    <t xml:space="preserve">Routine in major Russian labs. INVITRO catalog approx 2200 RUB (about EUR 24).</t>
  </si>
  <si>
    <t xml:space="preserve">Inflammaging Reversal; Senolytic monitoring</t>
  </si>
  <si>
    <t xml:space="preserve">TNF-alpha</t>
  </si>
  <si>
    <t xml:space="preserve">Pro-inflammatory cytokine; SASP component</t>
  </si>
  <si>
    <t xml:space="preserve">ELISA or chemiluminescence, serum</t>
  </si>
  <si>
    <t xml:space="preserve">INVITRO, KDL (Russia); Quest, Labcorp (US)</t>
  </si>
  <si>
    <t xml:space="preserve">Available at INVITRO, KDL. Approx 2400 RUB.</t>
  </si>
  <si>
    <t xml:space="preserve">Inflammaging Reversal</t>
  </si>
  <si>
    <t xml:space="preserve">IL-1beta</t>
  </si>
  <si>
    <t xml:space="preserve">Inflammasome activation; SASP component</t>
  </si>
  <si>
    <t xml:space="preserve">ELISA, serum</t>
  </si>
  <si>
    <t xml:space="preserve">INVITRO, specialty labs (Russia); Quest (US)</t>
  </si>
  <si>
    <t xml:space="preserve">Available at INVITRO and academic labs. Approx 2600 RUB.</t>
  </si>
  <si>
    <t xml:space="preserve">Fibrinogen</t>
  </si>
  <si>
    <t xml:space="preserve">Acute-phase reactant; CV thrombotic risk</t>
  </si>
  <si>
    <t xml:space="preserve">Clauss method, citrated plasma</t>
  </si>
  <si>
    <t xml:space="preserve">INVITRO, KDL, Helix (Russia)</t>
  </si>
  <si>
    <t xml:space="preserve">Routine. Approx 600 RUB.</t>
  </si>
  <si>
    <t xml:space="preserve">Inflammaging Reversal; Cardiometabolic baseline</t>
  </si>
  <si>
    <t xml:space="preserve">Fasting glucose</t>
  </si>
  <si>
    <t xml:space="preserve">Glucose homeostasis</t>
  </si>
  <si>
    <t xml:space="preserve">Hexokinase, plasma</t>
  </si>
  <si>
    <t xml:space="preserve">Russia: any (INVITRO, KDL, Helix, CMD)</t>
  </si>
  <si>
    <t xml:space="preserve">Universal.</t>
  </si>
  <si>
    <t xml:space="preserve">all metabolic programs</t>
  </si>
  <si>
    <t xml:space="preserve">Fasting insulin</t>
  </si>
  <si>
    <t xml:space="preserve">Pancreatic beta-cell output, surrogate for hepatic insulin sensitivity</t>
  </si>
  <si>
    <t xml:space="preserve">ECLIA, serum</t>
  </si>
  <si>
    <t xml:space="preserve">INVITRO, KDL, Helix</t>
  </si>
  <si>
    <t xml:space="preserve">Routine. INVITRO approx 950 RUB.</t>
  </si>
  <si>
    <t xml:space="preserve">all metabolic programs; TRE follow-up</t>
  </si>
  <si>
    <t xml:space="preserve">HOMA-IR (calculated)</t>
  </si>
  <si>
    <t xml:space="preserve">Insulin resistance index</t>
  </si>
  <si>
    <t xml:space="preserve">Calculation: (glucose mmol/L x insulin mU/L) divided by 22.5</t>
  </si>
  <si>
    <t xml:space="preserve">Calculated from glucose and insulin</t>
  </si>
  <si>
    <t xml:space="preserve">Free derived metric.</t>
  </si>
  <si>
    <t xml:space="preserve">HbA1c</t>
  </si>
  <si>
    <t xml:space="preserve">90-day glycation average</t>
  </si>
  <si>
    <t xml:space="preserve">HPLC NGSP-aligned, EDTA whole blood</t>
  </si>
  <si>
    <t xml:space="preserve">Universal. Approx 800 RUB.</t>
  </si>
  <si>
    <t xml:space="preserve">Oral glucose tolerance test (OGTT, 75g, 2h with insulin)</t>
  </si>
  <si>
    <t xml:space="preserve">Dynamic glucose and insulin response, detects early insulin resistance missed by fasting markers</t>
  </si>
  <si>
    <t xml:space="preserve">75g glucose load, glucose and insulin at 0, 30, 60, 120 min</t>
  </si>
  <si>
    <t xml:space="preserve">INVITRO, KDL, in-house resort phlebotomy</t>
  </si>
  <si>
    <t xml:space="preserve">Standard service in Russian labs and resort medical units.</t>
  </si>
  <si>
    <t xml:space="preserve">Metabolic Renewal intake</t>
  </si>
  <si>
    <t xml:space="preserve">Continuous glucose monitor 14-day</t>
  </si>
  <si>
    <t xml:space="preserve">Glycemic variability, postprandial response, dawn phenomenon, food-personalized response</t>
  </si>
  <si>
    <t xml:space="preserve">Subcutaneous interstitial glucose sensor, 14 days</t>
  </si>
  <si>
    <t xml:space="preserve">Abbott FreeStyle Libre 2 / Libre 3 (available in Russia via parallel import); Dexcom G7 (limited Russia availability)</t>
  </si>
  <si>
    <t xml:space="preserve">FreeStyle Libre 2 available in Russia, retail approx 6500 to 8000 RUB per sensor. 14 days continuous.</t>
  </si>
  <si>
    <t xml:space="preserve">Metabolic Renewal; TRE program; weight-loss program</t>
  </si>
  <si>
    <t xml:space="preserve">Apolipoprotein B (ApoB)</t>
  </si>
  <si>
    <t xml:space="preserve">Atherogenic particle count; preferred over LDL-C for ASCVD risk</t>
  </si>
  <si>
    <t xml:space="preserve">Routine. INVITRO approx 1500 RUB.</t>
  </si>
  <si>
    <t xml:space="preserve">all baselines</t>
  </si>
  <si>
    <t xml:space="preserve">LDL-P (NMR LipoProfile)</t>
  </si>
  <si>
    <t xml:space="preserve">LDL particle number by NMR spectroscopy</t>
  </si>
  <si>
    <t xml:space="preserve">NMR spectroscopy, serum, frozen ship</t>
  </si>
  <si>
    <t xml:space="preserve">Labcorp (Burlington NC, NMR LipoProfile, ex-LipoScience)</t>
  </si>
  <si>
    <t xml:space="preserve">No Russian provider. Frozen serum must ship on dry ice via Astana or Istanbul. Logistics premium 30 percent.</t>
  </si>
  <si>
    <t xml:space="preserve">B (correlates with ApoB; incremental value modest)</t>
  </si>
  <si>
    <t xml:space="preserve">Premium cardiometabolic</t>
  </si>
  <si>
    <t xml:space="preserve">Lipoprotein(a) (Lp(a))</t>
  </si>
  <si>
    <t xml:space="preserve">Genetically determined atherogenic particle; lifetime CV risk multiplier</t>
  </si>
  <si>
    <t xml:space="preserve">Available at INVITRO. Approx 1900 RUB.</t>
  </si>
  <si>
    <t xml:space="preserve">intake one-time, lifetime relevant</t>
  </si>
  <si>
    <t xml:space="preserve">Small dense LDL (sdLDL-C)</t>
  </si>
  <si>
    <t xml:space="preserve">Most atherogenic LDL subfraction</t>
  </si>
  <si>
    <t xml:space="preserve">Direct measurement (Randox, Denka), serum</t>
  </si>
  <si>
    <t xml:space="preserve">INVITRO (sdLDL-C), Quest (Cardio IQ ion mobility)</t>
  </si>
  <si>
    <t xml:space="preserve">Available at INVITRO. Approx 3200 RUB.</t>
  </si>
  <si>
    <t xml:space="preserve">Oxidized LDL (oxLDL)</t>
  </si>
  <si>
    <t xml:space="preserve">Oxidative modification of LDL, drives foam-cell formation in atherosclerosis</t>
  </si>
  <si>
    <t xml:space="preserve">ELISA (Mercodia), serum</t>
  </si>
  <si>
    <t xml:space="preserve">Mercodia ELISA, Genova, specialty labs (Russia: Lytech, INVITRO via send-out)</t>
  </si>
  <si>
    <t xml:space="preserve">Available via send-out at INVITRO and Lytech. Approx 4500 RUB.</t>
  </si>
  <si>
    <t xml:space="preserve">Inflammaging Reversal; Premium cardiometabolic</t>
  </si>
  <si>
    <t xml:space="preserve">Total testosterone</t>
  </si>
  <si>
    <t xml:space="preserve">Gonadal steroid; muscle, libido, energy, cognition</t>
  </si>
  <si>
    <t xml:space="preserve">ECLIA (acceptable for adult males); LC-MS/MS preferred for women</t>
  </si>
  <si>
    <t xml:space="preserve">Universal. Approx 850 RUB.</t>
  </si>
  <si>
    <t xml:space="preserve">Free testosterone (calculated, Vermeulen)</t>
  </si>
  <si>
    <t xml:space="preserve">Bioavailable testosterone fraction</t>
  </si>
  <si>
    <t xml:space="preserve">Vermeulen equation</t>
  </si>
  <si>
    <t xml:space="preserve">Calculated from total T, SHBG, albumin</t>
  </si>
  <si>
    <t xml:space="preserve">SHBG (sex hormone binding globulin)</t>
  </si>
  <si>
    <t xml:space="preserve">Carrier protein, modulates bioavailable testosterone and estradiol</t>
  </si>
  <si>
    <t xml:space="preserve">INVITRO, KDL</t>
  </si>
  <si>
    <t xml:space="preserve">Universal. Approx 1100 RUB.</t>
  </si>
  <si>
    <t xml:space="preserve">Estradiol (E2)</t>
  </si>
  <si>
    <t xml:space="preserve">Primary estrogen; bone, cognition, vasomotor</t>
  </si>
  <si>
    <t xml:space="preserve">ECLIA (women); LC-MS/MS preferred for men and post-menopausal</t>
  </si>
  <si>
    <t xml:space="preserve">Universal. Approx 950 RUB.</t>
  </si>
  <si>
    <t xml:space="preserve">all baselines, especially HRT candidates</t>
  </si>
  <si>
    <t xml:space="preserve">Progesterone</t>
  </si>
  <si>
    <t xml:space="preserve">Luteal phase; bioidentical HRT monitoring</t>
  </si>
  <si>
    <t xml:space="preserve">Universal. Approx 900 RUB.</t>
  </si>
  <si>
    <t xml:space="preserve">female HRT; fertility</t>
  </si>
  <si>
    <t xml:space="preserve">DHEA-sulfate</t>
  </si>
  <si>
    <t xml:space="preserve">Adrenal androgen precursor; declines with age (adrenopause)</t>
  </si>
  <si>
    <t xml:space="preserve">Universal. Approx 1000 RUB.</t>
  </si>
  <si>
    <t xml:space="preserve">Cortisol AM and PM (or 4-point salivary diurnal)</t>
  </si>
  <si>
    <t xml:space="preserve">HPA axis tone, stress, sleep architecture</t>
  </si>
  <si>
    <t xml:space="preserve">ECLIA serum (8am and 4pm) or 4-point saliva LC-MS/MS</t>
  </si>
  <si>
    <t xml:space="preserve">INVITRO (serum); Genova or DUTCH for 4-point salivary or urinary diurnal</t>
  </si>
  <si>
    <t xml:space="preserve">Serum AM/PM routine. 4-point saliva via Genova requires export, route via Almaty.</t>
  </si>
  <si>
    <t xml:space="preserve">A (serum); B (salivary diurnal)</t>
  </si>
  <si>
    <t xml:space="preserve">Stress and Sleep program; Adrenal Reset</t>
  </si>
  <si>
    <t xml:space="preserve">IGF-1 (insulin-like growth factor 1)</t>
  </si>
  <si>
    <t xml:space="preserve">GH axis; growth and longevity tradeoff (low IGF-1 associated with longer lifespan but with sarcopenia risk)</t>
  </si>
  <si>
    <t xml:space="preserve">Universal. Approx 2100 RUB.</t>
  </si>
  <si>
    <t xml:space="preserve">TSH</t>
  </si>
  <si>
    <t xml:space="preserve">Pituitary thyroid axis</t>
  </si>
  <si>
    <t xml:space="preserve">Universal. Approx 550 RUB.</t>
  </si>
  <si>
    <t xml:space="preserve">Free T4</t>
  </si>
  <si>
    <t xml:space="preserve">Active thyroid hormone, mostly converted to T3 peripherally</t>
  </si>
  <si>
    <t xml:space="preserve">Universal. Approx 600 RUB.</t>
  </si>
  <si>
    <t xml:space="preserve">Free T3</t>
  </si>
  <si>
    <t xml:space="preserve">Most active thyroid hormone</t>
  </si>
  <si>
    <t xml:space="preserve">Universal. Approx 650 RUB.</t>
  </si>
  <si>
    <t xml:space="preserve">Reverse T3</t>
  </si>
  <si>
    <t xml:space="preserve">Inactive metabolite; elevated in caloric restriction, illness, stress</t>
  </si>
  <si>
    <t xml:space="preserve">RIA or LC-MS/MS, serum</t>
  </si>
  <si>
    <t xml:space="preserve">INVITRO (send-out), Lytech</t>
  </si>
  <si>
    <t xml:space="preserve">Available via INVITRO send-out, longer turnaround. Approx 2900 RUB.</t>
  </si>
  <si>
    <t xml:space="preserve">Stress and Sleep program; Caloric restriction monitoring</t>
  </si>
  <si>
    <t xml:space="preserve">25-hydroxy vitamin D</t>
  </si>
  <si>
    <t xml:space="preserve">Bone, immune, cardiovascular</t>
  </si>
  <si>
    <t xml:space="preserve">ECLIA or LC-MS/MS, serum</t>
  </si>
  <si>
    <t xml:space="preserve">Universal. Approx 1500 RUB.</t>
  </si>
  <si>
    <t xml:space="preserve">Holotranscobalamin (active B12)</t>
  </si>
  <si>
    <t xml:space="preserve">Bioavailable B12 fraction (only 10 to 30 percent of total B12)</t>
  </si>
  <si>
    <t xml:space="preserve">Available via INVITRO. Approx 2500 RUB.</t>
  </si>
  <si>
    <t xml:space="preserve">A (more sensitive than total B12)</t>
  </si>
  <si>
    <t xml:space="preserve">RBC folate</t>
  </si>
  <si>
    <t xml:space="preserve">Cellular folate stores (3-month average), methylation cofactor</t>
  </si>
  <si>
    <t xml:space="preserve">ECLIA, EDTA whole blood</t>
  </si>
  <si>
    <t xml:space="preserve">Available. Approx 1500 RUB.</t>
  </si>
  <si>
    <t xml:space="preserve">all baselines, methylation programs</t>
  </si>
  <si>
    <t xml:space="preserve">Omega-3 index (EPA + DHA in red cell membrane)</t>
  </si>
  <si>
    <t xml:space="preserve">Membrane fatty acid composition, CV and cognitive risk; target above 8 percent</t>
  </si>
  <si>
    <t xml:space="preserve">GC-FID on dried blood spot</t>
  </si>
  <si>
    <t xml:space="preserve">OmegaQuant (Sioux Falls SD); Genova</t>
  </si>
  <si>
    <t xml:space="preserve">DBS card courier-friendly, room-temp stable. Ship via Astana or Istanbul. OmegaQuant accepts samples globally.</t>
  </si>
  <si>
    <t xml:space="preserve">Cardiometabolic; Cognitive; all baselines</t>
  </si>
  <si>
    <t xml:space="preserve">Zinc (plasma or RBC)</t>
  </si>
  <si>
    <t xml:space="preserve">Cofactor for 300+ enzymes, immune function</t>
  </si>
  <si>
    <t xml:space="preserve">ICP-MS, plasma</t>
  </si>
  <si>
    <t xml:space="preserve">Available. Approx 1200 RUB.</t>
  </si>
  <si>
    <t xml:space="preserve">Copper</t>
  </si>
  <si>
    <t xml:space="preserve">Cofactor for cytochrome c oxidase, ceruloplasmin</t>
  </si>
  <si>
    <t xml:space="preserve">Selenium</t>
  </si>
  <si>
    <t xml:space="preserve">Glutathione peroxidase cofactor, thyroid hormone deiodinase</t>
  </si>
  <si>
    <t xml:space="preserve">ICP-MS, plasma or whole blood</t>
  </si>
  <si>
    <t xml:space="preserve">Available. Approx 1400 RUB.</t>
  </si>
  <si>
    <t xml:space="preserve">all baselines, thyroid programs</t>
  </si>
  <si>
    <t xml:space="preserve">Magnesium RBC</t>
  </si>
  <si>
    <t xml:space="preserve">Intracellular magnesium status (more reliable than serum magnesium)</t>
  </si>
  <si>
    <t xml:space="preserve">Atomic absorption, EDTA whole blood</t>
  </si>
  <si>
    <t xml:space="preserve">INVITRO (send-out)</t>
  </si>
  <si>
    <t xml:space="preserve">Available via INVITRO send-out. Approx 2000 RUB.</t>
  </si>
  <si>
    <t xml:space="preserve">Heavy metals panel: mercury, lead, arsenic, cadmium (whole blood)</t>
  </si>
  <si>
    <t xml:space="preserve">Toxic metal body burden, oxidative stress driver</t>
  </si>
  <si>
    <t xml:space="preserve">ICP-MS, EDTA whole blood</t>
  </si>
  <si>
    <t xml:space="preserve">INVITRO, KDL, Lytech</t>
  </si>
  <si>
    <t xml:space="preserve">Available at INVITRO and Lytech. Approx 6500 RUB for 4-metal panel.</t>
  </si>
  <si>
    <t xml:space="preserve">Detoxification program; Cellular Renewal baseline</t>
  </si>
  <si>
    <t xml:space="preserve">High-sensitivity troponin T or I</t>
  </si>
  <si>
    <t xml:space="preserve">Subclinical cardiomyocyte injury; predicts CV events at very low levels</t>
  </si>
  <si>
    <t xml:space="preserve">ECLIA hs-TnT (Roche) or hs-TnI (Abbott), serum</t>
  </si>
  <si>
    <t xml:space="preserve">all baselines age 50+</t>
  </si>
  <si>
    <t xml:space="preserve">NT-proBNP</t>
  </si>
  <si>
    <t xml:space="preserve">Ventricular wall stress; HF screening</t>
  </si>
  <si>
    <t xml:space="preserve">Universal. Approx 2700 RUB.</t>
  </si>
  <si>
    <t xml:space="preserve">Liver panel: ALT, AST, GGT, ALP, total bilirubin</t>
  </si>
  <si>
    <t xml:space="preserve">Hepatocellular and cholestatic function</t>
  </si>
  <si>
    <t xml:space="preserve">Spectrophotometric, serum</t>
  </si>
  <si>
    <t xml:space="preserve">Universal, often bundled. Approx 1300 RUB for the 5-marker bundle.</t>
  </si>
  <si>
    <t xml:space="preserve">Kidney panel: creatinine, cystatin C, eGFR, ACR (urine albumin:creatinine ratio)</t>
  </si>
  <si>
    <t xml:space="preserve">Glomerular filtration, early albuminuria</t>
  </si>
  <si>
    <t xml:space="preserve">Creatinine: enzymatic IDMS-traceable. Cystatin C: immunoturbidimetric. ACR: spot urine.</t>
  </si>
  <si>
    <t xml:space="preserve">All available at INVITRO. Cystatin C approx 1400 RUB; ACR approx 700 RUB.</t>
  </si>
  <si>
    <t xml:space="preserve">Microbiome (gut, 16S or shotgun metagenomic)</t>
  </si>
  <si>
    <t xml:space="preserve">Gut bacterial composition, diversity, dysbiosis index, SCFA producers</t>
  </si>
  <si>
    <t xml:space="preserve">Stool, 16S rRNA (Atlas) or shotgun metagenomic (Viome). Genova uses PCR and stool culture plus inflammation markers.</t>
  </si>
  <si>
    <t xml:space="preserve">Atlas Biomed (Russia, ships in Russia); Viome (US, shotgun); Genova GI Effects (US, comprehensive)</t>
  </si>
  <si>
    <t xml:space="preserve">Atlas Biomed has Russian operations and ships within Russia, retail approx 12500 RUB. Genova GI Effects requires international export of stool, more complex; route via Astana.</t>
  </si>
  <si>
    <t xml:space="preserve">Gut Reset; Inflammaging Reversal; Cellular Renewal</t>
  </si>
  <si>
    <t xml:space="preserve">APOE genotype</t>
  </si>
  <si>
    <t xml:space="preserve">ApoE isoform (e2, e3, e4); e4 carriers have increased Alzheimer and CV risk</t>
  </si>
  <si>
    <t xml:space="preserve">PCR or sequencing, EDTA whole blood or buccal swab</t>
  </si>
  <si>
    <t xml:space="preserve">INVITRO, KDL, MyGenetics (Novosibirsk)</t>
  </si>
  <si>
    <t xml:space="preserve">Available domestically at INVITRO and MyGenetics. Approx 5500 RUB.</t>
  </si>
  <si>
    <t xml:space="preserve">MTHFR C677T and A1298C</t>
  </si>
  <si>
    <t xml:space="preserve">Folate cycle enzyme polymorphisms; methylation efficiency</t>
  </si>
  <si>
    <t xml:space="preserve">PCR, EDTA whole blood</t>
  </si>
  <si>
    <t xml:space="preserve">INVITRO, MyGenetics</t>
  </si>
  <si>
    <t xml:space="preserve">Routine. Approx 3000 RUB.</t>
  </si>
  <si>
    <t xml:space="preserve">B (clinical significance debated)</t>
  </si>
  <si>
    <t xml:space="preserve">Methylation program; all baselines</t>
  </si>
  <si>
    <t xml:space="preserve">Pharmacogenomics basic panel (CYP2D6, CYP2C19, CYP3A4, VKORC1)</t>
  </si>
  <si>
    <t xml:space="preserve">Drug metabolism polymorphisms; relevant for HRT, statins, anticoagulants, antidepressants</t>
  </si>
  <si>
    <t xml:space="preserve">PCR or array genotyping, buccal swab or whole blood</t>
  </si>
  <si>
    <t xml:space="preserve">MyGenetics (Russia), Atlas Biomed, INVITRO partnerships</t>
  </si>
  <si>
    <t xml:space="preserve">Available at MyGenetics and INVITRO. Approx 17000 RUB.</t>
  </si>
  <si>
    <t xml:space="preserve">Pre-pharmacotherapy; HRT programs</t>
  </si>
  <si>
    <t xml:space="preserve">ПРОДУКТОВЫЙ СЛОЙ, 4 ПРОГРАММЫ</t>
  </si>
  <si>
    <t xml:space="preserve">Поле</t>
  </si>
  <si>
    <t xml:space="preserve">Cellular Renewal</t>
  </si>
  <si>
    <t xml:space="preserve">Mitochondrial Reset</t>
  </si>
  <si>
    <t xml:space="preserve">Epigenetic Age Reduction</t>
  </si>
  <si>
    <t xml:space="preserve">Слоган</t>
  </si>
  <si>
    <t xml:space="preserve">Activate autophagy, reset metabolic flexibility, establish a measurable longevity baseline.</t>
  </si>
  <si>
    <t xml:space="preserve">Restore cellular energy, raise VO2 max, reverse functional decline you can feel.</t>
  </si>
  <si>
    <t xml:space="preserve">Quiet the chronic inflammation that drives aging, rebuild gut-immune resilience over 14 nights.</t>
  </si>
  <si>
    <t xml:space="preserve">A 12-week protocol with 7 nights resort intensive plus quarterly check-ins, designed to move your epigenetic clocks.</t>
  </si>
  <si>
    <t xml:space="preserve">Длительность</t>
  </si>
  <si>
    <t xml:space="preserve">10 nights</t>
  </si>
  <si>
    <t xml:space="preserve">7 nights</t>
  </si>
  <si>
    <t xml:space="preserve">14 nights</t>
  </si>
  <si>
    <t xml:space="preserve">7 nights resort intensive plus 12-week at-home protocol with 2 quarterly check-ins (Month 3 and Month 6 telehealth panel re-test)</t>
  </si>
  <si>
    <t xml:space="preserve">Целевой гость</t>
  </si>
  <si>
    <t xml:space="preserve">Executive 45 to 65, metabolically healthy but feeling the slowdown, wants a defensible biological reset and a clean baseline they can track for years.</t>
  </si>
  <si>
    <t xml:space="preserve">Executive 50 to 70 reporting fatigue, post-viral or post-burnout decline, declining athletic capacity, brain fog. Ideal for the high-performer who has hit a plateau.</t>
  </si>
  <si>
    <t xml:space="preserve">Guest 50 to 75 with elevated hsCRP or IL-6, metabolic syndrome features, gut symptoms, joint stiffness, or post-infection inflammatory tail. The 'feeling old' patient who screens with measurable inflammaging.</t>
  </si>
  <si>
    <t xml:space="preserve">Tracker, often 40 to 60. Has tested epigenetic age before (TruDiagnostic, Elysium, GlycanAge), is willing to commit to a structured 12-week intervention, and wants a measurable reduction in DunedinPACE or GrimAge2. Prepared to adhere to remote protocols and wearable data sharing.</t>
  </si>
  <si>
    <t xml:space="preserve">Биологическая логика</t>
  </si>
  <si>
    <t xml:space="preserve">Combines time-restricted eating with a 5-day fasting-mimicking diet (FMD) protocol, daily hormesis stack (Finnish sauna, cold plunge, IHHT), and resistance training. Activates autophagy and AMPK, suppresses mTOR, shifts substrate utilisation toward fat oxidation, and primes mitochondrial biogenesis. Backed by Longo FMD trials, Laukkanen sauna cohort, and the autophagy literature.</t>
  </si>
  <si>
    <t xml:space="preserve">NAD+ centric protocol stacked with hyperbaric oxygen, IHHT, and CPET-prescribed Zone 2 plus polarised training. Targets mitochondrial biogenesis, electron transport chain capacity, and PGC-1 alpha signalling. NAD+ infusion drives substrate availability for sirtuins (SIRT1, SIRT3) and supports DNA repair (PARP). Aerobic prescription is anchored to individual ventilatory thresholds derived from CPET. HBOT recruits angiogenesis and stem cell mobilisation per Efrati protocol research.</t>
  </si>
  <si>
    <t xml:space="preserve">Two-week intensive targeting the inflammaging axis: chronic low-grade inflammation, senescent cell accumulation, gut barrier dysfunction, and SASP cytokine load. Stacks anti-inflammatory nutrition (Mediterranean plus targeted polyphenols), gut microbiome restoration, vagal tone training (HRV biofeedback, meditation, sauna), light aerobic loading, and senolytic-aware supplementation. Strong reliance on the Inflammaging Panel (hsCRP, IL-6, TNF-alpha, fibrinogen, GlycA) to demonstrate measurable reversal at exit and again at 90 days.</t>
  </si>
  <si>
    <t xml:space="preserve">Modelled on the Fitzgerald 2021 Younger Trial design (DNAm-PhenoAge reduction over 8 weeks via methyl donor nutrition, sleep optimisation, exercise, and stress reduction) extended to 12 weeks and benchmarked on TruAge Complete (Horvath, GrimAge2, DunedinPACE, OMICmAge). Resort intensive front-loads adherence (CGM, wearables, intake panel, protocol calibration). Remote layer enforces consistency on the variables that move methylation: sleep, sustained moderate aerobic load, methyl donor intake (folate, B12, betaine, choline), polyphenols, and stress reduction. Re-test at week 12 with TruAge plu</t>
  </si>
  <si>
    <t xml:space="preserve">Часы практиков</t>
  </si>
  <si>
    <t xml:space="preserve">{'Longevity Physician (Senior)': 4.5, 'Nutritionist (Longevity-trained)': 5.0, 'Exercise Physiologist (CPET interpretation)': 3.5, 'IV Therapy Specialist Nurse (NAD+ trained)': 3.0, 'Behavioural Change Specialist / Health Coach': 6.0, 'Spa Therapist (Advanced Manual Therapy)': 4.0, 'Phlebotomist / Diagnostic Nurse': 1.5, 'Strength and Conditioning Coach': 3.0, 'Fasting Protocol Coach': 5.0}</t>
  </si>
  <si>
    <t xml:space="preserve">{'Longevity Physician (Senior)': 3.5, 'Cardiologist (CPET-certified)': 1.5, 'Exercise Physiologist (CPET interpretation)': 4.5, 'IV Therapy Specialist Nurse (NAD+ trained)': 8.0, 'Anti-aging / Regenerative Medicine Physician': 1.5, 'Hyperbaric Oxygen Therapy Technician': 3.0, 'Strength and Conditioning Coach': 3.0, 'Nutritionist (Longevity-trained)': 2.5, 'Behavioural Change Specialist / Health Co</t>
  </si>
  <si>
    <t xml:space="preserve">{'Longevity Physician (Senior)': 5.5, 'Functional Medicine Physician': 4.0, 'Endocrinologist (Hormone Optimisation)': 1.5, 'Anti-aging / Regenerative Medicine Physician': 2.0, 'Nutritionist (Longevity-trained)': 7.0, 'Clinical Dietitian': 2.0, 'Behavioural Change Specialist / Health Coach': 8.0, 'Spa Therapist (Advanced Manual Therapy)': 8.0, 'Mindfulness / Meditation Teacher': 4.0, 'Sleep Special</t>
  </si>
  <si>
    <t xml:space="preserve">{'Longevity Medical Director': 1.5, 'Longevity Physician (Senior)': 4.5, 'Functional Medicine Physician': 1.5, 'Endocrinologist (Hormone Optimisation)': 1.5, 'Nutritionist (Longevity-trained)': 5.0, 'Exercise Physiologist (CPET interpretation)': 3.0, 'Strength and Conditioning Coach': 2.5, 'Behavioural Change Specialist / Health Coach': 12.0, 'Mindfulness / Meditation Teacher': 2.0, 'Spa Therapist</t>
  </si>
  <si>
    <t xml:space="preserve">F&amp;B стоимость</t>
  </si>
  <si>
    <t xml:space="preserve">{'type': 'Therapeutic kitchen, FMD-compliant menu (ProLon-aligned recipes, in-house prepared), juice bar, electrolyte protocols', 'menus_per_guest': 30, 'protein_targeting': '0.8 to 1.0 g per kg lean body mass on TRE and refeed days; calorie restricted to approximately 750 kcal on FMD days 4 to 8', 'supplements_dispensed': ['NMN 500 mg daily', 'spermidine 5 mg', 'berberine 500 mg', 'magnesium glyc</t>
  </si>
  <si>
    <t xml:space="preserve">{'type': 'Mediterranean-mitochondrial menu, polyphenol-dense, omega-3 forward, moderate carb periodised around training', 'menus_per_guest': 21, 'protein_targeting': '1.4 to 1.6 g per kg body weight, distributed across 3 to 4 feedings to support training adaptation', 'supplements_dispensed': ['NMN 1 g daily', 'CoQ10 ubiquinol 200 mg', 'PQQ 20 mg', 'L-carnitine 2 g', 'creatine monohydrate 5 g', 'ma</t>
  </si>
  <si>
    <t xml:space="preserve">{'type': 'Mediterranean-anti-inflammatory plus optional low-FODMAP track, polyphenol-dense (extra-virgin olive oil, berries, cruciferous), fermented foods reintroduction in week 2, alcohol-free, low-glycaemic', 'menus_per_guest': 42, 'protein_targeting': '1.2 to 1.4 g per kg body weight, plant-forward with fish 3 times per week, eggs and poultry as tolerated', 'supplements_dispensed': ['fisetin 15</t>
  </si>
  <si>
    <t xml:space="preserve">{'type': 'Mediterranean plus methyl-donor-rich (eggs, leafy greens, beets, fish), polyphenol-dense, time-restricted 14:10 default. Take-home week-by-week recipe pack and grocery list.', 'menus_per_guest': 21, 'protein_targeting': '1.2 to 1.4 g per kg body weight, distributed', 'supplements_dispensed': ['NMN 1 g daily', 'methylated B-complex (5-MTHF, methylcobalamin)', 'TMG (betaine) 1 g', 'choline</t>
  </si>
  <si>
    <t xml:space="preserve">Прайс EUR</t>
  </si>
  <si>
    <t xml:space="preserve">Прайс RUB</t>
  </si>
  <si>
    <t xml:space="preserve">COGS EUR (suma)</t>
  </si>
  <si>
    <t xml:space="preserve">Контрибуционная маржа EUR</t>
  </si>
  <si>
    <t xml:space="preserve">Контрибуционная маржа %</t>
  </si>
  <si>
    <t xml:space="preserve">Биомаркер пакет</t>
  </si>
  <si>
    <t xml:space="preserve">Foundation на входе + Inflammaging / Mitochondrial / Hormone в зависимости от программы; контроль через 8, 12 недель</t>
  </si>
  <si>
    <t xml:space="preserve">Оборудование (ключевые точки)</t>
  </si>
  <si>
    <t xml:space="preserve">{'Premium Finnish sauna (commercial, 8-12 person, Klafs/Tylo)': 9, 'Cold plunge pool (chilled, 4-10C, 2-3 person)': 9, 'Premium selectorized strength line (15-piece)': 5, 'Functional training rig + cable systems': 3, 'Pilates Reformer studio set': 3, 'DEXA body composition / bone density scanner': 1, 'Medical-grade body composition analyzer (BIA)': 3, 'CPET / VO2max metabolic cart': 1, '12-lead resting ECG': 1, 'IHHT intermittent hypoxic-hyperoxic training device': 4, 'IV therapy lounge chair (clinical recliner)': 2, 'Continuous glucose monitor kits (consumables)': 1, 'Premium kitchen FMD prep</t>
  </si>
  <si>
    <t xml:space="preserve">{'IV therapy lounge chair (clinical recliner)': 5, 'Smart infusion pump': 5, 'Hyperbaric oxygen chamber (mild, 1.3-2.0 ATA)': 5, 'IHHT intermittent hypoxic-hyperoxic training device': 3, 'CPET / VO2max metabolic cart': 2, 'Stress ECG with treadmill': 1, '12-lead resting ECG': 2, 'Premium cardio line (treadmills/bikes/ellipticals)': 5, 'Premium selectorized strength line (15-piece)': 3, 'Premium Finnish sauna': 5, 'Cold plunge pool': 5, 'Pulse wave analysis / arterial stiffness': 2, 'Medical-grade body composition analyzer (BIA)': 2, 'Premium spa massage tables (electric, heated)': 3, 'Premium </t>
  </si>
  <si>
    <t xml:space="preserve">{'Premium Finnish sauna (commercial)': 12, 'Cold plunge pool': 12, 'Premium infrared sauna (full-spectrum)': 4, 'Premium Russian banya parnaya': 2, 'Halotherapy salt room / cave': 3, 'Floatation tank / pod': 2, 'Vichy shower table (multi-jet hydrotherapy)': 3, 'Kneipp walking circuit (hot/cold foot baths)': 5, 'Hammam steam room': 3, 'Whole-body cryotherapy chamber': 4, 'Pilates Reformer studio set': 5, 'Premium selectorized strength line (15-piece)': 5, 'Functional training rig + cable systems': 4, 'Premium cardio line': 6, 'DEXA body composition / bone density scanner': 1, 'Liver elastograph</t>
  </si>
  <si>
    <t xml:space="preserve">{'DEXA body composition / bone density scanner': 2, 'CPET / VO2max metabolic cart': 1, 'Pulse wave analysis / arterial stiffness': 2, 'Retinal imaging / OCT': 1, 'Medical-grade body composition analyzer (BIA)': 3, 'Continuous glucose monitor kits (consumables)': 4, 'Premium wearables (Oura / Whoop / Apple Watch fleet)': 1, 'Premium Finnish sauna': 6, 'Cold plunge pool': 6, 'Premium selectorized strength line (15-piece)': 3, 'Functional training rig + cable systems': 2, 'Premium cardio line': 4, 'Pilates Reformer studio set': 2, 'IV therapy lounge chair (clinical recliner)': 2, 'Smart infusion </t>
  </si>
  <si>
    <t xml:space="preserve">ГОДОВОЙ ПРОГНОЗ ВЫРУЧКИ ПРОГРАММ, ГОД 5</t>
  </si>
  <si>
    <t xml:space="preserve">Гостей программ в год</t>
  </si>
  <si>
    <t xml:space="preserve">Средневзвешенная цена, EUR</t>
  </si>
  <si>
    <t xml:space="preserve">Выручка программ, EUR</t>
  </si>
  <si>
    <t xml:space="preserve">Выручка программ, RUB</t>
  </si>
  <si>
    <t xml:space="preserve">Доля от общей выручки резорта</t>
  </si>
  <si>
    <t xml:space="preserve">Допущения</t>
  </si>
  <si>
    <t xml:space="preserve">90 keys, 65 percent occupancy at year 5, average stay 10 nights, 60 percent of guest-stays on a longevity program (vs leisure/wellness only). FX 92 RUB/EUR.</t>
  </si>
  <si>
    <t xml:space="preserve">КЛИНИЧЕСКИЙ ПЕРСОНАЛ, 28 РОЛЕЙ</t>
  </si>
  <si>
    <t xml:space="preserve">Роль</t>
  </si>
  <si>
    <t xml:space="preserve">Квалификации</t>
  </si>
  <si>
    <t xml:space="preserve">FTE Lanserhof / CLP</t>
  </si>
  <si>
    <t xml:space="preserve">FTE SHA / Chenot</t>
  </si>
  <si>
    <t xml:space="preserve">FTE Six Senses</t>
  </si>
  <si>
    <t xml:space="preserve">Годовая ЗП ЕС, EUR</t>
  </si>
  <si>
    <t xml:space="preserve">Годовая ЗП РФ, RUB</t>
  </si>
  <si>
    <t xml:space="preserve">Доступность кадров</t>
  </si>
  <si>
    <t xml:space="preserve">Longevity Medical Director</t>
  </si>
  <si>
    <t xml:space="preserve">MD with regenerative medicine, anti-aging, or internal medicine background; ideally A4M (American Academy of Anti-Aging Medicine) or IFM (Institute for Functional Medicine) certified; 15+ years clinical experience; cellular-science fluency including mTOR, AMPK, NAD+, senescence pathways; published research preferred</t>
  </si>
  <si>
    <t xml:space="preserve">Very limited. Candidate sources: senior physicians from Sechenov First Moscow Medical University, MGIMO Medical, Pirogov RNRMU; private clinics like Lechu, K+31, EMC, GMS Clinic, AtlasBiomed. Expat hiring strongly recommended from Israel, Germany, UAE, Cyprus, Serbia. Post-2022 expat recruitment difficult; use Russian-Israeli or Russian-German dual-passport candidates.</t>
  </si>
  <si>
    <t xml:space="preserve">Longevity Physician (Senior)</t>
  </si>
  <si>
    <t xml:space="preserve">MD, internal medicine or geriatric medicine board-certified; A4M or IFM credential; 8+ years experience; competence in biomarker panel interpretation (GlycanAge, TruDiagnostic, Galleri, organ-specific aging clocks)</t>
  </si>
  <si>
    <t xml:space="preserve">Scarce. Best candidates from EMC, GMS, Lechu in Moscow; from Scandinavia Clinic in St Petersburg. Realistic to recruit 1 to 2 within 12 months; consider locum or visiting model for additional capacity.</t>
  </si>
  <si>
    <t xml:space="preserve">Anti-aging / Regenerative Medicine Physician</t>
  </si>
  <si>
    <t xml:space="preserve">MD with focus on regenerative medicine, exosome and PRP therapy, hormone optimisation; ISSAM or WOSAAM certification preferred</t>
  </si>
  <si>
    <t xml:space="preserve">Moderate pool in aesthetic medicine; cellular-science depth is rare. Retraining required. Source: Estelab, Frau Klinik, RHANA in Moscow.</t>
  </si>
  <si>
    <t xml:space="preserve">Cardiologist (CPET-certified)</t>
  </si>
  <si>
    <t xml:space="preserve">MD, cardiology board certification; ESC certification preferred; CPET (cardiopulmonary exercise testing) interpretation experience; familiarity with VO2max, lactate threshold, ventilatory thresholds</t>
  </si>
  <si>
    <t xml:space="preserve">Adequate cardiology pool from Bakulev, Almazov NMRC (St Petersburg), Chazov Cardiology Center. CPET-trained cardiologists rarer; sports cardiology subspecialty thin. Retrain through ESC sports cardiology programme.</t>
  </si>
  <si>
    <t xml:space="preserve">Endocrinologist (Hormone Optimisation)</t>
  </si>
  <si>
    <t xml:space="preserve">MD, endocrinology board-certified; thyroid, adrenal, sex hormone optimisation experience; familiarity with peptide therapeutics, GLP-1 protocols, IGF-1 / GH axis</t>
  </si>
  <si>
    <t xml:space="preserve">Solid pool from Endocrinology Research Centre Moscow, Sechenov. Hormone optimisation (HRT, TRT) framework is more conservative in Russia; require physician comfortable with international protocols.</t>
  </si>
  <si>
    <t xml:space="preserve">Sports Medicine Physician</t>
  </si>
  <si>
    <t xml:space="preserve">MD, sports medicine specialty; FIMS or ECSS-affiliated training preferred; musculoskeletal and exercise physiology depth</t>
  </si>
  <si>
    <t xml:space="preserve">Reasonable. RUSADA, FMBA sports medicine network, Olympic team alumni. Sysert proximity to Yekaterinburg helps (regional sports medicine hub).</t>
  </si>
  <si>
    <t xml:space="preserve">Functional Medicine Physician</t>
  </si>
  <si>
    <t xml:space="preserve">MD with IFM certification or equivalent; gut microbiome, food sensitivity, environmental medicine, mitochondrial dysfunction expertise</t>
  </si>
  <si>
    <t xml:space="preserve">Very thin. Functional medicine is not formally recognised. Recruit via private clinics with IFM-trained MDs (under 50 nationally). Expat preferred.</t>
  </si>
  <si>
    <t xml:space="preserve">IV Therapy Specialist Nurse (NAD+ trained)</t>
  </si>
  <si>
    <t xml:space="preserve">RN with 5+ years experience; IV certification; specific NAD+ infusion training (dose titration, side-effect management); experience with high-dose vitamin C, glutathione, NAD+, peptide compounding</t>
  </si>
  <si>
    <t xml:space="preserve">Good RN pool, but NAD+ specific training near non-existent in Russia. Plan for 4 to 6 week external training (Drip Hydration USA, Reviv Global, Get A Drip UK partnerships); on-site protocol manual essential.</t>
  </si>
  <si>
    <t xml:space="preserve">Phlebotomist / Diagnostic Nurse</t>
  </si>
  <si>
    <t xml:space="preserve">Medical assistant or nurse with 3+ years phlebotomy; experience with extensive panel draws (50+ tubes per session for longevity panels); cold-chain handling</t>
  </si>
  <si>
    <t xml:space="preserve">Abundant. Yekaterinburg medical college pipeline. Easiest role to staff locally.</t>
  </si>
  <si>
    <t xml:space="preserve">Exercise Physiologist (CPET interpretation)</t>
  </si>
  <si>
    <t xml:space="preserve">MSc in exercise physiology or sports science; ACSM-EP-C or BASES accreditation; CPET interpretation experience including VO2max, ventilatory thresholds, RER analysis; lactate threshold testing competence</t>
  </si>
  <si>
    <t xml:space="preserve">Very thin in Russia. Strong sports science academic base (RGUFK, Lesgaft NSU St Petersburg) but few practitioners with private-sector CPET experience. Recruit from FMBA / Olympic Center alumni; supplement with EU contractors.</t>
  </si>
  <si>
    <t xml:space="preserve">Strength and Conditioning Coach</t>
  </si>
  <si>
    <t xml:space="preserve">BSc in sports science or kinesiology; NSCA-CSCS or UKSCA accreditation; experience with deconditioned populations and longevity-focused programming (Zone 2, VO2max intervals, resistance for sarcopenia prevention)</t>
  </si>
  <si>
    <t xml:space="preserve">Strong pool in Russia (legacy Soviet sports science); private fitness sector mature in Moscow / St Petersburg. Yekaterinburg has decent talent base.</t>
  </si>
  <si>
    <t xml:space="preserve">Pilates / Movement Therapist</t>
  </si>
  <si>
    <t xml:space="preserve">Certified Pilates instructor (Polestar, Stott, BASI) plus movement screen credential (FMS, SFMA); rehabilitation experience preferred</t>
  </si>
  <si>
    <t xml:space="preserve">Strong in Moscow / St Petersburg; thinner in Yekaterinburg. Plan to import 1 to 2 senior instructors and develop locals.</t>
  </si>
  <si>
    <t xml:space="preserve">Sleep Specialist (PSG-certified)</t>
  </si>
  <si>
    <t xml:space="preserve">MD or PhD with somnology specialty; polysomnography (PSG) interpretation certification; CBT-I (cognitive behavioural therapy for insomnia) competence</t>
  </si>
  <si>
    <t xml:space="preserve">Limited. Federal Centre for Somnology (Ivanovo), Buzunov Sleep Centre Moscow are the two main pipelines. National pool of approx 150 certified sleep specialists.</t>
  </si>
  <si>
    <t xml:space="preserve">Sleep Technician</t>
  </si>
  <si>
    <t xml:space="preserve">Medical technician certification; PSG hookup and monitoring training (RPSGT preferred or BRPT-equivalent)</t>
  </si>
  <si>
    <t xml:space="preserve">Trainable from regional medical college pool; partner with Buzunov Centre for protocol training.</t>
  </si>
  <si>
    <t xml:space="preserve">Nutritionist (Longevity-trained)</t>
  </si>
  <si>
    <t xml:space="preserve">MSc in nutrition or dietetics; longevity-focused training (ZOE, Levels, Valter Longo Foundation, Bredesen ReCODE); CGM interpretation; experience with personalised nutrition based on genomic and microbiome data</t>
  </si>
  <si>
    <t xml:space="preserve">Russian dietetics pool exists (RUDN, RSMU programmes) but longevity-trained subspecialty thin. Most retraining will be needed; partner with Valter Longo Foundation or ZOE.</t>
  </si>
  <si>
    <t xml:space="preserve">Clinical Dietitian</t>
  </si>
  <si>
    <t xml:space="preserve">Certified dietitian; clinical experience with GI conditions, diabetes, autoimmune; Russian Roszdravnadzor licence</t>
  </si>
  <si>
    <t xml:space="preserve">Adequate. Local pool from Yekaterinburg State Medical University.</t>
  </si>
  <si>
    <t xml:space="preserve">Fasting Protocol Coach</t>
  </si>
  <si>
    <t xml:space="preserve">MD or RD with fasting clinic training (Buchinger Wilhelmi, ProLon, TrueNorth, Dr Goldhamer methodology); medical supervision capability for prolonged fasts</t>
  </si>
  <si>
    <t xml:space="preserve">Niche. Russian Buchinger-style clinics (Goryachiy Klyuch sanatoria heritage) provide partial pipeline. Send 2 staff to Buchinger Wilhelmi Marbella for 6 to 8 week training.</t>
  </si>
  <si>
    <t xml:space="preserve">Behavioural Change Specialist / Health Coach</t>
  </si>
  <si>
    <t xml:space="preserve">NBHWC (National Board for Health and Wellness Coaching) certification or ICF coaching credential; psychology or behavioural science background; motivational interviewing trained</t>
  </si>
  <si>
    <t xml:space="preserve">Russian coaching market is mature in business coaching but health-coaching subspecialty is thin. NBHWC has near-zero Russian presence. Partner with Atlas Biomed-style players or recruit ICF-credentialed coaches and retrain.</t>
  </si>
  <si>
    <t xml:space="preserve">Mindfulness / Meditation Teacher</t>
  </si>
  <si>
    <t xml:space="preserve">MBSR (mindfulness-based stress reduction) certification or equivalent (UMass CFM, Oxford Mindfulness Centre); 5+ years teaching; trauma-sensitive training</t>
  </si>
  <si>
    <t xml:space="preserve">Reasonable Moscow / St Petersburg pool (yoga and meditation studio teachers); MBSR-certified rare. Plan to bring 1 senior teacher from EU and develop juniors.</t>
  </si>
  <si>
    <t xml:space="preserve">Spa Therapist (Advanced Manual Therapy)</t>
  </si>
  <si>
    <t xml:space="preserve">Massage therapy diploma plus advanced credentials in lymphatic drainage (Vodder), myofascial release, manual lymphatic drainage, sports massage</t>
  </si>
  <si>
    <t xml:space="preserve">Strong base across Russia. Sysert / Yekaterinburg pool adequate; senior Vodder-trained therapists may need to be imported.</t>
  </si>
  <si>
    <t xml:space="preserve">Aesthetic Practitioner</t>
  </si>
  <si>
    <t xml:space="preserve">MD or RN with aesthetic medicine certification; injectables (botulinum toxin, dermal fillers), laser, RF microneedling experience; SkinPen, Morpheus8, exosome facial protocols</t>
  </si>
  <si>
    <t xml:space="preserve">Strong. Russian aesthetic medicine market is highly developed (Frau Klinik, RHANA, Estelab). Easiest senior-clinical role to staff.</t>
  </si>
  <si>
    <t xml:space="preserve">Patient Coordinator (Medical-trained)</t>
  </si>
  <si>
    <t xml:space="preserve">Nursing or medical assistant background plus hospitality training; multilingual (Russian / English minimum, German / Mandarin a plus); CRM and EHR proficiency</t>
  </si>
  <si>
    <t xml:space="preserve">Adequate. Hire from Yekaterinburg medical college plus hospitality school; English fluency is the constraint, not medical knowledge.</t>
  </si>
  <si>
    <t xml:space="preserve">Lab Technician</t>
  </si>
  <si>
    <t xml:space="preserve">Medical laboratory science degree; experience with high-complexity assays; familiarity with longevity panels (Quest, Boston Heart, Cleveland Heart Lab equivalents); QC and ISO 15189 standards</t>
  </si>
  <si>
    <t xml:space="preserve">Adequate from regional pool; for high-complexity assays partner with Invitro, Helix, KDL Moscow reference labs and outsource the most specialised work.</t>
  </si>
  <si>
    <t xml:space="preserve">Imaging Technologist (MRI / CT)</t>
  </si>
  <si>
    <t xml:space="preserve">Radiography degree; advanced certification in MRI (1.5T / 3T) and CT including coronary calcium and low-dose lung; ALARA dose management</t>
  </si>
  <si>
    <t xml:space="preserve">Reasonable in Yekaterinburg given strong regional radiology base (Ural State Medical University, regional oncology centre). 7T MRI experience near-zero in Russia; if installing 7T plan for Siemens / GE OEM-led training.</t>
  </si>
  <si>
    <t xml:space="preserve">Radiologist (Reporting)</t>
  </si>
  <si>
    <t xml:space="preserve">MD, radiology board-certified; advanced cardiac MRI, whole-body MRI, low-dose CT lung interpretation; ESR or RSNA fellowship preferred</t>
  </si>
  <si>
    <t xml:space="preserve">Solid pool but advanced longevity-specific reporting (whole-body MRI for Prenuvo / Ezra-style scans) requires retraining. Use teleradiology for second-read partnership with EU / US.</t>
  </si>
  <si>
    <t xml:space="preserve">Pharmacist (Compounding-trained)</t>
  </si>
  <si>
    <t xml:space="preserve">Pharmacy degree; sterile compounding (USP 797 / 800 equivalent) certification; experience with IV admixture, peptide compounding, BHRT formulations; Roszdravnadzor pharmacy licence</t>
  </si>
  <si>
    <t xml:space="preserve">Compounding pharmacy in Russia is shrinking under Roszdravnadzor pressure; specialty regulatory pathway exists but is bureaucratic. Recruit from St Petersburg compounding houses or apply for in-house licence (12 to 18 month process).</t>
  </si>
  <si>
    <t xml:space="preserve">Psychologist / Mental Performance Specialist</t>
  </si>
  <si>
    <t xml:space="preserve">Clinical psychology PhD or MSc; CBT, ACT trained; sleep psychology and stress physiology familiarity; trauma-informed care</t>
  </si>
  <si>
    <t xml:space="preserve">Strong clinical psychology pool in Moscow / St Petersburg; Yekaterinburg has Ural Federal University programme. English-fluent practitioners scarce.</t>
  </si>
  <si>
    <t xml:space="preserve">Hyperbaric Oxygen Therapy Technician</t>
  </si>
  <si>
    <t xml:space="preserve">Medical technician with HBOT chamber operation certification (UHMS or equivalent); safety officer training</t>
  </si>
  <si>
    <t xml:space="preserve">Niche. Military and diving medicine pipeline (FMBA, Navy alumni). Adequate.</t>
  </si>
  <si>
    <t xml:space="preserve">ИТОГО</t>
  </si>
  <si>
    <t xml:space="preserve">ФОТ: SHA EUR 2 953 000; Six Senses EUR 1 061 000</t>
  </si>
</sst>
</file>

<file path=xl/styles.xml><?xml version="1.0" encoding="utf-8"?>
<styleSheet xmlns="http://schemas.openxmlformats.org/spreadsheetml/2006/main">
  <numFmts count="11">
    <numFmt numFmtId="164" formatCode="General"/>
    <numFmt numFmtId="165" formatCode="\€#,##0;&quot;(€&quot;#,##0\);\-"/>
    <numFmt numFmtId="166" formatCode="\$#,##0;&quot;($&quot;#,##0\);\-"/>
    <numFmt numFmtId="167" formatCode="\₽#,##0;&quot;(₽&quot;#,##0\);\-"/>
    <numFmt numFmtId="168" formatCode="#,##0;\(#,##0\);\-"/>
    <numFmt numFmtId="169" formatCode="0.0%;\(0.0%\);\-"/>
    <numFmt numFmtId="170" formatCode="0.0"/>
    <numFmt numFmtId="171" formatCode="0"/>
    <numFmt numFmtId="172" formatCode="0.00"/>
    <numFmt numFmtId="173" formatCode="#,##0"/>
    <numFmt numFmtId="174" formatCode="0.0%"/>
  </numFmts>
  <fonts count="22">
    <font>
      <sz val="11"/>
      <color theme="1"/>
      <name val="Calibri"/>
      <family val="2"/>
      <charset val="1"/>
    </font>
    <font>
      <sz val="10"/>
      <name val="Arial"/>
      <family val="0"/>
    </font>
    <font>
      <sz val="10"/>
      <name val="Arial"/>
      <family val="0"/>
    </font>
    <font>
      <sz val="10"/>
      <name val="Arial"/>
      <family val="0"/>
    </font>
    <font>
      <sz val="11"/>
      <color theme="1"/>
      <name val="Arial"/>
      <family val="0"/>
      <charset val="1"/>
    </font>
    <font>
      <b val="true"/>
      <sz val="18"/>
      <color rgb="FF1F4E78"/>
      <name val="Arial"/>
      <family val="0"/>
      <charset val="1"/>
    </font>
    <font>
      <i val="true"/>
      <sz val="11"/>
      <color rgb="FF595959"/>
      <name val="Arial"/>
      <family val="0"/>
      <charset val="1"/>
    </font>
    <font>
      <b val="true"/>
      <sz val="11"/>
      <color rgb="FF000000"/>
      <name val="Arial"/>
      <family val="0"/>
      <charset val="1"/>
    </font>
    <font>
      <sz val="11"/>
      <name val="Arial"/>
      <family val="0"/>
      <charset val="1"/>
    </font>
    <font>
      <b val="true"/>
      <sz val="12"/>
      <color rgb="FF1F4E78"/>
      <name val="Arial"/>
      <family val="0"/>
      <charset val="1"/>
    </font>
    <font>
      <sz val="11"/>
      <color rgb="FF0000FF"/>
      <name val="Arial"/>
      <family val="0"/>
      <charset val="1"/>
    </font>
    <font>
      <sz val="11"/>
      <color rgb="FF000000"/>
      <name val="Arial"/>
      <family val="0"/>
      <charset val="1"/>
    </font>
    <font>
      <sz val="11"/>
      <color rgb="FF006100"/>
      <name val="Arial"/>
      <family val="0"/>
      <charset val="1"/>
    </font>
    <font>
      <b val="true"/>
      <sz val="11"/>
      <color rgb="FFFFFFFF"/>
      <name val="Arial"/>
      <family val="0"/>
      <charset val="1"/>
    </font>
    <font>
      <b val="true"/>
      <sz val="10"/>
      <color rgb="FFF6F1E7"/>
      <name val="Calibri"/>
      <family val="0"/>
      <charset val="1"/>
    </font>
    <font>
      <sz val="10"/>
      <color rgb="FF1A1A1A"/>
      <name val="Calibri"/>
      <family val="0"/>
      <charset val="1"/>
    </font>
    <font>
      <b val="true"/>
      <sz val="12"/>
      <color rgb="FF0E1F2C"/>
      <name val="Cambria"/>
      <family val="0"/>
      <charset val="1"/>
    </font>
    <font>
      <u val="single"/>
      <sz val="11"/>
      <color rgb="FF0563C1"/>
      <name val="Arial"/>
      <family val="0"/>
      <charset val="1"/>
    </font>
    <font>
      <b val="true"/>
      <sz val="14"/>
      <color rgb="FF0E1F2C"/>
      <name val="Cambria"/>
      <family val="0"/>
      <charset val="1"/>
    </font>
    <font>
      <b val="true"/>
      <sz val="10"/>
      <color rgb="FF0E1F2C"/>
      <name val="Cambria"/>
      <family val="0"/>
      <charset val="1"/>
    </font>
    <font>
      <b val="true"/>
      <sz val="10"/>
      <name val="Cambria"/>
      <family val="0"/>
      <charset val="1"/>
    </font>
    <font>
      <b val="true"/>
      <sz val="11"/>
      <color rgb="FF0E1F2C"/>
      <name val="Cambria"/>
      <family val="0"/>
      <charset val="1"/>
    </font>
  </fonts>
  <fills count="11">
    <fill>
      <patternFill patternType="none"/>
    </fill>
    <fill>
      <patternFill patternType="gray125"/>
    </fill>
    <fill>
      <patternFill patternType="solid">
        <fgColor rgb="FF1F4E78"/>
        <bgColor rgb="FF003366"/>
      </patternFill>
    </fill>
    <fill>
      <patternFill patternType="solid">
        <fgColor rgb="FF0E1F2C"/>
        <bgColor rgb="FF1A1A1A"/>
      </patternFill>
    </fill>
    <fill>
      <patternFill patternType="solid">
        <fgColor rgb="FFFFEB9C"/>
        <bgColor rgb="FFFFF2CC"/>
      </patternFill>
    </fill>
    <fill>
      <patternFill patternType="solid">
        <fgColor rgb="FFC6EFCE"/>
        <bgColor rgb="FFD9E1F2"/>
      </patternFill>
    </fill>
    <fill>
      <patternFill patternType="solid">
        <fgColor rgb="FFFFC7CE"/>
        <bgColor rgb="FFD8D2C2"/>
      </patternFill>
    </fill>
    <fill>
      <patternFill patternType="solid">
        <fgColor rgb="FFFAF6EC"/>
        <bgColor rgb="FFF6F1E7"/>
      </patternFill>
    </fill>
    <fill>
      <patternFill patternType="solid">
        <fgColor rgb="FFD9E1F2"/>
        <bgColor rgb="FFC6EFCE"/>
      </patternFill>
    </fill>
    <fill>
      <patternFill patternType="solid">
        <fgColor rgb="FFFFF2CC"/>
        <bgColor rgb="FFF6F1E7"/>
      </patternFill>
    </fill>
    <fill>
      <patternFill patternType="solid">
        <fgColor rgb="FFB78E4C"/>
        <bgColor rgb="FF808080"/>
      </patternFill>
    </fill>
  </fills>
  <borders count="3">
    <border diagonalUp="false" diagonalDown="false">
      <left/>
      <right/>
      <top/>
      <bottom/>
      <diagonal/>
    </border>
    <border diagonalUp="false" diagonalDown="false">
      <left style="thin">
        <color rgb="FFD8D2C2"/>
      </left>
      <right style="thin">
        <color rgb="FFD8D2C2"/>
      </right>
      <top style="thin">
        <color rgb="FFD8D2C2"/>
      </top>
      <bottom style="thin">
        <color rgb="FFD8D2C2"/>
      </bottom>
      <diagonal/>
    </border>
    <border diagonalUp="false" diagonalDown="false">
      <left/>
      <right/>
      <top style="medium"/>
      <bottom style="double"/>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4">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4" fontId="13" fillId="2" borderId="0" xfId="0" applyFont="true" applyBorder="false" applyAlignment="true" applyProtection="false">
      <alignment horizontal="center" vertical="center" textRotation="0" wrapText="true" indent="0" shrinkToFit="false"/>
      <protection locked="true" hidden="false"/>
    </xf>
    <xf numFmtId="164" fontId="14" fillId="3" borderId="1" xfId="0" applyFont="true" applyBorder="true" applyAlignment="true" applyProtection="false">
      <alignment horizontal="left" vertical="center" textRotation="0" wrapText="tru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5" fontId="10" fillId="0" borderId="0" xfId="0" applyFont="true" applyBorder="false" applyAlignment="true" applyProtection="false">
      <alignment horizontal="general" vertical="bottom" textRotation="0" wrapText="false" indent="0" shrinkToFit="false"/>
      <protection locked="true" hidden="false"/>
    </xf>
    <xf numFmtId="166" fontId="10" fillId="0" borderId="0" xfId="0" applyFont="true" applyBorder="false" applyAlignment="true" applyProtection="false">
      <alignment horizontal="general" vertical="bottom" textRotation="0" wrapText="false" indent="0" shrinkToFit="false"/>
      <protection locked="true" hidden="false"/>
    </xf>
    <xf numFmtId="167" fontId="10" fillId="0" borderId="0" xfId="0" applyFont="true" applyBorder="false" applyAlignment="true" applyProtection="false">
      <alignment horizontal="general" vertical="bottom" textRotation="0" wrapText="false" indent="0" shrinkToFit="false"/>
      <protection locked="true" hidden="false"/>
    </xf>
    <xf numFmtId="168" fontId="10" fillId="0" borderId="0" xfId="0" applyFont="true" applyBorder="false" applyAlignment="true" applyProtection="false">
      <alignment horizontal="general" vertical="bottom" textRotation="0" wrapText="false" indent="0" shrinkToFit="false"/>
      <protection locked="true" hidden="false"/>
    </xf>
    <xf numFmtId="169" fontId="10" fillId="0" borderId="0" xfId="0" applyFont="true" applyBorder="false" applyAlignment="true" applyProtection="false">
      <alignment horizontal="general" vertical="bottom" textRotation="0" wrapText="false" indent="0" shrinkToFit="false"/>
      <protection locked="true" hidden="false"/>
    </xf>
    <xf numFmtId="170" fontId="10" fillId="0" borderId="0" xfId="0" applyFont="true" applyBorder="false" applyAlignment="true" applyProtection="false">
      <alignment horizontal="general" vertical="bottom" textRotation="0" wrapText="false" indent="0" shrinkToFit="false"/>
      <protection locked="true" hidden="false"/>
    </xf>
    <xf numFmtId="164" fontId="8" fillId="4" borderId="0" xfId="0" applyFont="true" applyBorder="false" applyAlignment="true" applyProtection="false">
      <alignment horizontal="general" vertical="bottom" textRotation="0" wrapText="false" indent="0" shrinkToFit="false"/>
      <protection locked="true" hidden="false"/>
    </xf>
    <xf numFmtId="165" fontId="8" fillId="0" borderId="0" xfId="0" applyFont="true" applyBorder="false" applyAlignment="true" applyProtection="false">
      <alignment horizontal="general" vertical="bottom" textRotation="0" wrapText="false" indent="0" shrinkToFit="false"/>
      <protection locked="true" hidden="false"/>
    </xf>
    <xf numFmtId="166" fontId="8" fillId="0" borderId="0" xfId="0" applyFont="true" applyBorder="false" applyAlignment="true" applyProtection="false">
      <alignment horizontal="general" vertical="bottom" textRotation="0" wrapText="false" indent="0" shrinkToFit="false"/>
      <protection locked="true" hidden="false"/>
    </xf>
    <xf numFmtId="167" fontId="8" fillId="0" borderId="0" xfId="0" applyFont="true" applyBorder="false" applyAlignment="true" applyProtection="false">
      <alignment horizontal="general" vertical="bottom" textRotation="0" wrapText="false" indent="0" shrinkToFit="false"/>
      <protection locked="true" hidden="false"/>
    </xf>
    <xf numFmtId="164" fontId="15" fillId="0" borderId="1" xfId="0" applyFont="true" applyBorder="true" applyAlignment="true" applyProtection="false">
      <alignment horizontal="left" vertical="top" textRotation="0" wrapText="true" indent="0" shrinkToFit="false"/>
      <protection locked="true" hidden="false"/>
    </xf>
    <xf numFmtId="164" fontId="8" fillId="5" borderId="0" xfId="0" applyFont="true" applyBorder="false" applyAlignment="true" applyProtection="false">
      <alignment horizontal="general" vertical="bottom" textRotation="0" wrapText="false" indent="0" shrinkToFit="false"/>
      <protection locked="true" hidden="false"/>
    </xf>
    <xf numFmtId="164" fontId="8" fillId="6" borderId="0" xfId="0" applyFont="true" applyBorder="false" applyAlignment="true" applyProtection="false">
      <alignment horizontal="general" vertical="bottom" textRotation="0" wrapText="false" indent="0" shrinkToFit="false"/>
      <protection locked="true" hidden="false"/>
    </xf>
    <xf numFmtId="171" fontId="10" fillId="0" borderId="0" xfId="0" applyFont="true" applyBorder="false" applyAlignment="true" applyProtection="false">
      <alignment horizontal="general" vertical="bottom" textRotation="0" wrapText="false" indent="0" shrinkToFit="false"/>
      <protection locked="true" hidden="false"/>
    </xf>
    <xf numFmtId="172" fontId="10" fillId="0" borderId="0" xfId="0" applyFont="true" applyBorder="false" applyAlignment="true" applyProtection="false">
      <alignment horizontal="general" vertical="bottom" textRotation="0" wrapText="false" indent="0" shrinkToFit="false"/>
      <protection locked="true" hidden="false"/>
    </xf>
    <xf numFmtId="164" fontId="13" fillId="2" borderId="0" xfId="0" applyFont="true" applyBorder="false" applyAlignment="true" applyProtection="false">
      <alignment horizontal="general" vertical="bottom" textRotation="0" wrapText="false" indent="0" shrinkToFit="false"/>
      <protection locked="true" hidden="false"/>
    </xf>
    <xf numFmtId="164" fontId="13" fillId="2" borderId="0" xfId="0" applyFont="true" applyBorder="false" applyAlignment="true" applyProtection="false">
      <alignment horizontal="center" vertical="center" textRotation="0" wrapText="false" indent="0" shrinkToFit="false"/>
      <protection locked="true" hidden="false"/>
    </xf>
    <xf numFmtId="165" fontId="12" fillId="0" borderId="0" xfId="0" applyFont="true" applyBorder="false" applyAlignment="true" applyProtection="false">
      <alignment horizontal="general" vertical="bottom" textRotation="0" wrapText="false" indent="0" shrinkToFit="false"/>
      <protection locked="true" hidden="false"/>
    </xf>
    <xf numFmtId="164" fontId="7" fillId="0" borderId="2" xfId="0" applyFont="true" applyBorder="true" applyAlignment="true" applyProtection="false">
      <alignment horizontal="general" vertical="bottom" textRotation="0" wrapText="false" indent="0" shrinkToFit="false"/>
      <protection locked="true" hidden="false"/>
    </xf>
    <xf numFmtId="165" fontId="7" fillId="0" borderId="2" xfId="0" applyFont="true" applyBorder="true" applyAlignment="true" applyProtection="false">
      <alignment horizontal="general" vertical="bottom" textRotation="0" wrapText="false" indent="0" shrinkToFit="false"/>
      <protection locked="true" hidden="false"/>
    </xf>
    <xf numFmtId="165" fontId="11" fillId="0" borderId="0" xfId="0" applyFont="true" applyBorder="false" applyAlignment="true" applyProtection="false">
      <alignment horizontal="general" vertical="bottom" textRotation="0" wrapText="false" indent="0" shrinkToFit="false"/>
      <protection locked="true" hidden="false"/>
    </xf>
    <xf numFmtId="166" fontId="12" fillId="0" borderId="0" xfId="0" applyFont="true" applyBorder="false" applyAlignment="true" applyProtection="false">
      <alignment horizontal="general" vertical="bottom" textRotation="0" wrapText="false" indent="0" shrinkToFit="false"/>
      <protection locked="true" hidden="false"/>
    </xf>
    <xf numFmtId="166" fontId="7" fillId="0" borderId="2" xfId="0" applyFont="true" applyBorder="true" applyAlignment="true" applyProtection="false">
      <alignment horizontal="general" vertical="bottom" textRotation="0" wrapText="false" indent="0" shrinkToFit="false"/>
      <protection locked="true" hidden="false"/>
    </xf>
    <xf numFmtId="166" fontId="11" fillId="0" borderId="0" xfId="0" applyFont="true" applyBorder="false" applyAlignment="true" applyProtection="false">
      <alignment horizontal="general" vertical="bottom" textRotation="0" wrapText="false" indent="0" shrinkToFit="false"/>
      <protection locked="true" hidden="false"/>
    </xf>
    <xf numFmtId="167" fontId="12" fillId="0" borderId="0" xfId="0" applyFont="true" applyBorder="false" applyAlignment="true" applyProtection="false">
      <alignment horizontal="general" vertical="bottom" textRotation="0" wrapText="false" indent="0" shrinkToFit="false"/>
      <protection locked="true" hidden="false"/>
    </xf>
    <xf numFmtId="167" fontId="7" fillId="0" borderId="2" xfId="0" applyFont="true" applyBorder="true" applyAlignment="true" applyProtection="false">
      <alignment horizontal="general" vertical="bottom" textRotation="0" wrapText="false" indent="0" shrinkToFit="false"/>
      <protection locked="true" hidden="false"/>
    </xf>
    <xf numFmtId="167" fontId="11"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16" fillId="0" borderId="0" xfId="0" applyFont="true" applyBorder="true" applyAlignment="false" applyProtection="false">
      <alignment horizontal="general" vertical="bottom" textRotation="0" wrapText="false" indent="0" shrinkToFit="false"/>
      <protection locked="true" hidden="false"/>
    </xf>
    <xf numFmtId="164" fontId="15" fillId="7" borderId="1" xfId="0" applyFont="true" applyBorder="true" applyAlignment="true" applyProtection="false">
      <alignment horizontal="left" vertical="center" textRotation="0" wrapText="false" indent="0" shrinkToFit="false"/>
      <protection locked="true" hidden="false"/>
    </xf>
    <xf numFmtId="173" fontId="15" fillId="7" borderId="1" xfId="0" applyFont="true" applyBorder="true" applyAlignment="true" applyProtection="false">
      <alignment horizontal="right" vertical="center" textRotation="0" wrapText="false" indent="0" shrinkToFit="false"/>
      <protection locked="true" hidden="false"/>
    </xf>
    <xf numFmtId="164" fontId="15" fillId="0" borderId="1" xfId="0" applyFont="true" applyBorder="true" applyAlignment="true" applyProtection="false">
      <alignment horizontal="left" vertical="center" textRotation="0" wrapText="false" indent="0" shrinkToFit="false"/>
      <protection locked="true" hidden="false"/>
    </xf>
    <xf numFmtId="173" fontId="15" fillId="0" borderId="1" xfId="0" applyFont="true" applyBorder="true" applyAlignment="true" applyProtection="false">
      <alignment horizontal="right" vertical="center" textRotation="0" wrapText="false" indent="0" shrinkToFit="false"/>
      <protection locked="true" hidden="false"/>
    </xf>
    <xf numFmtId="174" fontId="10" fillId="0" borderId="0" xfId="0" applyFont="true" applyBorder="false" applyAlignment="true" applyProtection="false">
      <alignment horizontal="general" vertical="bottom" textRotation="0" wrapText="false" indent="0" shrinkToFit="false"/>
      <protection locked="true" hidden="false"/>
    </xf>
    <xf numFmtId="173" fontId="10" fillId="0" borderId="0" xfId="0" applyFont="true" applyBorder="false" applyAlignment="true" applyProtection="false">
      <alignment horizontal="general" vertical="bottom" textRotation="0" wrapText="false" indent="0" shrinkToFit="false"/>
      <protection locked="true" hidden="false"/>
    </xf>
    <xf numFmtId="174" fontId="7" fillId="0" borderId="2" xfId="0" applyFont="true" applyBorder="true" applyAlignment="true" applyProtection="false">
      <alignment horizontal="general" vertical="bottom" textRotation="0" wrapText="false" indent="0" shrinkToFit="false"/>
      <protection locked="true" hidden="false"/>
    </xf>
    <xf numFmtId="164" fontId="9" fillId="8" borderId="0" xfId="0" applyFont="true" applyBorder="false" applyAlignment="true" applyProtection="false">
      <alignment horizontal="general" vertical="bottom" textRotation="0" wrapText="false" indent="0" shrinkToFit="false"/>
      <protection locked="true" hidden="false"/>
    </xf>
    <xf numFmtId="164" fontId="4" fillId="8"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9" fillId="9" borderId="0" xfId="0" applyFont="true" applyBorder="false" applyAlignment="true" applyProtection="false">
      <alignment horizontal="general" vertical="bottom" textRotation="0" wrapText="false" indent="0" shrinkToFit="false"/>
      <protection locked="true" hidden="false"/>
    </xf>
    <xf numFmtId="164" fontId="4" fillId="9"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general" vertical="top" textRotation="0" wrapText="true" indent="0" shrinkToFit="false"/>
      <protection locked="true" hidden="false"/>
    </xf>
    <xf numFmtId="164" fontId="18" fillId="0" borderId="0" xfId="0" applyFont="true" applyBorder="true" applyAlignment="false" applyProtection="false">
      <alignment horizontal="general" vertical="bottom" textRotation="0" wrapText="false" indent="0" shrinkToFit="false"/>
      <protection locked="true" hidden="false"/>
    </xf>
    <xf numFmtId="164" fontId="15" fillId="7" borderId="1" xfId="0" applyFont="true" applyBorder="true" applyAlignment="true" applyProtection="false">
      <alignment horizontal="left" vertical="top" textRotation="0" wrapText="true" indent="0" shrinkToFit="false"/>
      <protection locked="true" hidden="false"/>
    </xf>
    <xf numFmtId="173" fontId="15" fillId="7" borderId="1" xfId="0" applyFont="true" applyBorder="true" applyAlignment="true" applyProtection="false">
      <alignment horizontal="right" vertical="top" textRotation="0" wrapText="false" indent="0" shrinkToFit="false"/>
      <protection locked="true" hidden="false"/>
    </xf>
    <xf numFmtId="173" fontId="15" fillId="0" borderId="1" xfId="0" applyFont="true" applyBorder="true" applyAlignment="true" applyProtection="false">
      <alignment horizontal="right" vertical="top" textRotation="0" wrapText="false" indent="0" shrinkToFit="false"/>
      <protection locked="true" hidden="false"/>
    </xf>
    <xf numFmtId="164" fontId="19" fillId="7" borderId="1" xfId="0" applyFont="true" applyBorder="true" applyAlignment="true" applyProtection="false">
      <alignment horizontal="left" vertical="top" textRotation="0" wrapText="true" indent="0" shrinkToFit="false"/>
      <protection locked="true" hidden="false"/>
    </xf>
    <xf numFmtId="164" fontId="19" fillId="0" borderId="1" xfId="0" applyFont="true" applyBorder="true" applyAlignment="true" applyProtection="false">
      <alignment horizontal="left" vertical="top" textRotation="0" wrapText="true" indent="0" shrinkToFit="false"/>
      <protection locked="true" hidden="false"/>
    </xf>
    <xf numFmtId="174" fontId="15" fillId="7" borderId="1" xfId="0" applyFont="true" applyBorder="true" applyAlignment="true" applyProtection="false">
      <alignment horizontal="right" vertical="top" textRotation="0" wrapText="false" indent="0" shrinkToFit="false"/>
      <protection locked="true" hidden="false"/>
    </xf>
    <xf numFmtId="164" fontId="20" fillId="0" borderId="1" xfId="0" applyFont="true" applyBorder="true" applyAlignment="false" applyProtection="false">
      <alignment horizontal="general" vertical="bottom" textRotation="0" wrapText="false" indent="0" shrinkToFit="false"/>
      <protection locked="true" hidden="false"/>
    </xf>
    <xf numFmtId="173" fontId="0" fillId="0" borderId="1" xfId="0" applyFont="false" applyBorder="true" applyAlignment="true" applyProtection="false">
      <alignment horizontal="right"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74" fontId="0" fillId="0" borderId="1" xfId="0" applyFont="false" applyBorder="true" applyAlignment="true" applyProtection="false">
      <alignment horizontal="right" vertical="bottom" textRotation="0" wrapText="false" indent="0" shrinkToFit="false"/>
      <protection locked="true" hidden="false"/>
    </xf>
    <xf numFmtId="172" fontId="15" fillId="7" borderId="1" xfId="0" applyFont="true" applyBorder="true" applyAlignment="true" applyProtection="false">
      <alignment horizontal="right" vertical="top" textRotation="0" wrapText="false" indent="0" shrinkToFit="false"/>
      <protection locked="true" hidden="false"/>
    </xf>
    <xf numFmtId="172" fontId="15" fillId="0" borderId="1" xfId="0" applyFont="true" applyBorder="true" applyAlignment="true" applyProtection="false">
      <alignment horizontal="right" vertical="top" textRotation="0" wrapText="false" indent="0" shrinkToFit="false"/>
      <protection locked="true" hidden="false"/>
    </xf>
    <xf numFmtId="164" fontId="21" fillId="10" borderId="1" xfId="0" applyFont="true" applyBorder="true" applyAlignment="true" applyProtection="false">
      <alignment horizontal="left" vertical="center" textRotation="0" wrapText="false" indent="0" shrinkToFit="false"/>
      <protection locked="true" hidden="false"/>
    </xf>
    <xf numFmtId="164" fontId="21" fillId="10" borderId="1" xfId="0" applyFont="true" applyBorder="true" applyAlignment="true" applyProtection="false">
      <alignment horizontal="right" vertical="center" textRotation="0" wrapText="false" indent="0" shrinkToFit="false"/>
      <protection locked="true" hidden="false"/>
    </xf>
    <xf numFmtId="171" fontId="21" fillId="10" borderId="1" xfId="0" applyFont="true" applyBorder="true" applyAlignment="true" applyProtection="false">
      <alignment horizontal="right" vertical="center" textRotation="0" wrapText="false" indent="0" shrinkToFit="false"/>
      <protection locked="true" hidden="false"/>
    </xf>
    <xf numFmtId="173" fontId="21" fillId="10" borderId="1" xfId="0" applyFont="true" applyBorder="true" applyAlignment="true" applyProtection="false">
      <alignment horizontal="right"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1F4E78"/>
          <bgColor rgb="FF000000"/>
        </patternFill>
      </fill>
    </dxf>
    <dxf>
      <fill>
        <patternFill patternType="solid">
          <bgColor rgb="FF000000"/>
        </patternFill>
      </fill>
    </dxf>
    <dxf>
      <fill>
        <patternFill patternType="solid">
          <fgColor rgb="FFFFFFFF"/>
          <bgColor rgb="FF000000"/>
        </patternFill>
      </fill>
    </dxf>
    <dxf>
      <fill>
        <patternFill patternType="solid">
          <fgColor rgb="FF0000FF"/>
          <bgColor rgb="FF000000"/>
        </patternFill>
      </fill>
    </dxf>
    <dxf>
      <fill>
        <patternFill patternType="solid">
          <fgColor rgb="FFC6EFCE"/>
          <bgColor rgb="FF000000"/>
        </patternFill>
      </fill>
    </dxf>
    <dxf>
      <fill>
        <patternFill patternType="solid">
          <fgColor rgb="FFFFC7CE"/>
          <bgColor rgb="FF000000"/>
        </patternFill>
      </fill>
    </dxf>
    <dxf>
      <fill>
        <patternFill patternType="solid">
          <fgColor rgb="FFFFEB9C"/>
          <bgColor rgb="FF000000"/>
        </patternFill>
      </fill>
    </dxf>
  </dxfs>
  <colors>
    <indexedColors>
      <rgbColor rgb="FF000000"/>
      <rgbColor rgb="FFFFFFFF"/>
      <rgbColor rgb="FFFF0000"/>
      <rgbColor rgb="FF00FF00"/>
      <rgbColor rgb="FF0000FF"/>
      <rgbColor rgb="FFFFFF00"/>
      <rgbColor rgb="FFFF00FF"/>
      <rgbColor rgb="FF00FFFF"/>
      <rgbColor rgb="FF800000"/>
      <rgbColor rgb="FF006100"/>
      <rgbColor rgb="FF000080"/>
      <rgbColor rgb="FF808000"/>
      <rgbColor rgb="FF800080"/>
      <rgbColor rgb="FF008080"/>
      <rgbColor rgb="FFD8D2C2"/>
      <rgbColor rgb="FF808080"/>
      <rgbColor rgb="FF9999FF"/>
      <rgbColor rgb="FF993366"/>
      <rgbColor rgb="FFFFF2CC"/>
      <rgbColor rgb="FFF6F1E7"/>
      <rgbColor rgb="FF660066"/>
      <rgbColor rgb="FFFF8080"/>
      <rgbColor rgb="FF0563C1"/>
      <rgbColor rgb="FFD9E1F2"/>
      <rgbColor rgb="FF000080"/>
      <rgbColor rgb="FFFF00FF"/>
      <rgbColor rgb="FFFFFF00"/>
      <rgbColor rgb="FF00FFFF"/>
      <rgbColor rgb="FF800080"/>
      <rgbColor rgb="FF800000"/>
      <rgbColor rgb="FF008080"/>
      <rgbColor rgb="FF0000FF"/>
      <rgbColor rgb="FF00CCFF"/>
      <rgbColor rgb="FFFAF6EC"/>
      <rgbColor rgb="FFC6EFCE"/>
      <rgbColor rgb="FFFFEB9C"/>
      <rgbColor rgb="FF99CCFF"/>
      <rgbColor rgb="FFFF99CC"/>
      <rgbColor rgb="FFCC99FF"/>
      <rgbColor rgb="FFFFC7CE"/>
      <rgbColor rgb="FF3366FF"/>
      <rgbColor rgb="FF33CCCC"/>
      <rgbColor rgb="FF99CC00"/>
      <rgbColor rgb="FFFFCC00"/>
      <rgbColor rgb="FFFF9900"/>
      <rgbColor rgb="FFFF6600"/>
      <rgbColor rgb="FF595959"/>
      <rgbColor rgb="FFB78E4C"/>
      <rgbColor rgb="FF003366"/>
      <rgbColor rgb="FF339966"/>
      <rgbColor rgb="FF0E1F2C"/>
      <rgbColor rgb="FF333300"/>
      <rgbColor rgb="FF993300"/>
      <rgbColor rgb="FF993366"/>
      <rgbColor rgb="FF1F4E78"/>
      <rgbColor rgb="FF1A1A1A"/>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6.xml.rels><?xml version="1.0" encoding="UTF-8"?>
<Relationships xmlns="http://schemas.openxmlformats.org/package/2006/relationships"><Relationship Id="rId1" Type="http://schemas.openxmlformats.org/officeDocument/2006/relationships/hyperlink" Target="https://lanserhof.com/en/lanserhof-tegernsee/treatments/package-longevity-tegernsee/" TargetMode="External"/><Relationship Id="rId2" Type="http://schemas.openxmlformats.org/officeDocument/2006/relationships/hyperlink" Target="https://lanserhof.com/en/lanserhof-lans/treatments/package-longevity-lans/" TargetMode="External"/><Relationship Id="rId3" Type="http://schemas.openxmlformats.org/officeDocument/2006/relationships/hyperlink" Target="https://www.serenityways.com/clinics/lanserhof-tegernsee" TargetMode="External"/><Relationship Id="rId4" Type="http://schemas.openxmlformats.org/officeDocument/2006/relationships/hyperlink" Target="https://shawellness.com/en/advanced-longevity/" TargetMode="External"/><Relationship Id="rId5" Type="http://schemas.openxmlformats.org/officeDocument/2006/relationships/hyperlink" Target="https://www.serenityways.com/clinics/sha-spain" TargetMode="External"/><Relationship Id="rId6" Type="http://schemas.openxmlformats.org/officeDocument/2006/relationships/hyperlink" Target="https://www.cliniquelaprairie.com/programs/master-detox/" TargetMode="External"/><Relationship Id="rId7" Type="http://schemas.openxmlformats.org/officeDocument/2006/relationships/hyperlink" Target="https://swissmedexpert.com/clinic-la-prairie" TargetMode="External"/><Relationship Id="rId8" Type="http://schemas.openxmlformats.org/officeDocument/2006/relationships/hyperlink" Target="https://www.chenot.com/chenot-palace/weggis/programmes/" TargetMode="External"/><Relationship Id="rId9" Type="http://schemas.openxmlformats.org/officeDocument/2006/relationships/hyperlink" Target="https://www.chenot.com/wp-content/uploads/2024/05/Chenot-Palace-Weggis-Brochure-EN.pdf" TargetMode="External"/><Relationship Id="rId10" Type="http://schemas.openxmlformats.org/officeDocument/2006/relationships/hyperlink" Target="https://www.vivamayr.com/en/downloads/" TargetMode="External"/><Relationship Id="rId11" Type="http://schemas.openxmlformats.org/officeDocument/2006/relationships/hyperlink" Target="https://www.vivamayr.com/app/uploads/2025/01/VIVAMAYR_MW_Preisliste_E_inkl.-Programme_15.01.2024.pdf" TargetMode="External"/><Relationship Id="rId12" Type="http://schemas.openxmlformats.org/officeDocument/2006/relationships/hyperlink" Target="https://www.buchinger-wilhelmi.com/en/buchinger-wilhelmi-lake-constance/arrangements-packages/" TargetMode="External"/><Relationship Id="rId13" Type="http://schemas.openxmlformats.org/officeDocument/2006/relationships/hyperlink" Target="https://www.buchinger-wilhelmi.com/wp-content/uploads/2024/11/What-we-offer-2025_web_V1.3.pdf" TargetMode="External"/><Relationship Id="rId14" Type="http://schemas.openxmlformats.org/officeDocument/2006/relationships/hyperlink" Target="https://www.buchinger-wilhelmi.com/wp-content/uploads/2024/11/What-we-offer-2025_web_V1.0.pdf" TargetMode="External"/><Relationship Id="rId15" Type="http://schemas.openxmlformats.org/officeDocument/2006/relationships/hyperlink" Target="https://www.sixsenses.com/en/wellness-spa/personalized-wellness/longevity/" TargetMode="External"/><Relationship Id="rId16" Type="http://schemas.openxmlformats.org/officeDocument/2006/relationships/hyperlink" Target="https://www.hotel-online.com/news/six-senses-2025-wellness-forecast" TargetMode="External"/><Relationship Id="rId17" Type="http://schemas.openxmlformats.org/officeDocument/2006/relationships/hyperlink" Target="https://anova-irm.com/en/diagnostics/diagnostic-work-up" TargetMode="External"/><Relationship Id="rId18" Type="http://schemas.openxmlformats.org/officeDocument/2006/relationships/hyperlink" Target="https://www.radiologie-dr-jung.de/en/mri-cost-overview/" TargetMode="External"/><Relationship Id="rId19" Type="http://schemas.openxmlformats.org/officeDocument/2006/relationships/hyperlink" Target="https://prenuvo.com/pricing" TargetMode="External"/><Relationship Id="rId20" Type="http://schemas.openxmlformats.org/officeDocument/2006/relationships/hyperlink" Target="https://www.ezra.com/pricing" TargetMode="External"/><Relationship Id="rId21" Type="http://schemas.openxmlformats.org/officeDocument/2006/relationships/hyperlink" Target="https://www.sleepfoundation.org/sleep-studies/how-much-does-a-sleep-study-cost" TargetMode="External"/><Relationship Id="rId22" Type="http://schemas.openxmlformats.org/officeDocument/2006/relationships/hyperlink" Target="https://shop.trudiagnostic.com/products/truage-complete-epigenetic-collection" TargetMode="External"/><Relationship Id="rId23" Type="http://schemas.openxmlformats.org/officeDocument/2006/relationships/hyperlink" Target="https://www.longevityadvice.com/best-biological-age-tests/" TargetMode="External"/><Relationship Id="rId24" Type="http://schemas.openxmlformats.org/officeDocument/2006/relationships/hyperlink" Target="https://www.viome.com/" TargetMode="External"/><Relationship Id="rId25" Type="http://schemas.openxmlformats.org/officeDocument/2006/relationships/hyperlink" Target="https://www.innerbody.com/viome-review" TargetMode="External"/><Relationship Id="rId26" Type="http://schemas.openxmlformats.org/officeDocument/2006/relationships/hyperlink" Target="https://www.hvs.com/article/9999-HVS-US-Hotel-Development-Cost-Survey-2024" TargetMode="External"/><Relationship Id="rId27" Type="http://schemas.openxmlformats.org/officeDocument/2006/relationships/hyperlink" Target="https://www.hvs.com/article/10219-hvs-us-hotel-development-cost-survey-2025" TargetMode="External"/><Relationship Id="rId28" Type="http://schemas.openxmlformats.org/officeDocument/2006/relationships/hyperlink" Target="https://www.cushmanwakefield.com/en/insights/hotel-investor-compass" TargetMode="External"/><Relationship Id="rId29" Type="http://schemas.openxmlformats.org/officeDocument/2006/relationships/hyperlink" Target="https://www.cushmanwakefield.com/en/spain/news/2024/05/hotel-investor-campass-2024" TargetMode="External"/><Relationship Id="rId30" Type="http://schemas.openxmlformats.org/officeDocument/2006/relationships/hyperlink" Target="https://www.statista.com/statistics/1380696/hotel-construction-costs-european-cities/" TargetMode="External"/><Relationship Id="rId31" Type="http://schemas.openxmlformats.org/officeDocument/2006/relationships/hyperlink" Target="https://globalwellnessinstitute.org/wp-content/uploads/2024/05/GWI-Wellness-Real-Estate-2024.pdf" TargetMode="External"/><Relationship Id="rId32" Type="http://schemas.openxmlformats.org/officeDocument/2006/relationships/hyperlink" Target="https://globalwellnessinstitute.org/press-room/press-releases/build-well-to-live-well-2025/" TargetMode="External"/><Relationship Id="rId33" Type="http://schemas.openxmlformats.org/officeDocument/2006/relationships/hyperlink" Target="https://www.federalregister.gov/documents/2024/04/29/2024-09076/amendment-to-existing-controls-on-russia-and-belarus-under-the-export-administration-regulations-ear" TargetMode="External"/><Relationship Id="rId34" Type="http://schemas.openxmlformats.org/officeDocument/2006/relationships/hyperlink" Target="https://www.bis.gov/media/961" TargetMode="External"/><Relationship Id="rId35" Type="http://schemas.openxmlformats.org/officeDocument/2006/relationships/hyperlink" Target="https://finance.ec.europa.eu/system/files/2023-02/faqs-sanctions-russia-medical_en.pdf" TargetMode="External"/><Relationship Id="rId36" Type="http://schemas.openxmlformats.org/officeDocument/2006/relationships/hyperlink" Target="https://eur-lex.europa.eu/eli/reg/2014/833/oj/eng" TargetMode="External"/><Relationship Id="rId37" Type="http://schemas.openxmlformats.org/officeDocument/2006/relationships/hyperlink" Target="https://brace-lf.com/en/analytics/pharmaceutical-and-medical-law/parallel-import-russia-medicines-medical-devices" TargetMode="External"/><Relationship Id="rId38" Type="http://schemas.openxmlformats.org/officeDocument/2006/relationships/hyperlink" Target="https://www.morganlewis.com/pubs/2022/04/update-russia-legalizes-parallel-import-of-certain-goods" TargetMode="External"/><Relationship Id="rId39" Type="http://schemas.openxmlformats.org/officeDocument/2006/relationships/hyperlink" Target="https://denuo.legal/en/insights/news/240711/" TargetMode="External"/><Relationship Id="rId40" Type="http://schemas.openxmlformats.org/officeDocument/2006/relationships/hyperlink" Target="https://www.trade.gov/country-commercial-guides/russia-medical-equipment" TargetMode="External"/><Relationship Id="rId41" Type="http://schemas.openxmlformats.org/officeDocument/2006/relationships/hyperlink" Target="https://securiti.ai/russian-federal-law-no-152-fz/" TargetMode="External"/><Relationship Id="rId42" Type="http://schemas.openxmlformats.org/officeDocument/2006/relationships/hyperlink" Target="https://konsugroup.com/en/news/new-requirements-personal-data-protection-russia-2025-07/" TargetMode="External"/><Relationship Id="rId43" Type="http://schemas.openxmlformats.org/officeDocument/2006/relationships/hyperlink" Target="https://www.wto.org/english/res_e/statis_e/daily_update_e/tariff_profiles/RU_E.pdf" TargetMode="External"/><Relationship Id="rId44" Type="http://schemas.openxmlformats.org/officeDocument/2006/relationships/hyperlink" Target="https://www.tonlexing.com/customs-clearance-in-russia/" TargetMode="External"/><Relationship Id="rId45" Type="http://schemas.openxmlformats.org/officeDocument/2006/relationships/hyperlink" Target="https://www.mindray.com/en/media-center/blogs/unlimited-potentials-mindray-s-story-in-russia" TargetMode="External"/><Relationship Id="rId46" Type="http://schemas.openxmlformats.org/officeDocument/2006/relationships/hyperlink" Target="https://tadviser.com/index.php/Article:Medical_Equipment_(Russian_Market)" TargetMode="External"/><Relationship Id="rId47" Type="http://schemas.openxmlformats.org/officeDocument/2006/relationships/hyperlink" Target="https://schmidt-export.com/news/new-rules-registration-medical-devices-starting-march-1-2025-russia" TargetMode="External"/><Relationship Id="rId48" Type="http://schemas.openxmlformats.org/officeDocument/2006/relationships/hyperlink" Target="https://www.focus-economics.com/country-indicator/russia/exchange-rate/" TargetMode="External"/><Relationship Id="rId49" Type="http://schemas.openxmlformats.org/officeDocument/2006/relationships/hyperlink" Target="https://asiatimes.com/2024/12/ruble-volatility-exposes-russias-emerging-economic-crisis/" TargetMode="External"/><Relationship Id="rId50" Type="http://schemas.openxmlformats.org/officeDocument/2006/relationships/hyperlink" Target="https://www.cooley.com/news/insight/2024/2024-05-06-new-license-exception-authorizes-exports-of-previously-restricted-medical-devices-and-related-items" TargetMode="External"/><Relationship Id="rId51" Type="http://schemas.openxmlformats.org/officeDocument/2006/relationships/hyperlink" Target="https://www.curtis.com/our-firm/news/the-eu-adopts-its-14th-sanctions-package-against-russia" TargetMode="External"/><Relationship Id="rId52" Type="http://schemas.openxmlformats.org/officeDocument/2006/relationships/hyperlink" Target="https://www.hospitalitynet.org/news/4125285.html" TargetMode="External"/><Relationship Id="rId53" Type="http://schemas.openxmlformats.org/officeDocument/2006/relationships/hyperlink" Target="https://www.bodyspec.com/blog/post/how_much_does_a_dexa_scan_cost_in_major_cities" TargetMode="External"/><Relationship Id="rId54" Type="http://schemas.openxmlformats.org/officeDocument/2006/relationships/hyperlink" Target="https://www.blockimaging.com/ge-and-hologic-bone-densitometer-price-cost-guide" TargetMode="External"/><Relationship Id="rId55" Type="http://schemas.openxmlformats.org/officeDocument/2006/relationships/hyperlink" Target="https://www.healingholidays.com/accommodation/germany/lanserhof-tegernsee" TargetMode="External"/><Relationship Id="rId56" Type="http://schemas.openxmlformats.org/officeDocument/2006/relationships/hyperlink" Target="https://globetrender.com/2025/12/02/four-new-six-senses-resorts-2026/"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4"/>
    <col collapsed="false" customWidth="true" hidden="false" outlineLevel="0" max="2" min="2" style="1" width="30"/>
    <col collapsed="false" customWidth="true" hidden="false" outlineLevel="0" max="3" min="3" style="1" width="110"/>
  </cols>
  <sheetData>
    <row r="1" customFormat="false" ht="15" hidden="false" customHeight="true" outlineLevel="0" collapsed="false">
      <c r="A1" s="2"/>
      <c r="B1" s="2"/>
      <c r="C1" s="2"/>
    </row>
    <row r="2" customFormat="false" ht="21.75" hidden="false" customHeight="true" outlineLevel="0" collapsed="false">
      <c r="A2" s="2"/>
      <c r="B2" s="3" t="s">
        <v>0</v>
      </c>
      <c r="C2" s="2"/>
    </row>
    <row r="3" customFormat="false" ht="15" hidden="false" customHeight="true" outlineLevel="0" collapsed="false">
      <c r="A3" s="2"/>
      <c r="B3" s="4" t="s">
        <v>1</v>
      </c>
      <c r="C3" s="2"/>
    </row>
    <row r="4" customFormat="false" ht="15" hidden="false" customHeight="true" outlineLevel="0" collapsed="false">
      <c r="A4" s="2"/>
      <c r="B4" s="2"/>
      <c r="C4" s="2"/>
    </row>
    <row r="5" customFormat="false" ht="15" hidden="false" customHeight="true" outlineLevel="0" collapsed="false">
      <c r="A5" s="2"/>
      <c r="B5" s="5" t="s">
        <v>2</v>
      </c>
      <c r="C5" s="6" t="s">
        <v>3</v>
      </c>
    </row>
    <row r="6" customFormat="false" ht="15" hidden="false" customHeight="true" outlineLevel="0" collapsed="false">
      <c r="A6" s="2"/>
      <c r="B6" s="5" t="s">
        <v>4</v>
      </c>
      <c r="C6" s="6" t="s">
        <v>5</v>
      </c>
    </row>
    <row r="7" customFormat="false" ht="15" hidden="false" customHeight="true" outlineLevel="0" collapsed="false">
      <c r="A7" s="2"/>
      <c r="B7" s="5" t="s">
        <v>6</v>
      </c>
      <c r="C7" s="6" t="s">
        <v>7</v>
      </c>
    </row>
    <row r="8" customFormat="false" ht="15" hidden="false" customHeight="true" outlineLevel="0" collapsed="false">
      <c r="A8" s="2"/>
      <c r="B8" s="5" t="s">
        <v>8</v>
      </c>
      <c r="C8" s="6" t="s">
        <v>9</v>
      </c>
    </row>
    <row r="9" customFormat="false" ht="15" hidden="false" customHeight="true" outlineLevel="0" collapsed="false">
      <c r="A9" s="2"/>
      <c r="B9" s="5" t="s">
        <v>10</v>
      </c>
      <c r="C9" s="6" t="s">
        <v>11</v>
      </c>
    </row>
    <row r="10" customFormat="false" ht="15" hidden="false" customHeight="true" outlineLevel="0" collapsed="false">
      <c r="A10" s="2"/>
      <c r="B10" s="2"/>
      <c r="C10" s="2"/>
    </row>
    <row r="11" customFormat="false" ht="15" hidden="false" customHeight="true" outlineLevel="0" collapsed="false">
      <c r="A11" s="2"/>
      <c r="B11" s="7" t="s">
        <v>12</v>
      </c>
      <c r="C11" s="2"/>
    </row>
    <row r="12" customFormat="false" ht="15" hidden="false" customHeight="true" outlineLevel="0" collapsed="false">
      <c r="A12" s="2"/>
      <c r="B12" s="5" t="s">
        <v>13</v>
      </c>
      <c r="C12" s="8" t="s">
        <v>14</v>
      </c>
    </row>
    <row r="13" customFormat="false" ht="15" hidden="false" customHeight="true" outlineLevel="0" collapsed="false">
      <c r="A13" s="2"/>
      <c r="B13" s="5" t="s">
        <v>15</v>
      </c>
      <c r="C13" s="8" t="s">
        <v>16</v>
      </c>
    </row>
    <row r="14" customFormat="false" ht="15" hidden="false" customHeight="true" outlineLevel="0" collapsed="false">
      <c r="A14" s="2"/>
      <c r="B14" s="5" t="s">
        <v>17</v>
      </c>
      <c r="C14" s="8" t="s">
        <v>18</v>
      </c>
    </row>
    <row r="15" customFormat="false" ht="15" hidden="false" customHeight="true" outlineLevel="0" collapsed="false">
      <c r="A15" s="2"/>
      <c r="B15" s="5" t="s">
        <v>19</v>
      </c>
      <c r="C15" s="8" t="s">
        <v>20</v>
      </c>
    </row>
    <row r="16" customFormat="false" ht="15" hidden="false" customHeight="true" outlineLevel="0" collapsed="false">
      <c r="A16" s="2"/>
      <c r="B16" s="5" t="s">
        <v>21</v>
      </c>
      <c r="C16" s="8" t="s">
        <v>22</v>
      </c>
    </row>
    <row r="17" customFormat="false" ht="15" hidden="false" customHeight="true" outlineLevel="0" collapsed="false">
      <c r="A17" s="2"/>
      <c r="B17" s="5" t="s">
        <v>23</v>
      </c>
      <c r="C17" s="8" t="s">
        <v>24</v>
      </c>
    </row>
    <row r="18" customFormat="false" ht="15" hidden="false" customHeight="true" outlineLevel="0" collapsed="false">
      <c r="A18" s="2"/>
      <c r="B18" s="2"/>
      <c r="C18" s="2"/>
    </row>
    <row r="19" customFormat="false" ht="15" hidden="false" customHeight="true" outlineLevel="0" collapsed="false">
      <c r="A19" s="2"/>
      <c r="B19" s="2"/>
      <c r="C19" s="2"/>
    </row>
    <row r="20" customFormat="false" ht="15" hidden="false" customHeight="true" outlineLevel="0" collapsed="false">
      <c r="A20" s="2"/>
      <c r="B20" s="7" t="s">
        <v>25</v>
      </c>
      <c r="C20" s="2"/>
    </row>
    <row r="21" customFormat="false" ht="45" hidden="false" customHeight="true" outlineLevel="0" collapsed="false">
      <c r="A21" s="2"/>
      <c r="B21" s="5" t="s">
        <v>26</v>
      </c>
      <c r="C21" s="8" t="s">
        <v>27</v>
      </c>
    </row>
    <row r="22" customFormat="false" ht="45" hidden="false" customHeight="true" outlineLevel="0" collapsed="false">
      <c r="A22" s="2"/>
      <c r="B22" s="5" t="s">
        <v>28</v>
      </c>
      <c r="C22" s="8" t="s">
        <v>29</v>
      </c>
    </row>
    <row r="23" customFormat="false" ht="45" hidden="false" customHeight="true" outlineLevel="0" collapsed="false">
      <c r="A23" s="2"/>
      <c r="B23" s="5" t="s">
        <v>30</v>
      </c>
      <c r="C23" s="8" t="s">
        <v>31</v>
      </c>
    </row>
    <row r="24" customFormat="false" ht="45" hidden="false" customHeight="true" outlineLevel="0" collapsed="false">
      <c r="A24" s="2"/>
      <c r="B24" s="5" t="s">
        <v>32</v>
      </c>
      <c r="C24" s="8" t="s">
        <v>33</v>
      </c>
    </row>
    <row r="25" customFormat="false" ht="15" hidden="false" customHeight="true" outlineLevel="0" collapsed="false">
      <c r="A25" s="2"/>
      <c r="B25" s="2"/>
      <c r="C25" s="2"/>
    </row>
    <row r="26" customFormat="false" ht="15" hidden="false" customHeight="true" outlineLevel="0" collapsed="false">
      <c r="A26" s="2"/>
      <c r="B26" s="2"/>
      <c r="C26" s="2"/>
    </row>
    <row r="27" customFormat="false" ht="15" hidden="false" customHeight="true" outlineLevel="0" collapsed="false">
      <c r="A27" s="2"/>
      <c r="B27" s="7" t="s">
        <v>34</v>
      </c>
      <c r="C27" s="2"/>
    </row>
    <row r="28" customFormat="false" ht="15" hidden="false" customHeight="true" outlineLevel="0" collapsed="false">
      <c r="A28" s="2"/>
      <c r="B28" s="9" t="s">
        <v>35</v>
      </c>
      <c r="C28" s="9" t="s">
        <v>36</v>
      </c>
    </row>
    <row r="29" customFormat="false" ht="15" hidden="false" customHeight="true" outlineLevel="0" collapsed="false">
      <c r="A29" s="2"/>
      <c r="B29" s="10" t="s">
        <v>37</v>
      </c>
      <c r="C29" s="10" t="s">
        <v>38</v>
      </c>
    </row>
    <row r="30" customFormat="false" ht="15" hidden="false" customHeight="true" outlineLevel="0" collapsed="false">
      <c r="A30" s="2"/>
      <c r="B30" s="11" t="s">
        <v>39</v>
      </c>
      <c r="C30" s="11" t="s">
        <v>40</v>
      </c>
    </row>
    <row r="31" customFormat="false" ht="15" hidden="false" customHeight="true" outlineLevel="0" collapsed="false">
      <c r="A31" s="2"/>
      <c r="B31" s="5" t="s">
        <v>41</v>
      </c>
      <c r="C31" s="2" t="s">
        <v>42</v>
      </c>
    </row>
    <row r="32" customFormat="false" ht="15" hidden="false" customHeight="true" outlineLevel="0" collapsed="false">
      <c r="A32" s="2"/>
      <c r="B32" s="2"/>
      <c r="C32" s="2"/>
    </row>
    <row r="33" customFormat="false" ht="15" hidden="false" customHeight="true" outlineLevel="0" collapsed="false">
      <c r="A33" s="2"/>
      <c r="B33" s="7" t="s">
        <v>43</v>
      </c>
      <c r="C33" s="2"/>
    </row>
    <row r="34" customFormat="false" ht="26.25" hidden="false" customHeight="true" outlineLevel="0" collapsed="false">
      <c r="A34" s="2"/>
      <c r="B34" s="2"/>
      <c r="C34" s="8" t="s">
        <v>44</v>
      </c>
    </row>
    <row r="35" customFormat="false" ht="26.25" hidden="false" customHeight="true" outlineLevel="0" collapsed="false">
      <c r="A35" s="2"/>
      <c r="B35" s="2"/>
      <c r="C35" s="8" t="s">
        <v>45</v>
      </c>
    </row>
    <row r="36" customFormat="false" ht="26.25" hidden="false" customHeight="true" outlineLevel="0" collapsed="false">
      <c r="A36" s="2"/>
      <c r="B36" s="2"/>
      <c r="C36" s="8" t="s">
        <v>46</v>
      </c>
    </row>
    <row r="37" customFormat="false" ht="26.25" hidden="false" customHeight="true" outlineLevel="0" collapsed="false">
      <c r="A37" s="2"/>
      <c r="B37" s="2"/>
      <c r="C37" s="8" t="s">
        <v>47</v>
      </c>
    </row>
    <row r="38" customFormat="false" ht="15" hidden="false" customHeight="true" outlineLevel="0" collapsed="false">
      <c r="A38" s="2"/>
      <c r="B38" s="2"/>
      <c r="C38" s="8" t="s">
        <v>48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1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1" width="6"/>
    <col collapsed="false" customWidth="true" hidden="false" outlineLevel="0" max="3" min="2" style="1" width="22"/>
    <col collapsed="false" customWidth="true" hidden="false" outlineLevel="0" max="4" min="4" style="1" width="50"/>
    <col collapsed="false" customWidth="true" hidden="false" outlineLevel="0" max="5" min="5" style="1" width="38"/>
    <col collapsed="false" customWidth="true" hidden="false" outlineLevel="0" max="6" min="6" style="1" width="50"/>
    <col collapsed="false" customWidth="true" hidden="false" outlineLevel="0" max="8" min="7" style="1" width="22"/>
    <col collapsed="false" customWidth="true" hidden="false" outlineLevel="0" max="11" min="9" style="1" width="18"/>
    <col collapsed="false" customWidth="true" hidden="false" outlineLevel="0" max="12" min="12" style="1" width="14"/>
    <col collapsed="false" customWidth="true" hidden="false" outlineLevel="0" max="13" min="13" style="1" width="18"/>
    <col collapsed="false" customWidth="true" hidden="false" outlineLevel="0" max="14" min="14" style="1" width="12"/>
    <col collapsed="false" customWidth="true" hidden="false" outlineLevel="0" max="15" min="15" style="1" width="10"/>
    <col collapsed="false" customWidth="true" hidden="false" outlineLevel="0" max="16" min="16" style="1" width="12"/>
    <col collapsed="false" customWidth="true" hidden="false" outlineLevel="0" max="17" min="17" style="1" width="10"/>
    <col collapsed="false" customWidth="true" hidden="false" outlineLevel="0" max="18" min="18" style="1" width="50"/>
    <col collapsed="false" customWidth="true" hidden="false" outlineLevel="0" max="20" min="19" style="1" width="12"/>
    <col collapsed="false" customWidth="true" hidden="false" outlineLevel="0" max="21" min="21" style="1" width="60"/>
    <col collapsed="false" customWidth="true" hidden="false" outlineLevel="0" max="25" min="22" style="1" width="14"/>
    <col collapsed="false" customWidth="true" hidden="false" outlineLevel="0" max="28" min="26" style="0" width="22"/>
  </cols>
  <sheetData>
    <row r="1" customFormat="false" ht="36" hidden="false" customHeight="true" outlineLevel="0" collapsed="false">
      <c r="A1" s="12" t="s">
        <v>49</v>
      </c>
      <c r="B1" s="12" t="s">
        <v>50</v>
      </c>
      <c r="C1" s="12" t="s">
        <v>51</v>
      </c>
      <c r="D1" s="12" t="s">
        <v>52</v>
      </c>
      <c r="E1" s="12" t="s">
        <v>53</v>
      </c>
      <c r="F1" s="12" t="s">
        <v>54</v>
      </c>
      <c r="G1" s="12" t="s">
        <v>55</v>
      </c>
      <c r="H1" s="12" t="s">
        <v>56</v>
      </c>
      <c r="I1" s="12" t="s">
        <v>57</v>
      </c>
      <c r="J1" s="12" t="s">
        <v>58</v>
      </c>
      <c r="K1" s="12" t="s">
        <v>59</v>
      </c>
      <c r="L1" s="12" t="s">
        <v>60</v>
      </c>
      <c r="M1" s="12" t="s">
        <v>61</v>
      </c>
      <c r="N1" s="12" t="s">
        <v>62</v>
      </c>
      <c r="O1" s="12" t="s">
        <v>63</v>
      </c>
      <c r="P1" s="12" t="s">
        <v>64</v>
      </c>
      <c r="Q1" s="12" t="s">
        <v>65</v>
      </c>
      <c r="R1" s="12" t="s">
        <v>66</v>
      </c>
      <c r="S1" s="12" t="s">
        <v>67</v>
      </c>
      <c r="T1" s="12" t="s">
        <v>68</v>
      </c>
      <c r="U1" s="12" t="s">
        <v>69</v>
      </c>
      <c r="V1" s="12" t="s">
        <v>70</v>
      </c>
      <c r="W1" s="12" t="s">
        <v>71</v>
      </c>
      <c r="X1" s="12" t="s">
        <v>72</v>
      </c>
      <c r="Y1" s="12" t="s">
        <v>73</v>
      </c>
      <c r="Z1" s="13" t="s">
        <v>74</v>
      </c>
      <c r="AA1" s="13" t="s">
        <v>75</v>
      </c>
      <c r="AB1" s="13" t="s">
        <v>76</v>
      </c>
    </row>
    <row r="2" customFormat="false" ht="30" hidden="false" customHeight="true" outlineLevel="0" collapsed="false">
      <c r="A2" s="6" t="n">
        <v>1</v>
      </c>
      <c r="B2" s="6" t="s">
        <v>77</v>
      </c>
      <c r="C2" s="6" t="s">
        <v>78</v>
      </c>
      <c r="D2" s="6" t="s">
        <v>79</v>
      </c>
      <c r="E2" s="6" t="s">
        <v>80</v>
      </c>
      <c r="F2" s="14" t="s">
        <v>81</v>
      </c>
      <c r="G2" s="6" t="s">
        <v>30</v>
      </c>
      <c r="H2" s="6" t="s">
        <v>30</v>
      </c>
      <c r="I2" s="15" t="n">
        <v>180000</v>
      </c>
      <c r="J2" s="16" t="n">
        <v>215000</v>
      </c>
      <c r="K2" s="16" t="n">
        <v>175000</v>
      </c>
      <c r="L2" s="6" t="s">
        <v>82</v>
      </c>
      <c r="M2" s="17" t="n">
        <v>25000000</v>
      </c>
      <c r="N2" s="18" t="n">
        <v>1</v>
      </c>
      <c r="O2" s="18" t="n">
        <v>8</v>
      </c>
      <c r="P2" s="19" t="n">
        <v>0.1</v>
      </c>
      <c r="Q2" s="20" t="n">
        <v>0.6</v>
      </c>
      <c r="R2" s="14" t="s">
        <v>83</v>
      </c>
      <c r="S2" s="21" t="s">
        <v>84</v>
      </c>
      <c r="T2" s="6" t="s">
        <v>85</v>
      </c>
      <c r="U2" s="14" t="s">
        <v>86</v>
      </c>
      <c r="V2" s="22"/>
      <c r="W2" s="23"/>
      <c r="X2" s="23"/>
      <c r="Y2" s="24"/>
      <c r="Z2" s="25" t="s">
        <v>87</v>
      </c>
      <c r="AA2" s="25" t="s">
        <v>88</v>
      </c>
      <c r="AB2" s="25" t="s">
        <v>89</v>
      </c>
    </row>
    <row r="3" customFormat="false" ht="30" hidden="false" customHeight="true" outlineLevel="0" collapsed="false">
      <c r="A3" s="6" t="n">
        <v>2</v>
      </c>
      <c r="B3" s="6" t="s">
        <v>77</v>
      </c>
      <c r="C3" s="6" t="s">
        <v>90</v>
      </c>
      <c r="D3" s="6" t="s">
        <v>91</v>
      </c>
      <c r="E3" s="6" t="s">
        <v>92</v>
      </c>
      <c r="F3" s="14" t="s">
        <v>93</v>
      </c>
      <c r="G3" s="6" t="s">
        <v>32</v>
      </c>
      <c r="H3" s="6" t="s">
        <v>32</v>
      </c>
      <c r="I3" s="15" t="n">
        <v>100000</v>
      </c>
      <c r="J3" s="16" t="n">
        <v>120000</v>
      </c>
      <c r="K3" s="16" t="n">
        <v>95000</v>
      </c>
      <c r="L3" s="6" t="s">
        <v>82</v>
      </c>
      <c r="M3" s="17" t="n">
        <v>14000000</v>
      </c>
      <c r="N3" s="18" t="n">
        <v>1</v>
      </c>
      <c r="O3" s="18" t="n">
        <v>7</v>
      </c>
      <c r="P3" s="19" t="n">
        <v>0.1</v>
      </c>
      <c r="Q3" s="20" t="n">
        <v>0.4</v>
      </c>
      <c r="R3" s="14" t="s">
        <v>94</v>
      </c>
      <c r="S3" s="21" t="s">
        <v>84</v>
      </c>
      <c r="T3" s="6" t="s">
        <v>85</v>
      </c>
      <c r="U3" s="14" t="s">
        <v>95</v>
      </c>
      <c r="V3" s="22"/>
      <c r="W3" s="23"/>
      <c r="X3" s="23"/>
      <c r="Y3" s="24"/>
      <c r="Z3" s="25" t="s">
        <v>87</v>
      </c>
      <c r="AA3" s="25" t="s">
        <v>88</v>
      </c>
      <c r="AB3" s="25" t="s">
        <v>89</v>
      </c>
    </row>
    <row r="4" customFormat="false" ht="30" hidden="false" customHeight="true" outlineLevel="0" collapsed="false">
      <c r="A4" s="6" t="n">
        <v>3</v>
      </c>
      <c r="B4" s="6" t="s">
        <v>77</v>
      </c>
      <c r="C4" s="6" t="s">
        <v>96</v>
      </c>
      <c r="D4" s="6" t="s">
        <v>97</v>
      </c>
      <c r="E4" s="6" t="s">
        <v>98</v>
      </c>
      <c r="F4" s="14" t="s">
        <v>99</v>
      </c>
      <c r="G4" s="6" t="s">
        <v>30</v>
      </c>
      <c r="H4" s="6" t="s">
        <v>28</v>
      </c>
      <c r="I4" s="15" t="n">
        <v>130000</v>
      </c>
      <c r="J4" s="16" t="n">
        <v>150000</v>
      </c>
      <c r="K4" s="16" t="n">
        <v>125000</v>
      </c>
      <c r="L4" s="6" t="s">
        <v>82</v>
      </c>
      <c r="M4" s="17" t="n">
        <v>18000000</v>
      </c>
      <c r="N4" s="18" t="n">
        <v>1</v>
      </c>
      <c r="O4" s="18" t="n">
        <v>7</v>
      </c>
      <c r="P4" s="19" t="n">
        <v>0.1</v>
      </c>
      <c r="Q4" s="20" t="n">
        <v>0.4</v>
      </c>
      <c r="R4" s="14" t="s">
        <v>100</v>
      </c>
      <c r="S4" s="21" t="s">
        <v>84</v>
      </c>
      <c r="T4" s="6" t="s">
        <v>85</v>
      </c>
      <c r="U4" s="14" t="s">
        <v>101</v>
      </c>
      <c r="V4" s="22"/>
      <c r="W4" s="23"/>
      <c r="X4" s="23"/>
      <c r="Y4" s="24"/>
      <c r="Z4" s="25" t="s">
        <v>87</v>
      </c>
      <c r="AA4" s="25" t="s">
        <v>102</v>
      </c>
      <c r="AB4" s="25" t="s">
        <v>89</v>
      </c>
    </row>
    <row r="5" customFormat="false" ht="30" hidden="false" customHeight="true" outlineLevel="0" collapsed="false">
      <c r="A5" s="6" t="n">
        <v>4</v>
      </c>
      <c r="B5" s="6" t="s">
        <v>77</v>
      </c>
      <c r="C5" s="6" t="s">
        <v>103</v>
      </c>
      <c r="D5" s="6" t="s">
        <v>104</v>
      </c>
      <c r="E5" s="6" t="s">
        <v>105</v>
      </c>
      <c r="F5" s="14" t="s">
        <v>106</v>
      </c>
      <c r="G5" s="6" t="s">
        <v>28</v>
      </c>
      <c r="H5" s="6" t="s">
        <v>28</v>
      </c>
      <c r="I5" s="15" t="n">
        <v>65000</v>
      </c>
      <c r="J5" s="16" t="n">
        <v>75000</v>
      </c>
      <c r="K5" s="16" t="n">
        <v>60000</v>
      </c>
      <c r="L5" s="6" t="s">
        <v>82</v>
      </c>
      <c r="M5" s="17" t="n">
        <v>9000000</v>
      </c>
      <c r="N5" s="18" t="n">
        <v>1</v>
      </c>
      <c r="O5" s="18" t="n">
        <v>7</v>
      </c>
      <c r="P5" s="19" t="n">
        <v>0.12</v>
      </c>
      <c r="Q5" s="20" t="n">
        <v>0.4</v>
      </c>
      <c r="R5" s="14" t="s">
        <v>107</v>
      </c>
      <c r="S5" s="21" t="s">
        <v>84</v>
      </c>
      <c r="T5" s="6" t="s">
        <v>85</v>
      </c>
      <c r="U5" s="14" t="s">
        <v>108</v>
      </c>
      <c r="V5" s="22"/>
      <c r="W5" s="23"/>
      <c r="X5" s="23"/>
      <c r="Y5" s="24"/>
      <c r="Z5" s="25" t="s">
        <v>87</v>
      </c>
      <c r="AA5" s="25" t="s">
        <v>102</v>
      </c>
      <c r="AB5" s="25" t="s">
        <v>89</v>
      </c>
    </row>
    <row r="6" customFormat="false" ht="30" hidden="false" customHeight="true" outlineLevel="0" collapsed="false">
      <c r="A6" s="6" t="n">
        <v>5</v>
      </c>
      <c r="B6" s="6" t="s">
        <v>77</v>
      </c>
      <c r="C6" s="6" t="s">
        <v>109</v>
      </c>
      <c r="D6" s="6" t="s">
        <v>110</v>
      </c>
      <c r="E6" s="6" t="s">
        <v>111</v>
      </c>
      <c r="F6" s="14" t="s">
        <v>112</v>
      </c>
      <c r="G6" s="6" t="s">
        <v>28</v>
      </c>
      <c r="H6" s="6" t="s">
        <v>28</v>
      </c>
      <c r="I6" s="15" t="n">
        <v>65000</v>
      </c>
      <c r="J6" s="16" t="n">
        <v>78000</v>
      </c>
      <c r="K6" s="16" t="n">
        <v>60000</v>
      </c>
      <c r="L6" s="6" t="s">
        <v>82</v>
      </c>
      <c r="M6" s="17" t="n">
        <v>9000000</v>
      </c>
      <c r="N6" s="18" t="n">
        <v>1</v>
      </c>
      <c r="O6" s="18" t="n">
        <v>10</v>
      </c>
      <c r="P6" s="19" t="n">
        <v>0.04</v>
      </c>
      <c r="Q6" s="20" t="n">
        <v>0.2</v>
      </c>
      <c r="R6" s="14" t="s">
        <v>113</v>
      </c>
      <c r="S6" s="21" t="s">
        <v>84</v>
      </c>
      <c r="T6" s="6" t="s">
        <v>85</v>
      </c>
      <c r="U6" s="14" t="s">
        <v>114</v>
      </c>
      <c r="V6" s="22"/>
      <c r="W6" s="23"/>
      <c r="X6" s="23"/>
      <c r="Y6" s="24"/>
      <c r="Z6" s="25" t="s">
        <v>87</v>
      </c>
      <c r="AA6" s="25" t="s">
        <v>102</v>
      </c>
      <c r="AB6" s="25" t="s">
        <v>89</v>
      </c>
    </row>
    <row r="7" customFormat="false" ht="30" hidden="false" customHeight="true" outlineLevel="0" collapsed="false">
      <c r="A7" s="6" t="n">
        <v>6</v>
      </c>
      <c r="B7" s="6" t="s">
        <v>77</v>
      </c>
      <c r="C7" s="6" t="s">
        <v>115</v>
      </c>
      <c r="D7" s="6" t="s">
        <v>116</v>
      </c>
      <c r="E7" s="6" t="s">
        <v>117</v>
      </c>
      <c r="F7" s="14" t="s">
        <v>118</v>
      </c>
      <c r="G7" s="6" t="s">
        <v>28</v>
      </c>
      <c r="H7" s="6" t="s">
        <v>28</v>
      </c>
      <c r="I7" s="15" t="n">
        <v>35000</v>
      </c>
      <c r="J7" s="16" t="n">
        <v>42000</v>
      </c>
      <c r="K7" s="16" t="n">
        <v>33000</v>
      </c>
      <c r="L7" s="6" t="s">
        <v>82</v>
      </c>
      <c r="M7" s="17" t="n">
        <v>4800000</v>
      </c>
      <c r="N7" s="18" t="n">
        <v>2</v>
      </c>
      <c r="O7" s="18" t="n">
        <v>8</v>
      </c>
      <c r="P7" s="19" t="n">
        <v>0.07</v>
      </c>
      <c r="Q7" s="20" t="n">
        <v>0.6</v>
      </c>
      <c r="R7" s="14" t="s">
        <v>119</v>
      </c>
      <c r="S7" s="21" t="s">
        <v>84</v>
      </c>
      <c r="T7" s="6" t="s">
        <v>85</v>
      </c>
      <c r="U7" s="14" t="s">
        <v>120</v>
      </c>
      <c r="V7" s="22"/>
      <c r="W7" s="23"/>
      <c r="X7" s="23"/>
      <c r="Y7" s="24"/>
      <c r="Z7" s="25" t="s">
        <v>87</v>
      </c>
      <c r="AA7" s="25" t="s">
        <v>88</v>
      </c>
      <c r="AB7" s="25" t="s">
        <v>89</v>
      </c>
    </row>
    <row r="8" customFormat="false" ht="30" hidden="false" customHeight="true" outlineLevel="0" collapsed="false">
      <c r="A8" s="6" t="n">
        <v>7</v>
      </c>
      <c r="B8" s="6" t="s">
        <v>77</v>
      </c>
      <c r="C8" s="6" t="s">
        <v>121</v>
      </c>
      <c r="D8" s="6" t="s">
        <v>122</v>
      </c>
      <c r="E8" s="6" t="s">
        <v>123</v>
      </c>
      <c r="F8" s="14" t="s">
        <v>124</v>
      </c>
      <c r="G8" s="6" t="s">
        <v>30</v>
      </c>
      <c r="H8" s="6" t="s">
        <v>30</v>
      </c>
      <c r="I8" s="15" t="n">
        <v>90000</v>
      </c>
      <c r="J8" s="16" t="n">
        <v>105000</v>
      </c>
      <c r="K8" s="16" t="n">
        <v>85000</v>
      </c>
      <c r="L8" s="6" t="s">
        <v>82</v>
      </c>
      <c r="M8" s="17" t="n">
        <v>12500000</v>
      </c>
      <c r="N8" s="18" t="n">
        <v>1</v>
      </c>
      <c r="O8" s="18" t="n">
        <v>8</v>
      </c>
      <c r="P8" s="19" t="n">
        <v>0.1</v>
      </c>
      <c r="Q8" s="20" t="n">
        <v>0.5</v>
      </c>
      <c r="R8" s="14" t="s">
        <v>125</v>
      </c>
      <c r="S8" s="21" t="s">
        <v>84</v>
      </c>
      <c r="T8" s="6" t="s">
        <v>85</v>
      </c>
      <c r="U8" s="14" t="s">
        <v>126</v>
      </c>
      <c r="V8" s="22"/>
      <c r="W8" s="23"/>
      <c r="X8" s="23"/>
      <c r="Y8" s="24"/>
      <c r="Z8" s="25" t="s">
        <v>87</v>
      </c>
      <c r="AA8" s="25" t="s">
        <v>127</v>
      </c>
      <c r="AB8" s="25" t="s">
        <v>89</v>
      </c>
    </row>
    <row r="9" customFormat="false" ht="30" hidden="false" customHeight="true" outlineLevel="0" collapsed="false">
      <c r="A9" s="6" t="n">
        <v>8</v>
      </c>
      <c r="B9" s="6" t="s">
        <v>128</v>
      </c>
      <c r="C9" s="6" t="s">
        <v>129</v>
      </c>
      <c r="D9" s="6" t="s">
        <v>130</v>
      </c>
      <c r="E9" s="6" t="s">
        <v>131</v>
      </c>
      <c r="F9" s="14" t="s">
        <v>132</v>
      </c>
      <c r="G9" s="6" t="s">
        <v>26</v>
      </c>
      <c r="H9" s="6" t="s">
        <v>30</v>
      </c>
      <c r="I9" s="15" t="n">
        <v>50000</v>
      </c>
      <c r="J9" s="16" t="n">
        <v>58000</v>
      </c>
      <c r="K9" s="16" t="n">
        <v>48000</v>
      </c>
      <c r="L9" s="6" t="s">
        <v>82</v>
      </c>
      <c r="M9" s="17" t="n">
        <v>6600000</v>
      </c>
      <c r="N9" s="18" t="n">
        <v>1</v>
      </c>
      <c r="O9" s="18" t="n">
        <v>12</v>
      </c>
      <c r="P9" s="19" t="n">
        <v>0.05</v>
      </c>
      <c r="Q9" s="20" t="n">
        <v>0.2</v>
      </c>
      <c r="R9" s="14" t="s">
        <v>133</v>
      </c>
      <c r="S9" s="21" t="s">
        <v>84</v>
      </c>
      <c r="T9" s="6" t="s">
        <v>85</v>
      </c>
      <c r="U9" s="14" t="s">
        <v>134</v>
      </c>
      <c r="V9" s="22"/>
      <c r="W9" s="23"/>
      <c r="X9" s="23"/>
      <c r="Y9" s="24"/>
      <c r="Z9" s="25" t="s">
        <v>87</v>
      </c>
      <c r="AA9" s="25" t="s">
        <v>102</v>
      </c>
      <c r="AB9" s="25" t="s">
        <v>89</v>
      </c>
    </row>
    <row r="10" customFormat="false" ht="30" hidden="false" customHeight="true" outlineLevel="0" collapsed="false">
      <c r="A10" s="6" t="n">
        <v>9</v>
      </c>
      <c r="B10" s="6" t="s">
        <v>128</v>
      </c>
      <c r="C10" s="6" t="s">
        <v>135</v>
      </c>
      <c r="D10" s="6" t="s">
        <v>136</v>
      </c>
      <c r="E10" s="6" t="s">
        <v>137</v>
      </c>
      <c r="F10" s="14" t="s">
        <v>138</v>
      </c>
      <c r="G10" s="6" t="s">
        <v>26</v>
      </c>
      <c r="H10" s="6" t="s">
        <v>30</v>
      </c>
      <c r="I10" s="15" t="n">
        <v>28000</v>
      </c>
      <c r="J10" s="16" t="n">
        <v>32600</v>
      </c>
      <c r="K10" s="16" t="n">
        <v>26000</v>
      </c>
      <c r="L10" s="6" t="s">
        <v>82</v>
      </c>
      <c r="M10" s="17" t="n">
        <v>3700000</v>
      </c>
      <c r="N10" s="18" t="n">
        <v>2</v>
      </c>
      <c r="O10" s="18" t="n">
        <v>8</v>
      </c>
      <c r="P10" s="19" t="n">
        <v>0.05</v>
      </c>
      <c r="Q10" s="20" t="n">
        <v>0.3</v>
      </c>
      <c r="R10" s="14" t="s">
        <v>139</v>
      </c>
      <c r="S10" s="26" t="s">
        <v>140</v>
      </c>
      <c r="T10" s="6" t="s">
        <v>85</v>
      </c>
      <c r="U10" s="14" t="s">
        <v>141</v>
      </c>
      <c r="V10" s="22"/>
      <c r="W10" s="23"/>
      <c r="X10" s="23"/>
      <c r="Y10" s="24"/>
      <c r="Z10" s="25" t="s">
        <v>87</v>
      </c>
      <c r="AA10" s="25" t="s">
        <v>102</v>
      </c>
      <c r="AB10" s="25" t="s">
        <v>89</v>
      </c>
    </row>
    <row r="11" customFormat="false" ht="30" hidden="false" customHeight="true" outlineLevel="0" collapsed="false">
      <c r="A11" s="6" t="n">
        <v>10</v>
      </c>
      <c r="B11" s="6" t="s">
        <v>128</v>
      </c>
      <c r="C11" s="6" t="s">
        <v>142</v>
      </c>
      <c r="D11" s="6" t="s">
        <v>143</v>
      </c>
      <c r="E11" s="6" t="s">
        <v>144</v>
      </c>
      <c r="F11" s="14" t="s">
        <v>145</v>
      </c>
      <c r="G11" s="6" t="s">
        <v>28</v>
      </c>
      <c r="H11" s="6" t="s">
        <v>30</v>
      </c>
      <c r="I11" s="15" t="n">
        <v>45000</v>
      </c>
      <c r="J11" s="16" t="n">
        <v>52000</v>
      </c>
      <c r="K11" s="16" t="n">
        <v>42000</v>
      </c>
      <c r="L11" s="6" t="s">
        <v>82</v>
      </c>
      <c r="M11" s="17" t="n">
        <v>6000000</v>
      </c>
      <c r="N11" s="18" t="n">
        <v>1</v>
      </c>
      <c r="O11" s="18" t="n">
        <v>10</v>
      </c>
      <c r="P11" s="19" t="n">
        <v>0.08</v>
      </c>
      <c r="Q11" s="20" t="n">
        <v>0.4</v>
      </c>
      <c r="R11" s="14" t="s">
        <v>146</v>
      </c>
      <c r="S11" s="21" t="s">
        <v>84</v>
      </c>
      <c r="T11" s="6" t="s">
        <v>85</v>
      </c>
      <c r="U11" s="14" t="s">
        <v>147</v>
      </c>
      <c r="V11" s="22"/>
      <c r="W11" s="23"/>
      <c r="X11" s="23"/>
      <c r="Y11" s="24"/>
      <c r="Z11" s="25" t="s">
        <v>87</v>
      </c>
      <c r="AA11" s="25" t="s">
        <v>102</v>
      </c>
      <c r="AB11" s="25" t="s">
        <v>89</v>
      </c>
    </row>
    <row r="12" customFormat="false" ht="30" hidden="false" customHeight="true" outlineLevel="0" collapsed="false">
      <c r="A12" s="6" t="n">
        <v>11</v>
      </c>
      <c r="B12" s="6" t="s">
        <v>128</v>
      </c>
      <c r="C12" s="6" t="s">
        <v>148</v>
      </c>
      <c r="D12" s="6" t="s">
        <v>149</v>
      </c>
      <c r="E12" s="6" t="s">
        <v>150</v>
      </c>
      <c r="F12" s="14" t="s">
        <v>151</v>
      </c>
      <c r="G12" s="6" t="s">
        <v>28</v>
      </c>
      <c r="H12" s="6" t="s">
        <v>30</v>
      </c>
      <c r="I12" s="15" t="n">
        <v>95000</v>
      </c>
      <c r="J12" s="16" t="n">
        <v>115000</v>
      </c>
      <c r="K12" s="16" t="n">
        <v>90000</v>
      </c>
      <c r="L12" s="6" t="s">
        <v>82</v>
      </c>
      <c r="M12" s="17" t="n">
        <v>13100000</v>
      </c>
      <c r="N12" s="18" t="n">
        <v>1</v>
      </c>
      <c r="O12" s="18" t="n">
        <v>12</v>
      </c>
      <c r="P12" s="19" t="n">
        <v>0.07</v>
      </c>
      <c r="Q12" s="20" t="n">
        <v>0.4</v>
      </c>
      <c r="R12" s="14" t="s">
        <v>152</v>
      </c>
      <c r="S12" s="21" t="s">
        <v>84</v>
      </c>
      <c r="T12" s="6" t="s">
        <v>85</v>
      </c>
      <c r="U12" s="14" t="s">
        <v>153</v>
      </c>
      <c r="V12" s="22"/>
      <c r="W12" s="23"/>
      <c r="X12" s="23"/>
      <c r="Y12" s="24"/>
      <c r="Z12" s="25" t="s">
        <v>87</v>
      </c>
      <c r="AA12" s="25" t="s">
        <v>102</v>
      </c>
      <c r="AB12" s="25" t="s">
        <v>89</v>
      </c>
    </row>
    <row r="13" customFormat="false" ht="30" hidden="false" customHeight="true" outlineLevel="0" collapsed="false">
      <c r="A13" s="6" t="n">
        <v>12</v>
      </c>
      <c r="B13" s="6" t="s">
        <v>128</v>
      </c>
      <c r="C13" s="6" t="s">
        <v>154</v>
      </c>
      <c r="D13" s="6" t="s">
        <v>155</v>
      </c>
      <c r="E13" s="6" t="s">
        <v>156</v>
      </c>
      <c r="F13" s="14" t="s">
        <v>157</v>
      </c>
      <c r="G13" s="6" t="s">
        <v>28</v>
      </c>
      <c r="H13" s="6" t="s">
        <v>30</v>
      </c>
      <c r="I13" s="15" t="n">
        <v>45000</v>
      </c>
      <c r="J13" s="16" t="n">
        <v>52000</v>
      </c>
      <c r="K13" s="16" t="n">
        <v>42000</v>
      </c>
      <c r="L13" s="6" t="s">
        <v>82</v>
      </c>
      <c r="M13" s="17" t="n">
        <v>6000000</v>
      </c>
      <c r="N13" s="18" t="n">
        <v>1</v>
      </c>
      <c r="O13" s="18" t="n">
        <v>15</v>
      </c>
      <c r="P13" s="19" t="n">
        <v>0.04</v>
      </c>
      <c r="Q13" s="20" t="n">
        <v>0.2</v>
      </c>
      <c r="R13" s="14" t="s">
        <v>158</v>
      </c>
      <c r="S13" s="21" t="s">
        <v>84</v>
      </c>
      <c r="T13" s="6" t="s">
        <v>85</v>
      </c>
      <c r="U13" s="14" t="s">
        <v>159</v>
      </c>
      <c r="V13" s="22"/>
      <c r="W13" s="23"/>
      <c r="X13" s="23"/>
      <c r="Y13" s="24"/>
      <c r="Z13" s="25" t="s">
        <v>87</v>
      </c>
      <c r="AA13" s="25" t="s">
        <v>127</v>
      </c>
      <c r="AB13" s="25" t="s">
        <v>89</v>
      </c>
    </row>
    <row r="14" customFormat="false" ht="30" hidden="false" customHeight="true" outlineLevel="0" collapsed="false">
      <c r="A14" s="6" t="n">
        <v>13</v>
      </c>
      <c r="B14" s="6" t="s">
        <v>128</v>
      </c>
      <c r="C14" s="6" t="s">
        <v>160</v>
      </c>
      <c r="D14" s="6" t="s">
        <v>161</v>
      </c>
      <c r="E14" s="6" t="s">
        <v>162</v>
      </c>
      <c r="F14" s="14" t="s">
        <v>163</v>
      </c>
      <c r="G14" s="6" t="s">
        <v>28</v>
      </c>
      <c r="H14" s="6" t="s">
        <v>30</v>
      </c>
      <c r="I14" s="15" t="n">
        <v>130000</v>
      </c>
      <c r="J14" s="16" t="n">
        <v>150000</v>
      </c>
      <c r="K14" s="16" t="n">
        <v>125000</v>
      </c>
      <c r="L14" s="6" t="s">
        <v>82</v>
      </c>
      <c r="M14" s="17" t="n">
        <v>17500000</v>
      </c>
      <c r="N14" s="18" t="n">
        <v>1</v>
      </c>
      <c r="O14" s="18" t="n">
        <v>10</v>
      </c>
      <c r="P14" s="19" t="n">
        <v>0.07</v>
      </c>
      <c r="Q14" s="20" t="n">
        <v>0.5</v>
      </c>
      <c r="R14" s="14" t="s">
        <v>164</v>
      </c>
      <c r="S14" s="21" t="s">
        <v>84</v>
      </c>
      <c r="T14" s="6" t="s">
        <v>85</v>
      </c>
      <c r="U14" s="14" t="s">
        <v>165</v>
      </c>
      <c r="V14" s="22"/>
      <c r="W14" s="23"/>
      <c r="X14" s="23"/>
      <c r="Y14" s="24"/>
      <c r="Z14" s="25" t="s">
        <v>87</v>
      </c>
      <c r="AA14" s="25" t="s">
        <v>102</v>
      </c>
      <c r="AB14" s="25" t="s">
        <v>89</v>
      </c>
    </row>
    <row r="15" customFormat="false" ht="30" hidden="false" customHeight="true" outlineLevel="0" collapsed="false">
      <c r="A15" s="6" t="n">
        <v>14</v>
      </c>
      <c r="B15" s="6" t="s">
        <v>128</v>
      </c>
      <c r="C15" s="6" t="s">
        <v>166</v>
      </c>
      <c r="D15" s="6" t="s">
        <v>167</v>
      </c>
      <c r="E15" s="6" t="s">
        <v>168</v>
      </c>
      <c r="F15" s="14" t="s">
        <v>169</v>
      </c>
      <c r="G15" s="6" t="s">
        <v>28</v>
      </c>
      <c r="H15" s="6" t="s">
        <v>30</v>
      </c>
      <c r="I15" s="15" t="n">
        <v>70000</v>
      </c>
      <c r="J15" s="16" t="n">
        <v>80000</v>
      </c>
      <c r="K15" s="16" t="n">
        <v>65000</v>
      </c>
      <c r="L15" s="6" t="s">
        <v>82</v>
      </c>
      <c r="M15" s="17" t="n">
        <v>9300000</v>
      </c>
      <c r="N15" s="18" t="n">
        <v>1</v>
      </c>
      <c r="O15" s="18" t="n">
        <v>12</v>
      </c>
      <c r="P15" s="19" t="n">
        <v>0.06</v>
      </c>
      <c r="Q15" s="20" t="n">
        <v>0.4</v>
      </c>
      <c r="R15" s="14" t="s">
        <v>170</v>
      </c>
      <c r="S15" s="21" t="s">
        <v>84</v>
      </c>
      <c r="T15" s="6" t="s">
        <v>85</v>
      </c>
      <c r="U15" s="14" t="s">
        <v>171</v>
      </c>
      <c r="V15" s="22"/>
      <c r="W15" s="23"/>
      <c r="X15" s="23"/>
      <c r="Y15" s="24"/>
      <c r="Z15" s="25" t="s">
        <v>87</v>
      </c>
      <c r="AA15" s="25" t="s">
        <v>127</v>
      </c>
      <c r="AB15" s="25" t="s">
        <v>89</v>
      </c>
    </row>
    <row r="16" customFormat="false" ht="30" hidden="false" customHeight="true" outlineLevel="0" collapsed="false">
      <c r="A16" s="6" t="n">
        <v>15</v>
      </c>
      <c r="B16" s="6" t="s">
        <v>172</v>
      </c>
      <c r="C16" s="6" t="s">
        <v>173</v>
      </c>
      <c r="D16" s="6" t="s">
        <v>174</v>
      </c>
      <c r="E16" s="6" t="s">
        <v>175</v>
      </c>
      <c r="F16" s="14" t="s">
        <v>176</v>
      </c>
      <c r="G16" s="6" t="s">
        <v>28</v>
      </c>
      <c r="H16" s="6" t="s">
        <v>30</v>
      </c>
      <c r="I16" s="15" t="n">
        <v>3500</v>
      </c>
      <c r="J16" s="16" t="n">
        <v>4000</v>
      </c>
      <c r="K16" s="16" t="n">
        <v>2500</v>
      </c>
      <c r="L16" s="6" t="s">
        <v>177</v>
      </c>
      <c r="M16" s="17" t="n">
        <v>480000</v>
      </c>
      <c r="N16" s="18" t="n">
        <v>4</v>
      </c>
      <c r="O16" s="18" t="n">
        <v>6</v>
      </c>
      <c r="P16" s="19" t="n">
        <v>0.05</v>
      </c>
      <c r="Q16" s="20" t="n">
        <v>0</v>
      </c>
      <c r="R16" s="14" t="s">
        <v>178</v>
      </c>
      <c r="S16" s="26" t="s">
        <v>140</v>
      </c>
      <c r="T16" s="6" t="s">
        <v>85</v>
      </c>
      <c r="U16" s="14" t="s">
        <v>179</v>
      </c>
      <c r="V16" s="22"/>
      <c r="W16" s="23"/>
      <c r="X16" s="23"/>
      <c r="Y16" s="24"/>
      <c r="Z16" s="25" t="s">
        <v>87</v>
      </c>
      <c r="AA16" s="25" t="s">
        <v>102</v>
      </c>
      <c r="AB16" s="25" t="s">
        <v>89</v>
      </c>
    </row>
    <row r="17" customFormat="false" ht="30" hidden="false" customHeight="true" outlineLevel="0" collapsed="false">
      <c r="A17" s="6" t="n">
        <v>16</v>
      </c>
      <c r="B17" s="6" t="s">
        <v>172</v>
      </c>
      <c r="C17" s="6" t="s">
        <v>180</v>
      </c>
      <c r="D17" s="6" t="s">
        <v>181</v>
      </c>
      <c r="E17" s="6" t="s">
        <v>182</v>
      </c>
      <c r="F17" s="14" t="s">
        <v>183</v>
      </c>
      <c r="G17" s="6" t="s">
        <v>30</v>
      </c>
      <c r="H17" s="6" t="s">
        <v>30</v>
      </c>
      <c r="I17" s="15" t="n">
        <v>55000</v>
      </c>
      <c r="J17" s="16" t="n">
        <v>65000</v>
      </c>
      <c r="K17" s="16" t="n">
        <v>45000</v>
      </c>
      <c r="L17" s="6" t="s">
        <v>177</v>
      </c>
      <c r="M17" s="17" t="n">
        <v>7600000</v>
      </c>
      <c r="N17" s="18" t="n">
        <v>1</v>
      </c>
      <c r="O17" s="18" t="n">
        <v>10</v>
      </c>
      <c r="P17" s="19" t="n">
        <v>0.07</v>
      </c>
      <c r="Q17" s="20" t="n">
        <v>0.3</v>
      </c>
      <c r="R17" s="14" t="s">
        <v>184</v>
      </c>
      <c r="S17" s="21" t="s">
        <v>84</v>
      </c>
      <c r="T17" s="6" t="s">
        <v>85</v>
      </c>
      <c r="U17" s="14" t="s">
        <v>185</v>
      </c>
      <c r="V17" s="22"/>
      <c r="W17" s="23"/>
      <c r="X17" s="23"/>
      <c r="Y17" s="24"/>
      <c r="Z17" s="25" t="s">
        <v>87</v>
      </c>
      <c r="AA17" s="25" t="s">
        <v>102</v>
      </c>
      <c r="AB17" s="25" t="s">
        <v>89</v>
      </c>
    </row>
    <row r="18" customFormat="false" ht="30" hidden="false" customHeight="true" outlineLevel="0" collapsed="false">
      <c r="A18" s="6" t="n">
        <v>17</v>
      </c>
      <c r="B18" s="6" t="s">
        <v>172</v>
      </c>
      <c r="C18" s="6" t="s">
        <v>186</v>
      </c>
      <c r="D18" s="6" t="s">
        <v>187</v>
      </c>
      <c r="E18" s="6" t="s">
        <v>188</v>
      </c>
      <c r="F18" s="14" t="s">
        <v>189</v>
      </c>
      <c r="G18" s="6" t="s">
        <v>30</v>
      </c>
      <c r="H18" s="6" t="s">
        <v>30</v>
      </c>
      <c r="I18" s="15" t="n">
        <v>65000</v>
      </c>
      <c r="J18" s="16" t="n">
        <v>75000</v>
      </c>
      <c r="K18" s="16" t="n">
        <v>55000</v>
      </c>
      <c r="L18" s="6" t="s">
        <v>177</v>
      </c>
      <c r="M18" s="17" t="n">
        <v>9000000</v>
      </c>
      <c r="N18" s="18" t="n">
        <v>1</v>
      </c>
      <c r="O18" s="18" t="n">
        <v>8</v>
      </c>
      <c r="P18" s="19" t="n">
        <v>0.1</v>
      </c>
      <c r="Q18" s="20" t="n">
        <v>0.5</v>
      </c>
      <c r="R18" s="14" t="s">
        <v>190</v>
      </c>
      <c r="S18" s="26" t="s">
        <v>140</v>
      </c>
      <c r="T18" s="6" t="s">
        <v>85</v>
      </c>
      <c r="U18" s="14" t="s">
        <v>191</v>
      </c>
      <c r="V18" s="22"/>
      <c r="W18" s="23"/>
      <c r="X18" s="23"/>
      <c r="Y18" s="24"/>
      <c r="Z18" s="25" t="s">
        <v>87</v>
      </c>
      <c r="AA18" s="25" t="s">
        <v>102</v>
      </c>
      <c r="AB18" s="25" t="s">
        <v>89</v>
      </c>
    </row>
    <row r="19" customFormat="false" ht="30" hidden="false" customHeight="true" outlineLevel="0" collapsed="false">
      <c r="A19" s="6" t="n">
        <v>18</v>
      </c>
      <c r="B19" s="6" t="s">
        <v>172</v>
      </c>
      <c r="C19" s="6" t="s">
        <v>192</v>
      </c>
      <c r="D19" s="6" t="s">
        <v>193</v>
      </c>
      <c r="E19" s="6" t="s">
        <v>194</v>
      </c>
      <c r="F19" s="14" t="s">
        <v>195</v>
      </c>
      <c r="G19" s="6" t="s">
        <v>28</v>
      </c>
      <c r="H19" s="6" t="s">
        <v>30</v>
      </c>
      <c r="I19" s="15" t="n">
        <v>4500</v>
      </c>
      <c r="J19" s="16" t="n">
        <v>5000</v>
      </c>
      <c r="K19" s="16" t="n">
        <v>3500</v>
      </c>
      <c r="L19" s="6" t="s">
        <v>177</v>
      </c>
      <c r="M19" s="17" t="n">
        <v>620000</v>
      </c>
      <c r="N19" s="18" t="n">
        <v>3</v>
      </c>
      <c r="O19" s="18" t="n">
        <v>8</v>
      </c>
      <c r="P19" s="19" t="n">
        <v>0.05</v>
      </c>
      <c r="Q19" s="20" t="n">
        <v>0</v>
      </c>
      <c r="R19" s="14" t="s">
        <v>196</v>
      </c>
      <c r="S19" s="26" t="s">
        <v>140</v>
      </c>
      <c r="T19" s="6" t="s">
        <v>85</v>
      </c>
      <c r="U19" s="14" t="s">
        <v>197</v>
      </c>
      <c r="V19" s="22"/>
      <c r="W19" s="23"/>
      <c r="X19" s="23"/>
      <c r="Y19" s="24"/>
      <c r="Z19" s="25" t="s">
        <v>87</v>
      </c>
      <c r="AA19" s="25" t="s">
        <v>102</v>
      </c>
      <c r="AB19" s="25" t="s">
        <v>89</v>
      </c>
    </row>
    <row r="20" customFormat="false" ht="30" hidden="false" customHeight="true" outlineLevel="0" collapsed="false">
      <c r="A20" s="6" t="n">
        <v>19</v>
      </c>
      <c r="B20" s="6" t="s">
        <v>172</v>
      </c>
      <c r="C20" s="6" t="s">
        <v>192</v>
      </c>
      <c r="D20" s="6" t="s">
        <v>198</v>
      </c>
      <c r="E20" s="6" t="s">
        <v>199</v>
      </c>
      <c r="F20" s="14" t="s">
        <v>200</v>
      </c>
      <c r="G20" s="6" t="s">
        <v>32</v>
      </c>
      <c r="H20" s="6" t="s">
        <v>32</v>
      </c>
      <c r="I20" s="15" t="n">
        <v>0</v>
      </c>
      <c r="J20" s="16" t="n">
        <v>0</v>
      </c>
      <c r="K20" s="16" t="n">
        <v>0</v>
      </c>
      <c r="L20" s="6" t="s">
        <v>201</v>
      </c>
      <c r="M20" s="17" t="n">
        <v>0</v>
      </c>
      <c r="N20" s="18" t="n">
        <v>0</v>
      </c>
      <c r="O20" s="18" t="n">
        <v>0</v>
      </c>
      <c r="P20" s="19" t="n">
        <v>0</v>
      </c>
      <c r="Q20" s="20" t="n">
        <v>0</v>
      </c>
      <c r="R20" s="14" t="s">
        <v>202</v>
      </c>
      <c r="S20" s="26" t="s">
        <v>140</v>
      </c>
      <c r="T20" s="6" t="s">
        <v>85</v>
      </c>
      <c r="U20" s="14" t="s">
        <v>203</v>
      </c>
      <c r="V20" s="22"/>
      <c r="W20" s="23"/>
      <c r="X20" s="23"/>
      <c r="Y20" s="24"/>
      <c r="Z20" s="25" t="s">
        <v>87</v>
      </c>
      <c r="AA20" s="25" t="s">
        <v>102</v>
      </c>
      <c r="AB20" s="25" t="s">
        <v>89</v>
      </c>
    </row>
    <row r="21" customFormat="false" ht="30" hidden="false" customHeight="true" outlineLevel="0" collapsed="false">
      <c r="A21" s="6" t="n">
        <v>20</v>
      </c>
      <c r="B21" s="6" t="s">
        <v>172</v>
      </c>
      <c r="C21" s="6" t="s">
        <v>204</v>
      </c>
      <c r="D21" s="6" t="s">
        <v>205</v>
      </c>
      <c r="E21" s="6" t="s">
        <v>206</v>
      </c>
      <c r="F21" s="14" t="s">
        <v>207</v>
      </c>
      <c r="G21" s="6" t="s">
        <v>28</v>
      </c>
      <c r="H21" s="6" t="s">
        <v>30</v>
      </c>
      <c r="I21" s="15" t="n">
        <v>12000</v>
      </c>
      <c r="J21" s="16" t="n">
        <v>14000</v>
      </c>
      <c r="K21" s="16" t="n">
        <v>9000</v>
      </c>
      <c r="L21" s="6" t="s">
        <v>177</v>
      </c>
      <c r="M21" s="17" t="n">
        <v>1650000</v>
      </c>
      <c r="N21" s="18" t="n">
        <v>3</v>
      </c>
      <c r="O21" s="18" t="n">
        <v>7</v>
      </c>
      <c r="P21" s="19" t="n">
        <v>0.07</v>
      </c>
      <c r="Q21" s="20" t="n">
        <v>0</v>
      </c>
      <c r="R21" s="14" t="s">
        <v>208</v>
      </c>
      <c r="S21" s="21" t="s">
        <v>84</v>
      </c>
      <c r="T21" s="6" t="s">
        <v>85</v>
      </c>
      <c r="U21" s="14" t="s">
        <v>209</v>
      </c>
      <c r="V21" s="22"/>
      <c r="W21" s="23"/>
      <c r="X21" s="23"/>
      <c r="Y21" s="24"/>
      <c r="Z21" s="25" t="s">
        <v>87</v>
      </c>
      <c r="AA21" s="25" t="s">
        <v>102</v>
      </c>
      <c r="AB21" s="25" t="s">
        <v>89</v>
      </c>
    </row>
    <row r="22" customFormat="false" ht="30" hidden="false" customHeight="true" outlineLevel="0" collapsed="false">
      <c r="A22" s="6" t="n">
        <v>21</v>
      </c>
      <c r="B22" s="6" t="s">
        <v>172</v>
      </c>
      <c r="C22" s="6" t="s">
        <v>210</v>
      </c>
      <c r="D22" s="6" t="s">
        <v>211</v>
      </c>
      <c r="E22" s="6" t="s">
        <v>212</v>
      </c>
      <c r="F22" s="14" t="s">
        <v>213</v>
      </c>
      <c r="G22" s="6" t="s">
        <v>30</v>
      </c>
      <c r="H22" s="6" t="s">
        <v>30</v>
      </c>
      <c r="I22" s="15" t="n">
        <v>25000</v>
      </c>
      <c r="J22" s="16" t="n">
        <v>28000</v>
      </c>
      <c r="K22" s="16" t="n">
        <v>18000</v>
      </c>
      <c r="L22" s="6" t="s">
        <v>177</v>
      </c>
      <c r="M22" s="17" t="n">
        <v>3450000</v>
      </c>
      <c r="N22" s="18" t="n">
        <v>2</v>
      </c>
      <c r="O22" s="18" t="n">
        <v>8</v>
      </c>
      <c r="P22" s="19" t="n">
        <v>0.05</v>
      </c>
      <c r="Q22" s="20" t="n">
        <v>0</v>
      </c>
      <c r="R22" s="14" t="s">
        <v>214</v>
      </c>
      <c r="S22" s="26" t="s">
        <v>140</v>
      </c>
      <c r="T22" s="6" t="s">
        <v>85</v>
      </c>
      <c r="U22" s="14" t="s">
        <v>215</v>
      </c>
      <c r="V22" s="22"/>
      <c r="W22" s="23"/>
      <c r="X22" s="23"/>
      <c r="Y22" s="24"/>
      <c r="Z22" s="25" t="s">
        <v>87</v>
      </c>
      <c r="AA22" s="25" t="s">
        <v>88</v>
      </c>
      <c r="AB22" s="25" t="s">
        <v>89</v>
      </c>
    </row>
    <row r="23" customFormat="false" ht="30" hidden="false" customHeight="true" outlineLevel="0" collapsed="false">
      <c r="A23" s="6" t="n">
        <v>22</v>
      </c>
      <c r="B23" s="6" t="s">
        <v>172</v>
      </c>
      <c r="C23" s="6" t="s">
        <v>216</v>
      </c>
      <c r="D23" s="6" t="s">
        <v>217</v>
      </c>
      <c r="E23" s="6" t="s">
        <v>218</v>
      </c>
      <c r="F23" s="14" t="s">
        <v>219</v>
      </c>
      <c r="G23" s="6" t="s">
        <v>28</v>
      </c>
      <c r="H23" s="6" t="s">
        <v>30</v>
      </c>
      <c r="I23" s="15" t="n">
        <v>9000</v>
      </c>
      <c r="J23" s="16" t="n">
        <v>10000</v>
      </c>
      <c r="K23" s="16" t="n">
        <v>7000</v>
      </c>
      <c r="L23" s="6" t="s">
        <v>177</v>
      </c>
      <c r="M23" s="17" t="n">
        <v>1240000</v>
      </c>
      <c r="N23" s="18" t="n">
        <v>1</v>
      </c>
      <c r="O23" s="18" t="n">
        <v>7</v>
      </c>
      <c r="P23" s="19" t="n">
        <v>0.06</v>
      </c>
      <c r="Q23" s="20" t="n">
        <v>0</v>
      </c>
      <c r="R23" s="14" t="s">
        <v>220</v>
      </c>
      <c r="S23" s="21" t="s">
        <v>84</v>
      </c>
      <c r="T23" s="6" t="s">
        <v>85</v>
      </c>
      <c r="U23" s="14" t="s">
        <v>221</v>
      </c>
      <c r="V23" s="22"/>
      <c r="W23" s="23"/>
      <c r="X23" s="23"/>
      <c r="Y23" s="24"/>
      <c r="Z23" s="25" t="s">
        <v>87</v>
      </c>
      <c r="AA23" s="25" t="s">
        <v>102</v>
      </c>
      <c r="AB23" s="25" t="s">
        <v>89</v>
      </c>
    </row>
    <row r="24" customFormat="false" ht="30" hidden="false" customHeight="true" outlineLevel="0" collapsed="false">
      <c r="A24" s="6" t="n">
        <v>23</v>
      </c>
      <c r="B24" s="6" t="s">
        <v>172</v>
      </c>
      <c r="C24" s="6" t="s">
        <v>222</v>
      </c>
      <c r="D24" s="6" t="s">
        <v>223</v>
      </c>
      <c r="E24" s="6" t="s">
        <v>224</v>
      </c>
      <c r="F24" s="14" t="s">
        <v>225</v>
      </c>
      <c r="G24" s="6" t="s">
        <v>28</v>
      </c>
      <c r="H24" s="6" t="s">
        <v>30</v>
      </c>
      <c r="I24" s="15" t="n">
        <v>28000</v>
      </c>
      <c r="J24" s="16" t="n">
        <v>32000</v>
      </c>
      <c r="K24" s="16" t="n">
        <v>22000</v>
      </c>
      <c r="L24" s="6" t="s">
        <v>177</v>
      </c>
      <c r="M24" s="17" t="n">
        <v>3850000</v>
      </c>
      <c r="N24" s="18" t="n">
        <v>1</v>
      </c>
      <c r="O24" s="18" t="n">
        <v>8</v>
      </c>
      <c r="P24" s="19" t="n">
        <v>0.07</v>
      </c>
      <c r="Q24" s="20" t="n">
        <v>0.5</v>
      </c>
      <c r="R24" s="14" t="s">
        <v>226</v>
      </c>
      <c r="S24" s="26" t="s">
        <v>140</v>
      </c>
      <c r="T24" s="6" t="s">
        <v>85</v>
      </c>
      <c r="U24" s="14" t="s">
        <v>227</v>
      </c>
      <c r="V24" s="22"/>
      <c r="W24" s="23"/>
      <c r="X24" s="23"/>
      <c r="Y24" s="24"/>
      <c r="Z24" s="25" t="s">
        <v>87</v>
      </c>
      <c r="AA24" s="25" t="s">
        <v>102</v>
      </c>
      <c r="AB24" s="25" t="s">
        <v>89</v>
      </c>
    </row>
    <row r="25" customFormat="false" ht="30" hidden="false" customHeight="true" outlineLevel="0" collapsed="false">
      <c r="A25" s="6" t="n">
        <v>24</v>
      </c>
      <c r="B25" s="6" t="s">
        <v>172</v>
      </c>
      <c r="C25" s="6" t="s">
        <v>222</v>
      </c>
      <c r="D25" s="6" t="s">
        <v>228</v>
      </c>
      <c r="E25" s="6" t="s">
        <v>229</v>
      </c>
      <c r="F25" s="14" t="s">
        <v>230</v>
      </c>
      <c r="G25" s="6" t="s">
        <v>28</v>
      </c>
      <c r="H25" s="6" t="s">
        <v>30</v>
      </c>
      <c r="I25" s="15" t="n">
        <v>22000</v>
      </c>
      <c r="J25" s="16" t="n">
        <v>25000</v>
      </c>
      <c r="K25" s="16" t="n">
        <v>17000</v>
      </c>
      <c r="L25" s="6" t="s">
        <v>177</v>
      </c>
      <c r="M25" s="17" t="n">
        <v>3000000</v>
      </c>
      <c r="N25" s="18" t="n">
        <v>1</v>
      </c>
      <c r="O25" s="18" t="n">
        <v>10</v>
      </c>
      <c r="P25" s="19" t="n">
        <v>0.05</v>
      </c>
      <c r="Q25" s="20" t="n">
        <v>0</v>
      </c>
      <c r="R25" s="14" t="s">
        <v>231</v>
      </c>
      <c r="S25" s="21" t="s">
        <v>84</v>
      </c>
      <c r="T25" s="6" t="s">
        <v>85</v>
      </c>
      <c r="U25" s="14" t="s">
        <v>232</v>
      </c>
      <c r="V25" s="22"/>
      <c r="W25" s="23"/>
      <c r="X25" s="23"/>
      <c r="Y25" s="24"/>
      <c r="Z25" s="25" t="s">
        <v>87</v>
      </c>
      <c r="AA25" s="25" t="s">
        <v>88</v>
      </c>
      <c r="AB25" s="25" t="s">
        <v>89</v>
      </c>
    </row>
    <row r="26" customFormat="false" ht="30" hidden="false" customHeight="true" outlineLevel="0" collapsed="false">
      <c r="A26" s="6" t="n">
        <v>25</v>
      </c>
      <c r="B26" s="6" t="s">
        <v>172</v>
      </c>
      <c r="C26" s="6" t="s">
        <v>233</v>
      </c>
      <c r="D26" s="6" t="s">
        <v>234</v>
      </c>
      <c r="E26" s="6" t="s">
        <v>235</v>
      </c>
      <c r="F26" s="14" t="s">
        <v>236</v>
      </c>
      <c r="G26" s="6" t="s">
        <v>30</v>
      </c>
      <c r="H26" s="6" t="s">
        <v>30</v>
      </c>
      <c r="I26" s="15" t="n">
        <v>18000</v>
      </c>
      <c r="J26" s="16" t="n">
        <v>21000</v>
      </c>
      <c r="K26" s="16" t="n">
        <v>14000</v>
      </c>
      <c r="L26" s="6" t="s">
        <v>177</v>
      </c>
      <c r="M26" s="17" t="n">
        <v>2500000</v>
      </c>
      <c r="N26" s="18" t="n">
        <v>1</v>
      </c>
      <c r="O26" s="18" t="n">
        <v>7</v>
      </c>
      <c r="P26" s="19" t="n">
        <v>0.06</v>
      </c>
      <c r="Q26" s="20" t="n">
        <v>0</v>
      </c>
      <c r="R26" s="14" t="s">
        <v>237</v>
      </c>
      <c r="S26" s="21" t="s">
        <v>84</v>
      </c>
      <c r="T26" s="6" t="s">
        <v>85</v>
      </c>
      <c r="U26" s="14" t="s">
        <v>238</v>
      </c>
      <c r="V26" s="22"/>
      <c r="W26" s="23"/>
      <c r="X26" s="23"/>
      <c r="Y26" s="24"/>
      <c r="Z26" s="25" t="s">
        <v>87</v>
      </c>
      <c r="AA26" s="25" t="s">
        <v>88</v>
      </c>
      <c r="AB26" s="25" t="s">
        <v>89</v>
      </c>
    </row>
    <row r="27" customFormat="false" ht="30" hidden="false" customHeight="true" outlineLevel="0" collapsed="false">
      <c r="A27" s="6" t="n">
        <v>26</v>
      </c>
      <c r="B27" s="6" t="s">
        <v>172</v>
      </c>
      <c r="C27" s="6" t="s">
        <v>239</v>
      </c>
      <c r="D27" s="6" t="s">
        <v>240</v>
      </c>
      <c r="E27" s="6" t="s">
        <v>241</v>
      </c>
      <c r="F27" s="14" t="s">
        <v>242</v>
      </c>
      <c r="G27" s="6" t="s">
        <v>28</v>
      </c>
      <c r="H27" s="6" t="s">
        <v>30</v>
      </c>
      <c r="I27" s="15" t="n">
        <v>6500</v>
      </c>
      <c r="J27" s="16" t="n">
        <v>7500</v>
      </c>
      <c r="K27" s="16" t="n">
        <v>4500</v>
      </c>
      <c r="L27" s="6" t="s">
        <v>177</v>
      </c>
      <c r="M27" s="17" t="n">
        <v>900000</v>
      </c>
      <c r="N27" s="18" t="n">
        <v>6</v>
      </c>
      <c r="O27" s="18" t="n">
        <v>8</v>
      </c>
      <c r="P27" s="19" t="n">
        <v>0.06</v>
      </c>
      <c r="Q27" s="20" t="n">
        <v>0</v>
      </c>
      <c r="R27" s="14" t="s">
        <v>243</v>
      </c>
      <c r="S27" s="26" t="s">
        <v>140</v>
      </c>
      <c r="T27" s="6" t="s">
        <v>85</v>
      </c>
      <c r="U27" s="14" t="s">
        <v>244</v>
      </c>
      <c r="V27" s="22"/>
      <c r="W27" s="23"/>
      <c r="X27" s="23"/>
      <c r="Y27" s="24"/>
      <c r="Z27" s="25" t="s">
        <v>245</v>
      </c>
      <c r="AA27" s="25" t="s">
        <v>127</v>
      </c>
      <c r="AB27" s="25" t="s">
        <v>89</v>
      </c>
    </row>
    <row r="28" customFormat="false" ht="30" hidden="false" customHeight="true" outlineLevel="0" collapsed="false">
      <c r="A28" s="6" t="n">
        <v>27</v>
      </c>
      <c r="B28" s="6" t="s">
        <v>246</v>
      </c>
      <c r="C28" s="6" t="s">
        <v>247</v>
      </c>
      <c r="D28" s="6" t="s">
        <v>248</v>
      </c>
      <c r="E28" s="6" t="s">
        <v>249</v>
      </c>
      <c r="F28" s="14" t="s">
        <v>250</v>
      </c>
      <c r="G28" s="6" t="s">
        <v>26</v>
      </c>
      <c r="H28" s="6" t="s">
        <v>28</v>
      </c>
      <c r="I28" s="15" t="n">
        <v>55000</v>
      </c>
      <c r="J28" s="16" t="n">
        <v>66000</v>
      </c>
      <c r="K28" s="16" t="n">
        <v>52000</v>
      </c>
      <c r="L28" s="6" t="s">
        <v>82</v>
      </c>
      <c r="M28" s="17" t="n">
        <v>7600000</v>
      </c>
      <c r="N28" s="18" t="n">
        <v>2</v>
      </c>
      <c r="O28" s="18" t="n">
        <v>20</v>
      </c>
      <c r="P28" s="19" t="n">
        <v>0.03</v>
      </c>
      <c r="Q28" s="20" t="n">
        <v>0.1</v>
      </c>
      <c r="R28" s="14" t="s">
        <v>251</v>
      </c>
      <c r="S28" s="26" t="s">
        <v>140</v>
      </c>
      <c r="T28" s="6" t="s">
        <v>85</v>
      </c>
      <c r="U28" s="14" t="s">
        <v>252</v>
      </c>
      <c r="V28" s="22"/>
      <c r="W28" s="23"/>
      <c r="X28" s="23"/>
      <c r="Y28" s="24"/>
      <c r="Z28" s="25" t="s">
        <v>245</v>
      </c>
      <c r="AA28" s="25" t="s">
        <v>102</v>
      </c>
      <c r="AB28" s="25" t="s">
        <v>89</v>
      </c>
    </row>
    <row r="29" customFormat="false" ht="30" hidden="false" customHeight="true" outlineLevel="0" collapsed="false">
      <c r="A29" s="6" t="n">
        <v>28</v>
      </c>
      <c r="B29" s="6" t="s">
        <v>246</v>
      </c>
      <c r="C29" s="6" t="s">
        <v>253</v>
      </c>
      <c r="D29" s="6" t="s">
        <v>254</v>
      </c>
      <c r="E29" s="6" t="s">
        <v>255</v>
      </c>
      <c r="F29" s="14" t="s">
        <v>256</v>
      </c>
      <c r="G29" s="6" t="s">
        <v>26</v>
      </c>
      <c r="H29" s="6" t="s">
        <v>30</v>
      </c>
      <c r="I29" s="15" t="n">
        <v>60000</v>
      </c>
      <c r="J29" s="16" t="n">
        <v>72000</v>
      </c>
      <c r="K29" s="16" t="n">
        <v>56000</v>
      </c>
      <c r="L29" s="6" t="s">
        <v>82</v>
      </c>
      <c r="M29" s="17" t="n">
        <v>8200000</v>
      </c>
      <c r="N29" s="18" t="n">
        <v>2</v>
      </c>
      <c r="O29" s="18" t="n">
        <v>12</v>
      </c>
      <c r="P29" s="19" t="n">
        <v>0.05</v>
      </c>
      <c r="Q29" s="20" t="n">
        <v>0.5</v>
      </c>
      <c r="R29" s="14" t="s">
        <v>257</v>
      </c>
      <c r="S29" s="21" t="s">
        <v>84</v>
      </c>
      <c r="T29" s="6" t="s">
        <v>85</v>
      </c>
      <c r="U29" s="14" t="s">
        <v>258</v>
      </c>
      <c r="V29" s="22"/>
      <c r="W29" s="23"/>
      <c r="X29" s="23"/>
      <c r="Y29" s="24"/>
      <c r="Z29" s="25" t="s">
        <v>259</v>
      </c>
      <c r="AA29" s="25" t="s">
        <v>127</v>
      </c>
      <c r="AB29" s="25" t="s">
        <v>89</v>
      </c>
    </row>
    <row r="30" customFormat="false" ht="30" hidden="false" customHeight="true" outlineLevel="0" collapsed="false">
      <c r="A30" s="6" t="n">
        <v>29</v>
      </c>
      <c r="B30" s="6" t="s">
        <v>246</v>
      </c>
      <c r="C30" s="6" t="s">
        <v>260</v>
      </c>
      <c r="D30" s="6" t="s">
        <v>261</v>
      </c>
      <c r="E30" s="6" t="s">
        <v>262</v>
      </c>
      <c r="F30" s="14" t="s">
        <v>263</v>
      </c>
      <c r="G30" s="6" t="s">
        <v>26</v>
      </c>
      <c r="H30" s="6" t="s">
        <v>28</v>
      </c>
      <c r="I30" s="15" t="n">
        <v>30000</v>
      </c>
      <c r="J30" s="16" t="n">
        <v>36000</v>
      </c>
      <c r="K30" s="16" t="n">
        <v>28000</v>
      </c>
      <c r="L30" s="6" t="s">
        <v>82</v>
      </c>
      <c r="M30" s="17" t="n">
        <v>4100000</v>
      </c>
      <c r="N30" s="18" t="n">
        <v>2</v>
      </c>
      <c r="O30" s="18" t="n">
        <v>15</v>
      </c>
      <c r="P30" s="19" t="n">
        <v>0.06</v>
      </c>
      <c r="Q30" s="20" t="n">
        <v>0.1</v>
      </c>
      <c r="R30" s="14" t="s">
        <v>264</v>
      </c>
      <c r="S30" s="21" t="s">
        <v>84</v>
      </c>
      <c r="T30" s="6" t="s">
        <v>85</v>
      </c>
      <c r="U30" s="14" t="s">
        <v>265</v>
      </c>
      <c r="V30" s="22"/>
      <c r="W30" s="23"/>
      <c r="X30" s="23"/>
      <c r="Y30" s="24"/>
      <c r="Z30" s="25" t="s">
        <v>266</v>
      </c>
      <c r="AA30" s="25" t="s">
        <v>88</v>
      </c>
      <c r="AB30" s="25" t="s">
        <v>267</v>
      </c>
    </row>
    <row r="31" customFormat="false" ht="30" hidden="false" customHeight="true" outlineLevel="0" collapsed="false">
      <c r="A31" s="6" t="n">
        <v>30</v>
      </c>
      <c r="B31" s="6" t="s">
        <v>246</v>
      </c>
      <c r="C31" s="6" t="s">
        <v>268</v>
      </c>
      <c r="D31" s="6" t="s">
        <v>269</v>
      </c>
      <c r="E31" s="6" t="s">
        <v>270</v>
      </c>
      <c r="F31" s="14" t="s">
        <v>271</v>
      </c>
      <c r="G31" s="6" t="s">
        <v>26</v>
      </c>
      <c r="H31" s="6" t="s">
        <v>26</v>
      </c>
      <c r="I31" s="15" t="n">
        <v>14000</v>
      </c>
      <c r="J31" s="16" t="n">
        <v>16500</v>
      </c>
      <c r="K31" s="16" t="n">
        <v>13000</v>
      </c>
      <c r="L31" s="6" t="s">
        <v>82</v>
      </c>
      <c r="M31" s="17" t="n">
        <v>1900000</v>
      </c>
      <c r="N31" s="18" t="n">
        <v>2</v>
      </c>
      <c r="O31" s="18" t="n">
        <v>12</v>
      </c>
      <c r="P31" s="19" t="n">
        <v>0.03</v>
      </c>
      <c r="Q31" s="20" t="n">
        <v>0.05</v>
      </c>
      <c r="R31" s="14" t="s">
        <v>272</v>
      </c>
      <c r="S31" s="26" t="s">
        <v>140</v>
      </c>
      <c r="T31" s="6" t="s">
        <v>85</v>
      </c>
      <c r="U31" s="14" t="s">
        <v>273</v>
      </c>
      <c r="V31" s="22"/>
      <c r="W31" s="23"/>
      <c r="X31" s="23"/>
      <c r="Y31" s="24"/>
      <c r="Z31" s="25" t="s">
        <v>87</v>
      </c>
      <c r="AA31" s="25" t="s">
        <v>88</v>
      </c>
      <c r="AB31" s="25" t="s">
        <v>89</v>
      </c>
    </row>
    <row r="32" customFormat="false" ht="30" hidden="false" customHeight="true" outlineLevel="0" collapsed="false">
      <c r="A32" s="6" t="n">
        <v>31</v>
      </c>
      <c r="B32" s="6" t="s">
        <v>246</v>
      </c>
      <c r="C32" s="6" t="s">
        <v>274</v>
      </c>
      <c r="D32" s="6" t="s">
        <v>275</v>
      </c>
      <c r="E32" s="6" t="s">
        <v>276</v>
      </c>
      <c r="F32" s="14" t="s">
        <v>277</v>
      </c>
      <c r="G32" s="6" t="s">
        <v>26</v>
      </c>
      <c r="H32" s="6" t="s">
        <v>28</v>
      </c>
      <c r="I32" s="15" t="n">
        <v>16000</v>
      </c>
      <c r="J32" s="16" t="n">
        <v>19000</v>
      </c>
      <c r="K32" s="16" t="n">
        <v>15000</v>
      </c>
      <c r="L32" s="6" t="s">
        <v>82</v>
      </c>
      <c r="M32" s="17" t="n">
        <v>2200000</v>
      </c>
      <c r="N32" s="18" t="n">
        <v>2</v>
      </c>
      <c r="O32" s="18" t="n">
        <v>8</v>
      </c>
      <c r="P32" s="19" t="n">
        <v>0.06</v>
      </c>
      <c r="Q32" s="20" t="n">
        <v>0.2</v>
      </c>
      <c r="R32" s="14" t="s">
        <v>278</v>
      </c>
      <c r="S32" s="26" t="s">
        <v>140</v>
      </c>
      <c r="T32" s="6" t="s">
        <v>85</v>
      </c>
      <c r="U32" s="14" t="s">
        <v>279</v>
      </c>
      <c r="V32" s="22"/>
      <c r="W32" s="23"/>
      <c r="X32" s="23"/>
      <c r="Y32" s="24"/>
      <c r="Z32" s="25" t="s">
        <v>87</v>
      </c>
      <c r="AA32" s="25" t="s">
        <v>102</v>
      </c>
      <c r="AB32" s="25" t="s">
        <v>89</v>
      </c>
    </row>
    <row r="33" customFormat="false" ht="30" hidden="false" customHeight="true" outlineLevel="0" collapsed="false">
      <c r="A33" s="6" t="n">
        <v>32</v>
      </c>
      <c r="B33" s="6" t="s">
        <v>246</v>
      </c>
      <c r="C33" s="6" t="s">
        <v>280</v>
      </c>
      <c r="D33" s="6" t="s">
        <v>281</v>
      </c>
      <c r="E33" s="6" t="s">
        <v>282</v>
      </c>
      <c r="F33" s="14" t="s">
        <v>283</v>
      </c>
      <c r="G33" s="6" t="s">
        <v>26</v>
      </c>
      <c r="H33" s="6" t="s">
        <v>30</v>
      </c>
      <c r="I33" s="15" t="n">
        <v>75000</v>
      </c>
      <c r="J33" s="16" t="n">
        <v>90000</v>
      </c>
      <c r="K33" s="16" t="n">
        <v>70000</v>
      </c>
      <c r="L33" s="6" t="s">
        <v>82</v>
      </c>
      <c r="M33" s="17" t="n">
        <v>8000000</v>
      </c>
      <c r="N33" s="18" t="n">
        <v>1</v>
      </c>
      <c r="O33" s="18" t="n">
        <v>25</v>
      </c>
      <c r="P33" s="19" t="n">
        <v>0.04</v>
      </c>
      <c r="Q33" s="20" t="n">
        <v>1</v>
      </c>
      <c r="R33" s="14" t="s">
        <v>284</v>
      </c>
      <c r="S33" s="26" t="s">
        <v>140</v>
      </c>
      <c r="T33" s="6" t="s">
        <v>85</v>
      </c>
      <c r="U33" s="14" t="s">
        <v>285</v>
      </c>
      <c r="V33" s="22"/>
      <c r="W33" s="23"/>
      <c r="X33" s="23"/>
      <c r="Y33" s="24"/>
      <c r="Z33" s="25" t="s">
        <v>87</v>
      </c>
      <c r="AA33" s="25" t="s">
        <v>102</v>
      </c>
      <c r="AB33" s="25" t="s">
        <v>89</v>
      </c>
    </row>
    <row r="34" customFormat="false" ht="30" hidden="false" customHeight="true" outlineLevel="0" collapsed="false">
      <c r="A34" s="6" t="n">
        <v>33</v>
      </c>
      <c r="B34" s="6" t="s">
        <v>246</v>
      </c>
      <c r="C34" s="6" t="s">
        <v>286</v>
      </c>
      <c r="D34" s="6" t="s">
        <v>287</v>
      </c>
      <c r="E34" s="6" t="s">
        <v>288</v>
      </c>
      <c r="F34" s="14" t="s">
        <v>289</v>
      </c>
      <c r="G34" s="6" t="s">
        <v>26</v>
      </c>
      <c r="H34" s="6" t="s">
        <v>28</v>
      </c>
      <c r="I34" s="15" t="n">
        <v>50000</v>
      </c>
      <c r="J34" s="16" t="n">
        <v>60000</v>
      </c>
      <c r="K34" s="16" t="n">
        <v>47000</v>
      </c>
      <c r="L34" s="6" t="s">
        <v>82</v>
      </c>
      <c r="M34" s="17" t="n">
        <v>5200000</v>
      </c>
      <c r="N34" s="18" t="n">
        <v>1</v>
      </c>
      <c r="O34" s="18" t="n">
        <v>25</v>
      </c>
      <c r="P34" s="19" t="n">
        <v>0.04</v>
      </c>
      <c r="Q34" s="20" t="n">
        <v>0.5</v>
      </c>
      <c r="R34" s="14" t="s">
        <v>290</v>
      </c>
      <c r="S34" s="21" t="s">
        <v>84</v>
      </c>
      <c r="T34" s="6" t="s">
        <v>85</v>
      </c>
      <c r="U34" s="14" t="s">
        <v>291</v>
      </c>
      <c r="V34" s="22"/>
      <c r="W34" s="23"/>
      <c r="X34" s="23"/>
      <c r="Y34" s="24"/>
      <c r="Z34" s="25" t="s">
        <v>87</v>
      </c>
      <c r="AA34" s="25" t="s">
        <v>88</v>
      </c>
      <c r="AB34" s="25" t="s">
        <v>89</v>
      </c>
    </row>
    <row r="35" customFormat="false" ht="30" hidden="false" customHeight="true" outlineLevel="0" collapsed="false">
      <c r="A35" s="6" t="n">
        <v>34</v>
      </c>
      <c r="B35" s="6" t="s">
        <v>246</v>
      </c>
      <c r="C35" s="6" t="s">
        <v>292</v>
      </c>
      <c r="D35" s="6" t="s">
        <v>293</v>
      </c>
      <c r="E35" s="6" t="s">
        <v>294</v>
      </c>
      <c r="F35" s="14" t="s">
        <v>295</v>
      </c>
      <c r="G35" s="6" t="s">
        <v>26</v>
      </c>
      <c r="H35" s="6" t="s">
        <v>30</v>
      </c>
      <c r="I35" s="15" t="n">
        <v>45000</v>
      </c>
      <c r="J35" s="16" t="n">
        <v>55000</v>
      </c>
      <c r="K35" s="16" t="n">
        <v>42000</v>
      </c>
      <c r="L35" s="6" t="s">
        <v>82</v>
      </c>
      <c r="M35" s="17" t="n">
        <v>4500000</v>
      </c>
      <c r="N35" s="18" t="n">
        <v>1</v>
      </c>
      <c r="O35" s="18" t="n">
        <v>30</v>
      </c>
      <c r="P35" s="19" t="n">
        <v>0.06</v>
      </c>
      <c r="Q35" s="20" t="n">
        <v>0.5</v>
      </c>
      <c r="R35" s="14" t="s">
        <v>296</v>
      </c>
      <c r="S35" s="21" t="s">
        <v>84</v>
      </c>
      <c r="T35" s="6" t="s">
        <v>85</v>
      </c>
      <c r="U35" s="14" t="s">
        <v>297</v>
      </c>
      <c r="V35" s="22"/>
      <c r="W35" s="23"/>
      <c r="X35" s="23"/>
      <c r="Y35" s="24"/>
      <c r="Z35" s="25" t="s">
        <v>87</v>
      </c>
      <c r="AA35" s="25" t="s">
        <v>102</v>
      </c>
      <c r="AB35" s="25" t="s">
        <v>89</v>
      </c>
    </row>
    <row r="36" customFormat="false" ht="30" hidden="false" customHeight="true" outlineLevel="0" collapsed="false">
      <c r="A36" s="6" t="n">
        <v>35</v>
      </c>
      <c r="B36" s="6" t="s">
        <v>246</v>
      </c>
      <c r="C36" s="6" t="s">
        <v>298</v>
      </c>
      <c r="D36" s="6" t="s">
        <v>299</v>
      </c>
      <c r="E36" s="6" t="s">
        <v>300</v>
      </c>
      <c r="F36" s="14" t="s">
        <v>301</v>
      </c>
      <c r="G36" s="6" t="s">
        <v>26</v>
      </c>
      <c r="H36" s="6" t="s">
        <v>30</v>
      </c>
      <c r="I36" s="15" t="n">
        <v>120000</v>
      </c>
      <c r="J36" s="16" t="n">
        <v>145000</v>
      </c>
      <c r="K36" s="16" t="n">
        <v>115000</v>
      </c>
      <c r="L36" s="6" t="s">
        <v>82</v>
      </c>
      <c r="M36" s="17" t="n">
        <v>16500000</v>
      </c>
      <c r="N36" s="18" t="n">
        <v>1</v>
      </c>
      <c r="O36" s="18" t="n">
        <v>15</v>
      </c>
      <c r="P36" s="19" t="n">
        <v>0.07</v>
      </c>
      <c r="Q36" s="20" t="n">
        <v>0.1</v>
      </c>
      <c r="R36" s="14" t="s">
        <v>302</v>
      </c>
      <c r="S36" s="21" t="s">
        <v>84</v>
      </c>
      <c r="T36" s="6" t="s">
        <v>85</v>
      </c>
      <c r="U36" s="14" t="s">
        <v>303</v>
      </c>
      <c r="V36" s="22"/>
      <c r="W36" s="23"/>
      <c r="X36" s="23"/>
      <c r="Y36" s="24"/>
      <c r="Z36" s="25" t="s">
        <v>87</v>
      </c>
      <c r="AA36" s="25" t="s">
        <v>102</v>
      </c>
      <c r="AB36" s="25" t="s">
        <v>89</v>
      </c>
    </row>
    <row r="37" customFormat="false" ht="30" hidden="false" customHeight="true" outlineLevel="0" collapsed="false">
      <c r="A37" s="6" t="n">
        <v>36</v>
      </c>
      <c r="B37" s="6" t="s">
        <v>246</v>
      </c>
      <c r="C37" s="6" t="s">
        <v>304</v>
      </c>
      <c r="D37" s="6" t="s">
        <v>305</v>
      </c>
      <c r="E37" s="6" t="s">
        <v>306</v>
      </c>
      <c r="F37" s="14" t="s">
        <v>307</v>
      </c>
      <c r="G37" s="6" t="s">
        <v>26</v>
      </c>
      <c r="H37" s="6" t="s">
        <v>30</v>
      </c>
      <c r="I37" s="15" t="n">
        <v>220000</v>
      </c>
      <c r="J37" s="16" t="n">
        <v>260000</v>
      </c>
      <c r="K37" s="16" t="n">
        <v>200000</v>
      </c>
      <c r="L37" s="6" t="s">
        <v>82</v>
      </c>
      <c r="M37" s="17" t="n">
        <v>28000000</v>
      </c>
      <c r="N37" s="18" t="n">
        <v>1</v>
      </c>
      <c r="O37" s="18" t="n">
        <v>10</v>
      </c>
      <c r="P37" s="19" t="n">
        <v>0.06</v>
      </c>
      <c r="Q37" s="20" t="n">
        <v>0.5</v>
      </c>
      <c r="R37" s="14" t="s">
        <v>308</v>
      </c>
      <c r="S37" s="21" t="s">
        <v>84</v>
      </c>
      <c r="T37" s="6" t="s">
        <v>85</v>
      </c>
      <c r="U37" s="14" t="s">
        <v>309</v>
      </c>
      <c r="V37" s="22"/>
      <c r="W37" s="23"/>
      <c r="X37" s="23"/>
      <c r="Y37" s="24"/>
      <c r="Z37" s="25" t="s">
        <v>87</v>
      </c>
      <c r="AA37" s="25" t="s">
        <v>88</v>
      </c>
      <c r="AB37" s="25" t="s">
        <v>89</v>
      </c>
    </row>
    <row r="38" customFormat="false" ht="30" hidden="false" customHeight="true" outlineLevel="0" collapsed="false">
      <c r="A38" s="6" t="n">
        <v>37</v>
      </c>
      <c r="B38" s="6" t="s">
        <v>310</v>
      </c>
      <c r="C38" s="6" t="s">
        <v>311</v>
      </c>
      <c r="D38" s="6" t="s">
        <v>312</v>
      </c>
      <c r="E38" s="6" t="s">
        <v>313</v>
      </c>
      <c r="F38" s="14" t="s">
        <v>314</v>
      </c>
      <c r="G38" s="6" t="s">
        <v>30</v>
      </c>
      <c r="H38" s="6" t="s">
        <v>30</v>
      </c>
      <c r="I38" s="15" t="n">
        <v>70000</v>
      </c>
      <c r="J38" s="16" t="n">
        <v>80000</v>
      </c>
      <c r="K38" s="16" t="n">
        <v>55000</v>
      </c>
      <c r="L38" s="6" t="s">
        <v>177</v>
      </c>
      <c r="M38" s="17" t="n">
        <v>9700000</v>
      </c>
      <c r="N38" s="18" t="n">
        <v>1</v>
      </c>
      <c r="O38" s="18" t="n">
        <v>8</v>
      </c>
      <c r="P38" s="19" t="n">
        <v>0.06</v>
      </c>
      <c r="Q38" s="20" t="n">
        <v>0.2</v>
      </c>
      <c r="R38" s="14" t="s">
        <v>315</v>
      </c>
      <c r="S38" s="21" t="s">
        <v>84</v>
      </c>
      <c r="T38" s="6" t="s">
        <v>85</v>
      </c>
      <c r="U38" s="14" t="s">
        <v>316</v>
      </c>
      <c r="V38" s="22"/>
      <c r="W38" s="23"/>
      <c r="X38" s="23"/>
      <c r="Y38" s="24"/>
      <c r="Z38" s="25" t="s">
        <v>245</v>
      </c>
      <c r="AA38" s="25" t="s">
        <v>88</v>
      </c>
      <c r="AB38" s="25" t="s">
        <v>89</v>
      </c>
    </row>
    <row r="39" customFormat="false" ht="30" hidden="false" customHeight="true" outlineLevel="0" collapsed="false">
      <c r="A39" s="6" t="n">
        <v>38</v>
      </c>
      <c r="B39" s="6" t="s">
        <v>310</v>
      </c>
      <c r="C39" s="6" t="s">
        <v>311</v>
      </c>
      <c r="D39" s="6" t="s">
        <v>317</v>
      </c>
      <c r="E39" s="6" t="s">
        <v>318</v>
      </c>
      <c r="F39" s="14" t="s">
        <v>319</v>
      </c>
      <c r="G39" s="6" t="s">
        <v>30</v>
      </c>
      <c r="H39" s="6" t="s">
        <v>30</v>
      </c>
      <c r="I39" s="15" t="n">
        <v>90000</v>
      </c>
      <c r="J39" s="16" t="n">
        <v>105000</v>
      </c>
      <c r="K39" s="16" t="n">
        <v>75000</v>
      </c>
      <c r="L39" s="6" t="s">
        <v>201</v>
      </c>
      <c r="M39" s="17" t="n">
        <v>12400000</v>
      </c>
      <c r="N39" s="18" t="n">
        <v>1</v>
      </c>
      <c r="O39" s="18" t="n">
        <v>8</v>
      </c>
      <c r="P39" s="19" t="n">
        <v>0.1</v>
      </c>
      <c r="Q39" s="20" t="n">
        <v>0.2</v>
      </c>
      <c r="R39" s="14" t="s">
        <v>320</v>
      </c>
      <c r="S39" s="27" t="s">
        <v>321</v>
      </c>
      <c r="T39" s="6" t="s">
        <v>85</v>
      </c>
      <c r="U39" s="14" t="s">
        <v>322</v>
      </c>
      <c r="V39" s="22"/>
      <c r="W39" s="23"/>
      <c r="X39" s="23"/>
      <c r="Y39" s="24"/>
      <c r="Z39" s="25" t="s">
        <v>87</v>
      </c>
      <c r="AA39" s="25" t="s">
        <v>102</v>
      </c>
      <c r="AB39" s="25" t="s">
        <v>89</v>
      </c>
    </row>
    <row r="40" customFormat="false" ht="30" hidden="false" customHeight="true" outlineLevel="0" collapsed="false">
      <c r="A40" s="6" t="n">
        <v>39</v>
      </c>
      <c r="B40" s="6" t="s">
        <v>310</v>
      </c>
      <c r="C40" s="6" t="s">
        <v>323</v>
      </c>
      <c r="D40" s="6" t="s">
        <v>324</v>
      </c>
      <c r="E40" s="6" t="s">
        <v>325</v>
      </c>
      <c r="F40" s="14" t="s">
        <v>326</v>
      </c>
      <c r="G40" s="6" t="s">
        <v>30</v>
      </c>
      <c r="H40" s="6" t="s">
        <v>30</v>
      </c>
      <c r="I40" s="15" t="n">
        <v>850000</v>
      </c>
      <c r="J40" s="16" t="n">
        <v>950000</v>
      </c>
      <c r="K40" s="16" t="n">
        <v>700000</v>
      </c>
      <c r="L40" s="6" t="s">
        <v>201</v>
      </c>
      <c r="M40" s="17" t="n">
        <v>117000000</v>
      </c>
      <c r="N40" s="18" t="n">
        <v>1</v>
      </c>
      <c r="O40" s="18" t="n">
        <v>10</v>
      </c>
      <c r="P40" s="19" t="n">
        <v>0.08</v>
      </c>
      <c r="Q40" s="20" t="n">
        <v>1</v>
      </c>
      <c r="R40" s="14" t="s">
        <v>327</v>
      </c>
      <c r="S40" s="21" t="s">
        <v>84</v>
      </c>
      <c r="T40" s="6" t="s">
        <v>85</v>
      </c>
      <c r="U40" s="14" t="s">
        <v>328</v>
      </c>
      <c r="V40" s="22"/>
      <c r="W40" s="23"/>
      <c r="X40" s="23"/>
      <c r="Y40" s="24"/>
      <c r="Z40" s="25" t="s">
        <v>329</v>
      </c>
      <c r="AA40" s="25" t="s">
        <v>88</v>
      </c>
      <c r="AB40" s="25" t="s">
        <v>89</v>
      </c>
    </row>
    <row r="41" customFormat="false" ht="30" hidden="false" customHeight="true" outlineLevel="0" collapsed="false">
      <c r="A41" s="6" t="n">
        <v>40</v>
      </c>
      <c r="B41" s="6" t="s">
        <v>310</v>
      </c>
      <c r="C41" s="6" t="s">
        <v>330</v>
      </c>
      <c r="D41" s="6" t="s">
        <v>331</v>
      </c>
      <c r="E41" s="6" t="s">
        <v>332</v>
      </c>
      <c r="F41" s="14" t="s">
        <v>333</v>
      </c>
      <c r="G41" s="6" t="s">
        <v>30</v>
      </c>
      <c r="H41" s="6" t="s">
        <v>30</v>
      </c>
      <c r="I41" s="15" t="n">
        <v>45000</v>
      </c>
      <c r="J41" s="16" t="n">
        <v>50000</v>
      </c>
      <c r="K41" s="16" t="n">
        <v>35000</v>
      </c>
      <c r="L41" s="6" t="s">
        <v>201</v>
      </c>
      <c r="M41" s="17" t="n">
        <v>6200000</v>
      </c>
      <c r="N41" s="18" t="n">
        <v>1</v>
      </c>
      <c r="O41" s="18" t="n">
        <v>7</v>
      </c>
      <c r="P41" s="19" t="n">
        <v>0.2</v>
      </c>
      <c r="Q41" s="20" t="n">
        <v>0</v>
      </c>
      <c r="R41" s="14" t="s">
        <v>334</v>
      </c>
      <c r="S41" s="27" t="s">
        <v>321</v>
      </c>
      <c r="T41" s="6" t="s">
        <v>85</v>
      </c>
      <c r="U41" s="14" t="s">
        <v>335</v>
      </c>
      <c r="V41" s="22"/>
      <c r="W41" s="23"/>
      <c r="X41" s="23"/>
      <c r="Y41" s="24"/>
      <c r="Z41" s="25" t="s">
        <v>87</v>
      </c>
      <c r="AA41" s="25" t="s">
        <v>88</v>
      </c>
      <c r="AB41" s="25" t="s">
        <v>89</v>
      </c>
    </row>
    <row r="42" customFormat="false" ht="30" hidden="false" customHeight="true" outlineLevel="0" collapsed="false">
      <c r="A42" s="6" t="n">
        <v>41</v>
      </c>
      <c r="B42" s="6" t="s">
        <v>310</v>
      </c>
      <c r="C42" s="6" t="s">
        <v>336</v>
      </c>
      <c r="D42" s="6" t="s">
        <v>337</v>
      </c>
      <c r="E42" s="6" t="s">
        <v>338</v>
      </c>
      <c r="F42" s="14" t="s">
        <v>339</v>
      </c>
      <c r="G42" s="6" t="s">
        <v>28</v>
      </c>
      <c r="H42" s="6" t="s">
        <v>30</v>
      </c>
      <c r="I42" s="15" t="n">
        <v>95000</v>
      </c>
      <c r="J42" s="16" t="n">
        <v>110000</v>
      </c>
      <c r="K42" s="16" t="n">
        <v>85000</v>
      </c>
      <c r="L42" s="6" t="s">
        <v>201</v>
      </c>
      <c r="M42" s="17" t="n">
        <v>13000000</v>
      </c>
      <c r="N42" s="18" t="n">
        <v>1</v>
      </c>
      <c r="O42" s="18" t="n">
        <v>10</v>
      </c>
      <c r="P42" s="19" t="n">
        <v>0.07</v>
      </c>
      <c r="Q42" s="20" t="n">
        <v>0.5</v>
      </c>
      <c r="R42" s="14" t="s">
        <v>340</v>
      </c>
      <c r="S42" s="26" t="s">
        <v>140</v>
      </c>
      <c r="T42" s="6" t="s">
        <v>85</v>
      </c>
      <c r="U42" s="14" t="s">
        <v>341</v>
      </c>
      <c r="V42" s="22"/>
      <c r="W42" s="23"/>
      <c r="X42" s="23"/>
      <c r="Y42" s="24"/>
      <c r="Z42" s="25" t="s">
        <v>87</v>
      </c>
      <c r="AA42" s="25" t="s">
        <v>102</v>
      </c>
      <c r="AB42" s="25" t="s">
        <v>89</v>
      </c>
    </row>
    <row r="43" customFormat="false" ht="30" hidden="false" customHeight="true" outlineLevel="0" collapsed="false">
      <c r="A43" s="6" t="n">
        <v>42</v>
      </c>
      <c r="B43" s="6" t="s">
        <v>310</v>
      </c>
      <c r="C43" s="6" t="s">
        <v>342</v>
      </c>
      <c r="D43" s="6" t="s">
        <v>343</v>
      </c>
      <c r="E43" s="6" t="s">
        <v>344</v>
      </c>
      <c r="F43" s="14" t="s">
        <v>345</v>
      </c>
      <c r="G43" s="6" t="s">
        <v>30</v>
      </c>
      <c r="H43" s="6" t="s">
        <v>30</v>
      </c>
      <c r="I43" s="15" t="n">
        <v>80000</v>
      </c>
      <c r="J43" s="16" t="n">
        <v>95000</v>
      </c>
      <c r="K43" s="16" t="n">
        <v>65000</v>
      </c>
      <c r="L43" s="6" t="s">
        <v>201</v>
      </c>
      <c r="M43" s="17" t="n">
        <v>11000000</v>
      </c>
      <c r="N43" s="18" t="n">
        <v>1</v>
      </c>
      <c r="O43" s="18" t="n">
        <v>7</v>
      </c>
      <c r="P43" s="19" t="n">
        <v>0.18</v>
      </c>
      <c r="Q43" s="20" t="n">
        <v>0.2</v>
      </c>
      <c r="R43" s="14" t="s">
        <v>346</v>
      </c>
      <c r="S43" s="21" t="s">
        <v>84</v>
      </c>
      <c r="T43" s="6" t="s">
        <v>85</v>
      </c>
      <c r="U43" s="14" t="s">
        <v>347</v>
      </c>
      <c r="V43" s="22"/>
      <c r="W43" s="23"/>
      <c r="X43" s="23"/>
      <c r="Y43" s="24"/>
      <c r="Z43" s="25" t="s">
        <v>87</v>
      </c>
      <c r="AA43" s="25" t="s">
        <v>88</v>
      </c>
      <c r="AB43" s="25" t="s">
        <v>89</v>
      </c>
    </row>
    <row r="44" customFormat="false" ht="30" hidden="false" customHeight="true" outlineLevel="0" collapsed="false">
      <c r="A44" s="6" t="n">
        <v>43</v>
      </c>
      <c r="B44" s="6" t="s">
        <v>310</v>
      </c>
      <c r="C44" s="6" t="s">
        <v>348</v>
      </c>
      <c r="D44" s="6" t="s">
        <v>349</v>
      </c>
      <c r="E44" s="6" t="s">
        <v>350</v>
      </c>
      <c r="F44" s="14" t="s">
        <v>351</v>
      </c>
      <c r="G44" s="6" t="s">
        <v>30</v>
      </c>
      <c r="H44" s="6" t="s">
        <v>28</v>
      </c>
      <c r="I44" s="15" t="n">
        <v>950000</v>
      </c>
      <c r="J44" s="16" t="n">
        <v>1100000</v>
      </c>
      <c r="K44" s="16" t="n">
        <v>850000</v>
      </c>
      <c r="L44" s="6" t="s">
        <v>201</v>
      </c>
      <c r="M44" s="17" t="n">
        <v>130000000</v>
      </c>
      <c r="N44" s="18" t="n">
        <v>1</v>
      </c>
      <c r="O44" s="18" t="n">
        <v>10</v>
      </c>
      <c r="P44" s="19" t="n">
        <v>0.08</v>
      </c>
      <c r="Q44" s="20" t="n">
        <v>1</v>
      </c>
      <c r="R44" s="14" t="s">
        <v>352</v>
      </c>
      <c r="S44" s="21" t="s">
        <v>84</v>
      </c>
      <c r="T44" s="6" t="s">
        <v>85</v>
      </c>
      <c r="U44" s="14" t="s">
        <v>353</v>
      </c>
      <c r="V44" s="22"/>
      <c r="W44" s="23"/>
      <c r="X44" s="23"/>
      <c r="Y44" s="24"/>
      <c r="Z44" s="25" t="s">
        <v>245</v>
      </c>
      <c r="AA44" s="25" t="s">
        <v>102</v>
      </c>
      <c r="AB44" s="25" t="s">
        <v>89</v>
      </c>
    </row>
    <row r="45" customFormat="false" ht="30" hidden="false" customHeight="true" outlineLevel="0" collapsed="false">
      <c r="A45" s="6" t="n">
        <v>44</v>
      </c>
      <c r="B45" s="6" t="s">
        <v>310</v>
      </c>
      <c r="C45" s="6" t="s">
        <v>348</v>
      </c>
      <c r="D45" s="6" t="s">
        <v>354</v>
      </c>
      <c r="E45" s="6" t="s">
        <v>355</v>
      </c>
      <c r="F45" s="14" t="s">
        <v>356</v>
      </c>
      <c r="G45" s="6" t="s">
        <v>30</v>
      </c>
      <c r="H45" s="6" t="s">
        <v>30</v>
      </c>
      <c r="I45" s="15" t="n">
        <v>2100000</v>
      </c>
      <c r="J45" s="16" t="n">
        <v>2400000</v>
      </c>
      <c r="K45" s="16" t="n">
        <v>1850000</v>
      </c>
      <c r="L45" s="6" t="s">
        <v>201</v>
      </c>
      <c r="M45" s="17" t="n">
        <v>290000000</v>
      </c>
      <c r="N45" s="18" t="n">
        <v>1</v>
      </c>
      <c r="O45" s="18" t="n">
        <v>10</v>
      </c>
      <c r="P45" s="19" t="n">
        <v>0.08</v>
      </c>
      <c r="Q45" s="20" t="n">
        <v>1.5</v>
      </c>
      <c r="R45" s="14" t="s">
        <v>357</v>
      </c>
      <c r="S45" s="21" t="s">
        <v>84</v>
      </c>
      <c r="T45" s="6" t="s">
        <v>85</v>
      </c>
      <c r="U45" s="14" t="s">
        <v>358</v>
      </c>
      <c r="V45" s="22"/>
      <c r="W45" s="23"/>
      <c r="X45" s="23"/>
      <c r="Y45" s="24"/>
      <c r="Z45" s="25" t="s">
        <v>87</v>
      </c>
      <c r="AA45" s="25" t="s">
        <v>88</v>
      </c>
      <c r="AB45" s="25" t="s">
        <v>89</v>
      </c>
    </row>
    <row r="46" customFormat="false" ht="30" hidden="false" customHeight="true" outlineLevel="0" collapsed="false">
      <c r="A46" s="6" t="n">
        <v>45</v>
      </c>
      <c r="B46" s="6" t="s">
        <v>310</v>
      </c>
      <c r="C46" s="6" t="s">
        <v>359</v>
      </c>
      <c r="D46" s="6" t="s">
        <v>360</v>
      </c>
      <c r="E46" s="6" t="s">
        <v>361</v>
      </c>
      <c r="F46" s="14" t="s">
        <v>362</v>
      </c>
      <c r="G46" s="6" t="s">
        <v>30</v>
      </c>
      <c r="H46" s="6" t="s">
        <v>30</v>
      </c>
      <c r="I46" s="15" t="n">
        <v>280000</v>
      </c>
      <c r="J46" s="16" t="n">
        <v>320000</v>
      </c>
      <c r="K46" s="16" t="n">
        <v>220000</v>
      </c>
      <c r="L46" s="6" t="s">
        <v>201</v>
      </c>
      <c r="M46" s="17" t="n">
        <v>38500000</v>
      </c>
      <c r="N46" s="18" t="n">
        <v>1</v>
      </c>
      <c r="O46" s="18" t="n">
        <v>10</v>
      </c>
      <c r="P46" s="19" t="n">
        <v>0.08</v>
      </c>
      <c r="Q46" s="20" t="n">
        <v>0.5</v>
      </c>
      <c r="R46" s="14" t="s">
        <v>363</v>
      </c>
      <c r="S46" s="21" t="s">
        <v>84</v>
      </c>
      <c r="T46" s="6" t="s">
        <v>85</v>
      </c>
      <c r="U46" s="14" t="s">
        <v>364</v>
      </c>
      <c r="V46" s="22"/>
      <c r="W46" s="23"/>
      <c r="X46" s="23"/>
      <c r="Y46" s="24"/>
      <c r="Z46" s="25" t="s">
        <v>87</v>
      </c>
      <c r="AA46" s="25" t="s">
        <v>88</v>
      </c>
      <c r="AB46" s="25" t="s">
        <v>89</v>
      </c>
    </row>
    <row r="47" customFormat="false" ht="30" hidden="false" customHeight="true" outlineLevel="0" collapsed="false">
      <c r="A47" s="6" t="n">
        <v>46</v>
      </c>
      <c r="B47" s="6" t="s">
        <v>310</v>
      </c>
      <c r="C47" s="6" t="s">
        <v>365</v>
      </c>
      <c r="D47" s="6" t="s">
        <v>366</v>
      </c>
      <c r="E47" s="6" t="s">
        <v>367</v>
      </c>
      <c r="F47" s="14" t="s">
        <v>368</v>
      </c>
      <c r="G47" s="6" t="s">
        <v>28</v>
      </c>
      <c r="H47" s="6" t="s">
        <v>30</v>
      </c>
      <c r="I47" s="15" t="n">
        <v>95000</v>
      </c>
      <c r="J47" s="16" t="n">
        <v>110000</v>
      </c>
      <c r="K47" s="16" t="n">
        <v>75000</v>
      </c>
      <c r="L47" s="6" t="s">
        <v>177</v>
      </c>
      <c r="M47" s="17" t="n">
        <v>13000000</v>
      </c>
      <c r="N47" s="18" t="n">
        <v>1</v>
      </c>
      <c r="O47" s="18" t="n">
        <v>8</v>
      </c>
      <c r="P47" s="19" t="n">
        <v>0.08</v>
      </c>
      <c r="Q47" s="20" t="n">
        <v>0.5</v>
      </c>
      <c r="R47" s="14" t="s">
        <v>369</v>
      </c>
      <c r="S47" s="26" t="s">
        <v>140</v>
      </c>
      <c r="T47" s="6" t="s">
        <v>85</v>
      </c>
      <c r="U47" s="14" t="s">
        <v>370</v>
      </c>
      <c r="V47" s="22"/>
      <c r="W47" s="23"/>
      <c r="X47" s="23"/>
      <c r="Y47" s="24"/>
      <c r="Z47" s="25" t="s">
        <v>87</v>
      </c>
      <c r="AA47" s="25" t="s">
        <v>88</v>
      </c>
      <c r="AB47" s="25" t="s">
        <v>89</v>
      </c>
    </row>
    <row r="48" customFormat="false" ht="30" hidden="false" customHeight="true" outlineLevel="0" collapsed="false">
      <c r="A48" s="6" t="n">
        <v>47</v>
      </c>
      <c r="B48" s="6" t="s">
        <v>310</v>
      </c>
      <c r="C48" s="6" t="s">
        <v>365</v>
      </c>
      <c r="D48" s="6" t="s">
        <v>371</v>
      </c>
      <c r="E48" s="6" t="s">
        <v>372</v>
      </c>
      <c r="F48" s="14" t="s">
        <v>373</v>
      </c>
      <c r="G48" s="6" t="s">
        <v>28</v>
      </c>
      <c r="H48" s="6" t="s">
        <v>30</v>
      </c>
      <c r="I48" s="15" t="n">
        <v>35000</v>
      </c>
      <c r="J48" s="16" t="n">
        <v>40000</v>
      </c>
      <c r="K48" s="16" t="n">
        <v>28000</v>
      </c>
      <c r="L48" s="6" t="s">
        <v>177</v>
      </c>
      <c r="M48" s="17" t="n">
        <v>4800000</v>
      </c>
      <c r="N48" s="18" t="n">
        <v>1</v>
      </c>
      <c r="O48" s="18" t="n">
        <v>7</v>
      </c>
      <c r="P48" s="19" t="n">
        <v>0.07</v>
      </c>
      <c r="Q48" s="20" t="n">
        <v>0</v>
      </c>
      <c r="R48" s="14" t="s">
        <v>374</v>
      </c>
      <c r="S48" s="21" t="s">
        <v>84</v>
      </c>
      <c r="T48" s="6" t="s">
        <v>85</v>
      </c>
      <c r="U48" s="14" t="s">
        <v>375</v>
      </c>
      <c r="V48" s="22"/>
      <c r="W48" s="23"/>
      <c r="X48" s="23"/>
      <c r="Y48" s="24"/>
      <c r="Z48" s="25" t="s">
        <v>87</v>
      </c>
      <c r="AA48" s="25" t="s">
        <v>88</v>
      </c>
      <c r="AB48" s="25" t="s">
        <v>89</v>
      </c>
    </row>
    <row r="49" customFormat="false" ht="30" hidden="false" customHeight="true" outlineLevel="0" collapsed="false">
      <c r="A49" s="6" t="n">
        <v>48</v>
      </c>
      <c r="B49" s="6" t="s">
        <v>310</v>
      </c>
      <c r="C49" s="6" t="s">
        <v>365</v>
      </c>
      <c r="D49" s="6" t="s">
        <v>376</v>
      </c>
      <c r="E49" s="6" t="s">
        <v>377</v>
      </c>
      <c r="F49" s="14" t="s">
        <v>378</v>
      </c>
      <c r="G49" s="6" t="s">
        <v>28</v>
      </c>
      <c r="H49" s="6" t="s">
        <v>30</v>
      </c>
      <c r="I49" s="15" t="n">
        <v>130000</v>
      </c>
      <c r="J49" s="16" t="n">
        <v>150000</v>
      </c>
      <c r="K49" s="16" t="n">
        <v>110000</v>
      </c>
      <c r="L49" s="6" t="s">
        <v>201</v>
      </c>
      <c r="M49" s="17" t="n">
        <v>18000000</v>
      </c>
      <c r="N49" s="18" t="n">
        <v>1</v>
      </c>
      <c r="O49" s="18" t="n">
        <v>8</v>
      </c>
      <c r="P49" s="19" t="n">
        <v>0.08</v>
      </c>
      <c r="Q49" s="20" t="n">
        <v>0.5</v>
      </c>
      <c r="R49" s="14" t="s">
        <v>379</v>
      </c>
      <c r="S49" s="26" t="s">
        <v>140</v>
      </c>
      <c r="T49" s="6" t="s">
        <v>85</v>
      </c>
      <c r="U49" s="14" t="s">
        <v>380</v>
      </c>
      <c r="V49" s="22"/>
      <c r="W49" s="23"/>
      <c r="X49" s="23"/>
      <c r="Y49" s="24"/>
      <c r="Z49" s="25" t="s">
        <v>87</v>
      </c>
      <c r="AA49" s="25" t="s">
        <v>102</v>
      </c>
      <c r="AB49" s="25" t="s">
        <v>89</v>
      </c>
    </row>
    <row r="50" customFormat="false" ht="30" hidden="false" customHeight="true" outlineLevel="0" collapsed="false">
      <c r="A50" s="6" t="n">
        <v>49</v>
      </c>
      <c r="B50" s="6" t="s">
        <v>310</v>
      </c>
      <c r="C50" s="6" t="s">
        <v>381</v>
      </c>
      <c r="D50" s="6" t="s">
        <v>382</v>
      </c>
      <c r="E50" s="6" t="s">
        <v>383</v>
      </c>
      <c r="F50" s="14" t="s">
        <v>384</v>
      </c>
      <c r="G50" s="6" t="s">
        <v>28</v>
      </c>
      <c r="H50" s="6" t="s">
        <v>30</v>
      </c>
      <c r="I50" s="15" t="n">
        <v>130000</v>
      </c>
      <c r="J50" s="16" t="n">
        <v>150000</v>
      </c>
      <c r="K50" s="16" t="n">
        <v>95000</v>
      </c>
      <c r="L50" s="6" t="s">
        <v>177</v>
      </c>
      <c r="M50" s="17" t="n">
        <v>18000000</v>
      </c>
      <c r="N50" s="18" t="n">
        <v>1</v>
      </c>
      <c r="O50" s="18" t="n">
        <v>10</v>
      </c>
      <c r="P50" s="19" t="n">
        <v>0.06</v>
      </c>
      <c r="Q50" s="20" t="n">
        <v>0.5</v>
      </c>
      <c r="R50" s="14" t="s">
        <v>385</v>
      </c>
      <c r="S50" s="26" t="s">
        <v>140</v>
      </c>
      <c r="T50" s="6" t="s">
        <v>85</v>
      </c>
      <c r="U50" s="14" t="s">
        <v>386</v>
      </c>
      <c r="V50" s="22"/>
      <c r="W50" s="23"/>
      <c r="X50" s="23"/>
      <c r="Y50" s="24"/>
      <c r="Z50" s="25" t="s">
        <v>87</v>
      </c>
      <c r="AA50" s="25" t="s">
        <v>88</v>
      </c>
      <c r="AB50" s="25" t="s">
        <v>89</v>
      </c>
    </row>
    <row r="51" customFormat="false" ht="30" hidden="false" customHeight="true" outlineLevel="0" collapsed="false">
      <c r="A51" s="6" t="n">
        <v>50</v>
      </c>
      <c r="B51" s="6" t="s">
        <v>387</v>
      </c>
      <c r="C51" s="6" t="s">
        <v>388</v>
      </c>
      <c r="D51" s="6" t="s">
        <v>389</v>
      </c>
      <c r="E51" s="6" t="s">
        <v>390</v>
      </c>
      <c r="F51" s="14" t="s">
        <v>391</v>
      </c>
      <c r="G51" s="6" t="s">
        <v>26</v>
      </c>
      <c r="H51" s="6" t="s">
        <v>28</v>
      </c>
      <c r="I51" s="15" t="n">
        <v>110000</v>
      </c>
      <c r="J51" s="16" t="n">
        <v>130000</v>
      </c>
      <c r="K51" s="16" t="n">
        <v>105000</v>
      </c>
      <c r="L51" s="6" t="s">
        <v>82</v>
      </c>
      <c r="M51" s="17" t="n">
        <v>15200000</v>
      </c>
      <c r="N51" s="18" t="n">
        <v>1</v>
      </c>
      <c r="O51" s="18" t="n">
        <v>8</v>
      </c>
      <c r="P51" s="19" t="n">
        <v>0.06</v>
      </c>
      <c r="Q51" s="20" t="n">
        <v>0.2</v>
      </c>
      <c r="R51" s="14" t="s">
        <v>392</v>
      </c>
      <c r="S51" s="21" t="s">
        <v>84</v>
      </c>
      <c r="T51" s="6" t="s">
        <v>85</v>
      </c>
      <c r="U51" s="14" t="s">
        <v>393</v>
      </c>
      <c r="V51" s="22"/>
      <c r="W51" s="23"/>
      <c r="X51" s="23"/>
      <c r="Y51" s="24"/>
      <c r="Z51" s="25" t="s">
        <v>87</v>
      </c>
      <c r="AA51" s="25" t="s">
        <v>127</v>
      </c>
      <c r="AB51" s="25" t="s">
        <v>89</v>
      </c>
    </row>
    <row r="52" customFormat="false" ht="30" hidden="false" customHeight="true" outlineLevel="0" collapsed="false">
      <c r="A52" s="6" t="n">
        <v>51</v>
      </c>
      <c r="B52" s="6" t="s">
        <v>387</v>
      </c>
      <c r="C52" s="6" t="s">
        <v>394</v>
      </c>
      <c r="D52" s="6" t="s">
        <v>395</v>
      </c>
      <c r="E52" s="6" t="s">
        <v>396</v>
      </c>
      <c r="F52" s="14" t="s">
        <v>397</v>
      </c>
      <c r="G52" s="6" t="s">
        <v>26</v>
      </c>
      <c r="H52" s="6" t="s">
        <v>28</v>
      </c>
      <c r="I52" s="15" t="n">
        <v>28000</v>
      </c>
      <c r="J52" s="16" t="n">
        <v>33000</v>
      </c>
      <c r="K52" s="16" t="n">
        <v>26000</v>
      </c>
      <c r="L52" s="6" t="s">
        <v>82</v>
      </c>
      <c r="M52" s="17" t="n">
        <v>3850000</v>
      </c>
      <c r="N52" s="18" t="n">
        <v>1</v>
      </c>
      <c r="O52" s="18" t="n">
        <v>20</v>
      </c>
      <c r="P52" s="19" t="n">
        <v>0.02</v>
      </c>
      <c r="Q52" s="20" t="n">
        <v>0</v>
      </c>
      <c r="R52" s="14" t="s">
        <v>398</v>
      </c>
      <c r="S52" s="26" t="s">
        <v>140</v>
      </c>
      <c r="T52" s="6" t="s">
        <v>85</v>
      </c>
      <c r="U52" s="14" t="s">
        <v>399</v>
      </c>
      <c r="V52" s="22"/>
      <c r="W52" s="23"/>
      <c r="X52" s="23"/>
      <c r="Y52" s="24"/>
      <c r="Z52" s="25" t="s">
        <v>87</v>
      </c>
      <c r="AA52" s="25" t="s">
        <v>102</v>
      </c>
      <c r="AB52" s="25" t="s">
        <v>89</v>
      </c>
    </row>
    <row r="53" customFormat="false" ht="30" hidden="false" customHeight="true" outlineLevel="0" collapsed="false">
      <c r="A53" s="6" t="n">
        <v>52</v>
      </c>
      <c r="B53" s="6" t="s">
        <v>387</v>
      </c>
      <c r="C53" s="6" t="s">
        <v>400</v>
      </c>
      <c r="D53" s="6" t="s">
        <v>401</v>
      </c>
      <c r="E53" s="6" t="s">
        <v>402</v>
      </c>
      <c r="F53" s="14" t="s">
        <v>403</v>
      </c>
      <c r="G53" s="6" t="s">
        <v>26</v>
      </c>
      <c r="H53" s="6" t="s">
        <v>28</v>
      </c>
      <c r="I53" s="15" t="n">
        <v>60000</v>
      </c>
      <c r="J53" s="16" t="n">
        <v>72000</v>
      </c>
      <c r="K53" s="16" t="n">
        <v>56000</v>
      </c>
      <c r="L53" s="6" t="s">
        <v>82</v>
      </c>
      <c r="M53" s="17" t="n">
        <v>8200000</v>
      </c>
      <c r="N53" s="18" t="n">
        <v>1</v>
      </c>
      <c r="O53" s="18" t="n">
        <v>12</v>
      </c>
      <c r="P53" s="19" t="n">
        <v>0.03</v>
      </c>
      <c r="Q53" s="20" t="n">
        <v>0.2</v>
      </c>
      <c r="R53" s="14" t="s">
        <v>404</v>
      </c>
      <c r="S53" s="21" t="s">
        <v>84</v>
      </c>
      <c r="T53" s="6" t="s">
        <v>85</v>
      </c>
      <c r="U53" s="14" t="s">
        <v>405</v>
      </c>
      <c r="V53" s="22"/>
      <c r="W53" s="23"/>
      <c r="X53" s="23"/>
      <c r="Y53" s="24"/>
      <c r="Z53" s="25" t="s">
        <v>87</v>
      </c>
      <c r="AA53" s="25" t="s">
        <v>102</v>
      </c>
      <c r="AB53" s="25" t="s">
        <v>89</v>
      </c>
    </row>
    <row r="54" customFormat="false" ht="30" hidden="false" customHeight="true" outlineLevel="0" collapsed="false">
      <c r="A54" s="6" t="n">
        <v>53</v>
      </c>
      <c r="B54" s="6" t="s">
        <v>387</v>
      </c>
      <c r="C54" s="6" t="s">
        <v>406</v>
      </c>
      <c r="D54" s="6" t="s">
        <v>407</v>
      </c>
      <c r="E54" s="6" t="s">
        <v>408</v>
      </c>
      <c r="F54" s="14" t="s">
        <v>409</v>
      </c>
      <c r="G54" s="6" t="s">
        <v>26</v>
      </c>
      <c r="H54" s="6" t="s">
        <v>28</v>
      </c>
      <c r="I54" s="15" t="n">
        <v>18000</v>
      </c>
      <c r="J54" s="16" t="n">
        <v>22000</v>
      </c>
      <c r="K54" s="16" t="n">
        <v>17000</v>
      </c>
      <c r="L54" s="6" t="s">
        <v>82</v>
      </c>
      <c r="M54" s="17" t="n">
        <v>2480000</v>
      </c>
      <c r="N54" s="18" t="n">
        <v>1</v>
      </c>
      <c r="O54" s="18" t="n">
        <v>25</v>
      </c>
      <c r="P54" s="19" t="n">
        <v>0.02</v>
      </c>
      <c r="Q54" s="20" t="n">
        <v>0</v>
      </c>
      <c r="R54" s="14" t="s">
        <v>410</v>
      </c>
      <c r="S54" s="26" t="s">
        <v>140</v>
      </c>
      <c r="T54" s="6" t="s">
        <v>85</v>
      </c>
      <c r="U54" s="14" t="s">
        <v>411</v>
      </c>
      <c r="V54" s="22"/>
      <c r="W54" s="23"/>
      <c r="X54" s="23"/>
      <c r="Y54" s="24"/>
      <c r="Z54" s="25" t="s">
        <v>412</v>
      </c>
      <c r="AA54" s="25" t="s">
        <v>127</v>
      </c>
      <c r="AB54" s="25" t="s">
        <v>89</v>
      </c>
    </row>
    <row r="55" customFormat="false" ht="30" hidden="false" customHeight="true" outlineLevel="0" collapsed="false">
      <c r="A55" s="6" t="n">
        <v>54</v>
      </c>
      <c r="B55" s="6" t="s">
        <v>387</v>
      </c>
      <c r="C55" s="6" t="s">
        <v>413</v>
      </c>
      <c r="D55" s="6" t="s">
        <v>414</v>
      </c>
      <c r="E55" s="6" t="s">
        <v>415</v>
      </c>
      <c r="F55" s="14" t="s">
        <v>416</v>
      </c>
      <c r="G55" s="6" t="s">
        <v>26</v>
      </c>
      <c r="H55" s="6" t="s">
        <v>28</v>
      </c>
      <c r="I55" s="15" t="n">
        <v>180000</v>
      </c>
      <c r="J55" s="16" t="n">
        <v>210000</v>
      </c>
      <c r="K55" s="16" t="n">
        <v>170000</v>
      </c>
      <c r="L55" s="6" t="s">
        <v>82</v>
      </c>
      <c r="M55" s="17" t="n">
        <v>25000000</v>
      </c>
      <c r="N55" s="18" t="n">
        <v>1</v>
      </c>
      <c r="O55" s="18" t="n">
        <v>10</v>
      </c>
      <c r="P55" s="19" t="n">
        <v>0.04</v>
      </c>
      <c r="Q55" s="20" t="n">
        <v>0.5</v>
      </c>
      <c r="R55" s="14" t="s">
        <v>417</v>
      </c>
      <c r="S55" s="21" t="s">
        <v>84</v>
      </c>
      <c r="T55" s="6" t="s">
        <v>85</v>
      </c>
      <c r="U55" s="14" t="s">
        <v>418</v>
      </c>
      <c r="V55" s="22"/>
      <c r="W55" s="23"/>
      <c r="X55" s="23"/>
      <c r="Y55" s="24"/>
      <c r="Z55" s="25" t="s">
        <v>412</v>
      </c>
      <c r="AA55" s="25" t="s">
        <v>127</v>
      </c>
      <c r="AB55" s="25" t="s">
        <v>89</v>
      </c>
    </row>
    <row r="56" customFormat="false" ht="30" hidden="false" customHeight="true" outlineLevel="0" collapsed="false">
      <c r="A56" s="6" t="n">
        <v>55</v>
      </c>
      <c r="B56" s="6" t="s">
        <v>387</v>
      </c>
      <c r="C56" s="6" t="s">
        <v>419</v>
      </c>
      <c r="D56" s="6" t="s">
        <v>420</v>
      </c>
      <c r="E56" s="6" t="s">
        <v>421</v>
      </c>
      <c r="F56" s="14" t="s">
        <v>422</v>
      </c>
      <c r="G56" s="6" t="s">
        <v>26</v>
      </c>
      <c r="H56" s="6" t="s">
        <v>26</v>
      </c>
      <c r="I56" s="15" t="n">
        <v>45000</v>
      </c>
      <c r="J56" s="16" t="n">
        <v>54000</v>
      </c>
      <c r="K56" s="16" t="n">
        <v>42000</v>
      </c>
      <c r="L56" s="6" t="s">
        <v>82</v>
      </c>
      <c r="M56" s="17" t="n">
        <v>6200000</v>
      </c>
      <c r="N56" s="18" t="n">
        <v>1</v>
      </c>
      <c r="O56" s="18" t="n">
        <v>10</v>
      </c>
      <c r="P56" s="19" t="n">
        <v>0.05</v>
      </c>
      <c r="Q56" s="20" t="n">
        <v>1</v>
      </c>
      <c r="R56" s="14" t="s">
        <v>423</v>
      </c>
      <c r="S56" s="21" t="s">
        <v>84</v>
      </c>
      <c r="T56" s="6" t="s">
        <v>85</v>
      </c>
      <c r="U56" s="14" t="s">
        <v>424</v>
      </c>
      <c r="V56" s="22"/>
      <c r="W56" s="23"/>
      <c r="X56" s="23"/>
      <c r="Y56" s="24"/>
      <c r="Z56" s="25" t="s">
        <v>412</v>
      </c>
      <c r="AA56" s="25" t="s">
        <v>127</v>
      </c>
      <c r="AB56" s="25" t="s">
        <v>89</v>
      </c>
    </row>
    <row r="57" customFormat="false" ht="30" hidden="false" customHeight="true" outlineLevel="0" collapsed="false">
      <c r="A57" s="6" t="n">
        <v>56</v>
      </c>
      <c r="B57" s="6" t="s">
        <v>425</v>
      </c>
      <c r="C57" s="6" t="s">
        <v>426</v>
      </c>
      <c r="D57" s="6" t="s">
        <v>427</v>
      </c>
      <c r="E57" s="6" t="s">
        <v>428</v>
      </c>
      <c r="F57" s="14" t="s">
        <v>429</v>
      </c>
      <c r="G57" s="6" t="s">
        <v>26</v>
      </c>
      <c r="H57" s="6" t="s">
        <v>26</v>
      </c>
      <c r="I57" s="15" t="n">
        <v>35000</v>
      </c>
      <c r="J57" s="16" t="n">
        <v>42000</v>
      </c>
      <c r="K57" s="16" t="n">
        <v>33000</v>
      </c>
      <c r="L57" s="6" t="s">
        <v>82</v>
      </c>
      <c r="M57" s="17" t="n">
        <v>4800000</v>
      </c>
      <c r="N57" s="18" t="n">
        <v>2</v>
      </c>
      <c r="O57" s="18" t="n">
        <v>15</v>
      </c>
      <c r="P57" s="19" t="n">
        <v>0.05</v>
      </c>
      <c r="Q57" s="20" t="n">
        <v>0.05</v>
      </c>
      <c r="R57" s="14" t="s">
        <v>430</v>
      </c>
      <c r="S57" s="21" t="s">
        <v>84</v>
      </c>
      <c r="T57" s="6" t="s">
        <v>85</v>
      </c>
      <c r="U57" s="14" t="s">
        <v>431</v>
      </c>
      <c r="V57" s="22"/>
      <c r="W57" s="23"/>
      <c r="X57" s="23"/>
      <c r="Y57" s="24"/>
      <c r="Z57" s="25" t="s">
        <v>432</v>
      </c>
      <c r="AA57" s="25" t="s">
        <v>127</v>
      </c>
      <c r="AB57" s="25" t="s">
        <v>89</v>
      </c>
    </row>
    <row r="58" customFormat="false" ht="30" hidden="false" customHeight="true" outlineLevel="0" collapsed="false">
      <c r="A58" s="6" t="n">
        <v>57</v>
      </c>
      <c r="B58" s="6" t="s">
        <v>425</v>
      </c>
      <c r="C58" s="6" t="s">
        <v>433</v>
      </c>
      <c r="D58" s="6" t="s">
        <v>434</v>
      </c>
      <c r="E58" s="6" t="s">
        <v>435</v>
      </c>
      <c r="F58" s="14" t="s">
        <v>436</v>
      </c>
      <c r="G58" s="6" t="s">
        <v>26</v>
      </c>
      <c r="H58" s="6" t="s">
        <v>28</v>
      </c>
      <c r="I58" s="15" t="n">
        <v>28000</v>
      </c>
      <c r="J58" s="16" t="n">
        <v>33000</v>
      </c>
      <c r="K58" s="16" t="n">
        <v>26000</v>
      </c>
      <c r="L58" s="6" t="s">
        <v>82</v>
      </c>
      <c r="M58" s="17" t="n">
        <v>3800000</v>
      </c>
      <c r="N58" s="18" t="n">
        <v>2</v>
      </c>
      <c r="O58" s="18" t="n">
        <v>10</v>
      </c>
      <c r="P58" s="19" t="n">
        <v>0.06</v>
      </c>
      <c r="Q58" s="20" t="n">
        <v>0.3</v>
      </c>
      <c r="R58" s="14" t="s">
        <v>437</v>
      </c>
      <c r="S58" s="26" t="s">
        <v>140</v>
      </c>
      <c r="T58" s="6" t="s">
        <v>85</v>
      </c>
      <c r="U58" s="14" t="s">
        <v>438</v>
      </c>
      <c r="V58" s="22"/>
      <c r="W58" s="23"/>
      <c r="X58" s="23"/>
      <c r="Y58" s="24"/>
      <c r="Z58" s="25" t="s">
        <v>412</v>
      </c>
      <c r="AA58" s="25" t="s">
        <v>127</v>
      </c>
      <c r="AB58" s="25" t="s">
        <v>89</v>
      </c>
    </row>
    <row r="59" customFormat="false" ht="30" hidden="false" customHeight="true" outlineLevel="0" collapsed="false">
      <c r="A59" s="6" t="n">
        <v>58</v>
      </c>
      <c r="B59" s="6" t="s">
        <v>425</v>
      </c>
      <c r="C59" s="6" t="s">
        <v>439</v>
      </c>
      <c r="D59" s="6" t="s">
        <v>440</v>
      </c>
      <c r="E59" s="6" t="s">
        <v>441</v>
      </c>
      <c r="F59" s="14" t="s">
        <v>442</v>
      </c>
      <c r="G59" s="6" t="s">
        <v>26</v>
      </c>
      <c r="H59" s="6" t="s">
        <v>30</v>
      </c>
      <c r="I59" s="15" t="n">
        <v>90000</v>
      </c>
      <c r="J59" s="16" t="n">
        <v>110000</v>
      </c>
      <c r="K59" s="16" t="n">
        <v>85000</v>
      </c>
      <c r="L59" s="6" t="s">
        <v>82</v>
      </c>
      <c r="M59" s="17" t="n">
        <v>12500000</v>
      </c>
      <c r="N59" s="18" t="n">
        <v>1</v>
      </c>
      <c r="O59" s="18" t="n">
        <v>20</v>
      </c>
      <c r="P59" s="19" t="n">
        <v>0.04</v>
      </c>
      <c r="Q59" s="20" t="n">
        <v>0.2</v>
      </c>
      <c r="R59" s="14" t="s">
        <v>443</v>
      </c>
      <c r="S59" s="21" t="s">
        <v>84</v>
      </c>
      <c r="T59" s="6" t="s">
        <v>85</v>
      </c>
      <c r="U59" s="14" t="s">
        <v>444</v>
      </c>
      <c r="V59" s="22"/>
      <c r="W59" s="23"/>
      <c r="X59" s="23"/>
      <c r="Y59" s="24"/>
      <c r="Z59" s="25" t="s">
        <v>412</v>
      </c>
      <c r="AA59" s="25" t="s">
        <v>127</v>
      </c>
      <c r="AB59" s="25" t="s">
        <v>89</v>
      </c>
    </row>
    <row r="60" customFormat="false" ht="30" hidden="false" customHeight="true" outlineLevel="0" collapsed="false">
      <c r="A60" s="6" t="n">
        <v>59</v>
      </c>
      <c r="B60" s="6" t="s">
        <v>425</v>
      </c>
      <c r="C60" s="6" t="s">
        <v>445</v>
      </c>
      <c r="D60" s="6" t="s">
        <v>446</v>
      </c>
      <c r="E60" s="6" t="s">
        <v>447</v>
      </c>
      <c r="F60" s="14" t="s">
        <v>448</v>
      </c>
      <c r="G60" s="6" t="s">
        <v>26</v>
      </c>
      <c r="H60" s="6" t="s">
        <v>30</v>
      </c>
      <c r="I60" s="15" t="n">
        <v>45000</v>
      </c>
      <c r="J60" s="16" t="n">
        <v>55000</v>
      </c>
      <c r="K60" s="16" t="n">
        <v>43000</v>
      </c>
      <c r="L60" s="6" t="s">
        <v>82</v>
      </c>
      <c r="M60" s="17" t="n">
        <v>6200000</v>
      </c>
      <c r="N60" s="18" t="n">
        <v>1</v>
      </c>
      <c r="O60" s="18" t="n">
        <v>20</v>
      </c>
      <c r="P60" s="19" t="n">
        <v>0.04</v>
      </c>
      <c r="Q60" s="20" t="n">
        <v>0.1</v>
      </c>
      <c r="R60" s="14" t="s">
        <v>449</v>
      </c>
      <c r="S60" s="27" t="s">
        <v>321</v>
      </c>
      <c r="T60" s="6" t="s">
        <v>85</v>
      </c>
      <c r="U60" s="14" t="s">
        <v>450</v>
      </c>
      <c r="V60" s="22"/>
      <c r="W60" s="23"/>
      <c r="X60" s="23"/>
      <c r="Y60" s="24"/>
      <c r="Z60" s="25" t="s">
        <v>451</v>
      </c>
      <c r="AA60" s="25" t="s">
        <v>88</v>
      </c>
      <c r="AB60" s="25" t="s">
        <v>89</v>
      </c>
    </row>
    <row r="61" customFormat="false" ht="30" hidden="false" customHeight="true" outlineLevel="0" collapsed="false">
      <c r="A61" s="6" t="n">
        <v>60</v>
      </c>
      <c r="B61" s="6" t="s">
        <v>425</v>
      </c>
      <c r="C61" s="6" t="s">
        <v>452</v>
      </c>
      <c r="D61" s="6" t="s">
        <v>453</v>
      </c>
      <c r="E61" s="6" t="s">
        <v>454</v>
      </c>
      <c r="F61" s="14" t="s">
        <v>455</v>
      </c>
      <c r="G61" s="6" t="s">
        <v>26</v>
      </c>
      <c r="H61" s="6" t="s">
        <v>28</v>
      </c>
      <c r="I61" s="15" t="n">
        <v>5500</v>
      </c>
      <c r="J61" s="16" t="n">
        <v>6800</v>
      </c>
      <c r="K61" s="16" t="n">
        <v>5200</v>
      </c>
      <c r="L61" s="6" t="s">
        <v>82</v>
      </c>
      <c r="M61" s="17" t="n">
        <v>760000</v>
      </c>
      <c r="N61" s="18" t="n">
        <v>14</v>
      </c>
      <c r="O61" s="18" t="n">
        <v>10</v>
      </c>
      <c r="P61" s="19" t="n">
        <v>0.04</v>
      </c>
      <c r="Q61" s="20" t="n">
        <v>0</v>
      </c>
      <c r="R61" s="14" t="s">
        <v>456</v>
      </c>
      <c r="S61" s="26" t="s">
        <v>140</v>
      </c>
      <c r="T61" s="6" t="s">
        <v>85</v>
      </c>
      <c r="U61" s="14" t="s">
        <v>457</v>
      </c>
      <c r="V61" s="22"/>
      <c r="W61" s="23"/>
      <c r="X61" s="23"/>
      <c r="Y61" s="24"/>
      <c r="Z61" s="25" t="s">
        <v>412</v>
      </c>
      <c r="AA61" s="25" t="s">
        <v>127</v>
      </c>
      <c r="AB61" s="25" t="s">
        <v>89</v>
      </c>
    </row>
    <row r="62" customFormat="false" ht="30" hidden="false" customHeight="true" outlineLevel="0" collapsed="false">
      <c r="A62" s="6" t="n">
        <v>61</v>
      </c>
      <c r="B62" s="6" t="s">
        <v>425</v>
      </c>
      <c r="C62" s="6" t="s">
        <v>458</v>
      </c>
      <c r="D62" s="6" t="s">
        <v>459</v>
      </c>
      <c r="E62" s="6" t="s">
        <v>460</v>
      </c>
      <c r="F62" s="14" t="s">
        <v>461</v>
      </c>
      <c r="G62" s="6" t="s">
        <v>26</v>
      </c>
      <c r="H62" s="6" t="s">
        <v>28</v>
      </c>
      <c r="I62" s="15" t="n">
        <v>60000</v>
      </c>
      <c r="J62" s="16" t="n">
        <v>72000</v>
      </c>
      <c r="K62" s="16" t="n">
        <v>58000</v>
      </c>
      <c r="L62" s="6" t="s">
        <v>82</v>
      </c>
      <c r="M62" s="17" t="n">
        <v>8200000</v>
      </c>
      <c r="N62" s="18" t="n">
        <v>1</v>
      </c>
      <c r="O62" s="18" t="n">
        <v>15</v>
      </c>
      <c r="P62" s="19" t="n">
        <v>0.05</v>
      </c>
      <c r="Q62" s="20" t="n">
        <v>0.2</v>
      </c>
      <c r="R62" s="14" t="s">
        <v>462</v>
      </c>
      <c r="S62" s="21" t="s">
        <v>84</v>
      </c>
      <c r="T62" s="6" t="s">
        <v>85</v>
      </c>
      <c r="U62" s="14" t="s">
        <v>463</v>
      </c>
      <c r="V62" s="22"/>
      <c r="W62" s="23"/>
      <c r="X62" s="23"/>
      <c r="Y62" s="24"/>
      <c r="Z62" s="25" t="s">
        <v>266</v>
      </c>
      <c r="AA62" s="25" t="s">
        <v>88</v>
      </c>
      <c r="AB62" s="25" t="s">
        <v>267</v>
      </c>
    </row>
    <row r="63" customFormat="false" ht="30" hidden="false" customHeight="true" outlineLevel="0" collapsed="false">
      <c r="A63" s="6" t="n">
        <v>62</v>
      </c>
      <c r="B63" s="6" t="s">
        <v>425</v>
      </c>
      <c r="C63" s="6" t="s">
        <v>464</v>
      </c>
      <c r="D63" s="6" t="s">
        <v>465</v>
      </c>
      <c r="E63" s="6" t="s">
        <v>466</v>
      </c>
      <c r="F63" s="14" t="s">
        <v>467</v>
      </c>
      <c r="G63" s="6" t="s">
        <v>26</v>
      </c>
      <c r="H63" s="6" t="s">
        <v>28</v>
      </c>
      <c r="I63" s="15" t="n">
        <v>280000</v>
      </c>
      <c r="J63" s="16" t="n">
        <v>330000</v>
      </c>
      <c r="K63" s="16" t="n">
        <v>270000</v>
      </c>
      <c r="L63" s="6" t="s">
        <v>82</v>
      </c>
      <c r="M63" s="17" t="n">
        <v>38500000</v>
      </c>
      <c r="N63" s="18" t="n">
        <v>1</v>
      </c>
      <c r="O63" s="18" t="n">
        <v>25</v>
      </c>
      <c r="P63" s="19" t="n">
        <v>0.05</v>
      </c>
      <c r="Q63" s="20" t="n">
        <v>0.5</v>
      </c>
      <c r="R63" s="14" t="s">
        <v>468</v>
      </c>
      <c r="S63" s="27" t="s">
        <v>321</v>
      </c>
      <c r="T63" s="6" t="s">
        <v>85</v>
      </c>
      <c r="U63" s="14" t="s">
        <v>469</v>
      </c>
      <c r="V63" s="22"/>
      <c r="W63" s="23"/>
      <c r="X63" s="23"/>
      <c r="Y63" s="24"/>
      <c r="Z63" s="25" t="s">
        <v>470</v>
      </c>
      <c r="AA63" s="25" t="s">
        <v>127</v>
      </c>
      <c r="AB63" s="25" t="s">
        <v>89</v>
      </c>
    </row>
    <row r="64" customFormat="false" ht="30" hidden="false" customHeight="true" outlineLevel="0" collapsed="false">
      <c r="A64" s="6" t="n">
        <v>63</v>
      </c>
      <c r="B64" s="6" t="s">
        <v>425</v>
      </c>
      <c r="C64" s="6" t="s">
        <v>471</v>
      </c>
      <c r="D64" s="6" t="s">
        <v>472</v>
      </c>
      <c r="E64" s="6" t="s">
        <v>473</v>
      </c>
      <c r="F64" s="14" t="s">
        <v>474</v>
      </c>
      <c r="G64" s="6" t="s">
        <v>26</v>
      </c>
      <c r="H64" s="6" t="s">
        <v>28</v>
      </c>
      <c r="I64" s="15" t="n">
        <v>22000</v>
      </c>
      <c r="J64" s="16" t="n">
        <v>26000</v>
      </c>
      <c r="K64" s="16" t="n">
        <v>20000</v>
      </c>
      <c r="L64" s="6" t="s">
        <v>82</v>
      </c>
      <c r="M64" s="17" t="n">
        <v>3000000</v>
      </c>
      <c r="N64" s="18" t="n">
        <v>2</v>
      </c>
      <c r="O64" s="18" t="n">
        <v>12</v>
      </c>
      <c r="P64" s="19" t="n">
        <v>0.05</v>
      </c>
      <c r="Q64" s="20" t="n">
        <v>0.5</v>
      </c>
      <c r="R64" s="14" t="s">
        <v>475</v>
      </c>
      <c r="S64" s="21" t="s">
        <v>84</v>
      </c>
      <c r="T64" s="6" t="s">
        <v>85</v>
      </c>
      <c r="U64" s="14" t="s">
        <v>476</v>
      </c>
      <c r="V64" s="22"/>
      <c r="W64" s="23"/>
      <c r="X64" s="23"/>
      <c r="Y64" s="24"/>
      <c r="Z64" s="25" t="s">
        <v>470</v>
      </c>
      <c r="AA64" s="25" t="s">
        <v>127</v>
      </c>
      <c r="AB64" s="25" t="s">
        <v>89</v>
      </c>
    </row>
    <row r="65" customFormat="false" ht="30" hidden="false" customHeight="true" outlineLevel="0" collapsed="false">
      <c r="A65" s="6" t="n">
        <v>64</v>
      </c>
      <c r="B65" s="6" t="s">
        <v>425</v>
      </c>
      <c r="C65" s="6" t="s">
        <v>477</v>
      </c>
      <c r="D65" s="6" t="s">
        <v>478</v>
      </c>
      <c r="E65" s="6" t="s">
        <v>479</v>
      </c>
      <c r="F65" s="14" t="s">
        <v>480</v>
      </c>
      <c r="G65" s="6" t="s">
        <v>26</v>
      </c>
      <c r="H65" s="6" t="s">
        <v>30</v>
      </c>
      <c r="I65" s="15" t="n">
        <v>22000</v>
      </c>
      <c r="J65" s="16" t="n">
        <v>26000</v>
      </c>
      <c r="K65" s="16" t="n">
        <v>20000</v>
      </c>
      <c r="L65" s="6" t="s">
        <v>82</v>
      </c>
      <c r="M65" s="17" t="n">
        <v>3000000</v>
      </c>
      <c r="N65" s="18" t="n">
        <v>2</v>
      </c>
      <c r="O65" s="18" t="n">
        <v>12</v>
      </c>
      <c r="P65" s="19" t="n">
        <v>0.05</v>
      </c>
      <c r="Q65" s="20" t="n">
        <v>0</v>
      </c>
      <c r="R65" s="14" t="s">
        <v>481</v>
      </c>
      <c r="S65" s="21" t="s">
        <v>84</v>
      </c>
      <c r="T65" s="6" t="s">
        <v>85</v>
      </c>
      <c r="U65" s="14" t="s">
        <v>482</v>
      </c>
      <c r="V65" s="22"/>
      <c r="W65" s="23"/>
      <c r="X65" s="23"/>
      <c r="Y65" s="24"/>
      <c r="Z65" s="25" t="s">
        <v>259</v>
      </c>
      <c r="AA65" s="25" t="s">
        <v>127</v>
      </c>
      <c r="AB65" s="25" t="s">
        <v>267</v>
      </c>
    </row>
    <row r="66" customFormat="false" ht="30" hidden="false" customHeight="true" outlineLevel="0" collapsed="false">
      <c r="A66" s="6" t="n">
        <v>65</v>
      </c>
      <c r="B66" s="6" t="s">
        <v>483</v>
      </c>
      <c r="C66" s="6" t="s">
        <v>484</v>
      </c>
      <c r="D66" s="6" t="s">
        <v>485</v>
      </c>
      <c r="E66" s="6" t="s">
        <v>486</v>
      </c>
      <c r="F66" s="14" t="s">
        <v>487</v>
      </c>
      <c r="G66" s="6" t="s">
        <v>26</v>
      </c>
      <c r="H66" s="6" t="s">
        <v>30</v>
      </c>
      <c r="I66" s="15" t="n">
        <v>165000</v>
      </c>
      <c r="J66" s="16" t="n">
        <v>200000</v>
      </c>
      <c r="K66" s="16" t="n">
        <v>130000</v>
      </c>
      <c r="L66" s="6" t="s">
        <v>177</v>
      </c>
      <c r="M66" s="17" t="n">
        <v>20500000</v>
      </c>
      <c r="N66" s="18" t="n">
        <v>1</v>
      </c>
      <c r="O66" s="18" t="n">
        <v>12</v>
      </c>
      <c r="P66" s="19" t="n">
        <v>0.04</v>
      </c>
      <c r="Q66" s="20" t="n">
        <v>0</v>
      </c>
      <c r="R66" s="14" t="s">
        <v>488</v>
      </c>
      <c r="S66" s="26" t="s">
        <v>140</v>
      </c>
      <c r="T66" s="6" t="s">
        <v>85</v>
      </c>
      <c r="U66" s="14" t="s">
        <v>489</v>
      </c>
      <c r="V66" s="22"/>
      <c r="W66" s="23"/>
      <c r="X66" s="23"/>
      <c r="Y66" s="24"/>
      <c r="Z66" s="25" t="s">
        <v>412</v>
      </c>
      <c r="AA66" s="25" t="s">
        <v>127</v>
      </c>
      <c r="AB66" s="25" t="s">
        <v>89</v>
      </c>
    </row>
    <row r="67" customFormat="false" ht="30" hidden="false" customHeight="true" outlineLevel="0" collapsed="false">
      <c r="A67" s="6" t="n">
        <v>66</v>
      </c>
      <c r="B67" s="6" t="s">
        <v>483</v>
      </c>
      <c r="C67" s="6" t="s">
        <v>490</v>
      </c>
      <c r="D67" s="6" t="s">
        <v>491</v>
      </c>
      <c r="E67" s="6" t="s">
        <v>492</v>
      </c>
      <c r="F67" s="14" t="s">
        <v>493</v>
      </c>
      <c r="G67" s="6" t="s">
        <v>28</v>
      </c>
      <c r="H67" s="6" t="s">
        <v>30</v>
      </c>
      <c r="I67" s="15" t="n">
        <v>180000</v>
      </c>
      <c r="J67" s="16" t="n">
        <v>220000</v>
      </c>
      <c r="K67" s="16" t="n">
        <v>150000</v>
      </c>
      <c r="L67" s="6" t="s">
        <v>201</v>
      </c>
      <c r="M67" s="17" t="n">
        <v>12000000</v>
      </c>
      <c r="N67" s="18" t="n">
        <v>1</v>
      </c>
      <c r="O67" s="18" t="n">
        <v>7</v>
      </c>
      <c r="P67" s="19" t="n">
        <v>0</v>
      </c>
      <c r="Q67" s="20" t="n">
        <v>0.5</v>
      </c>
      <c r="R67" s="14" t="s">
        <v>494</v>
      </c>
      <c r="S67" s="21" t="s">
        <v>84</v>
      </c>
      <c r="T67" s="6" t="s">
        <v>85</v>
      </c>
      <c r="U67" s="14" t="s">
        <v>495</v>
      </c>
      <c r="V67" s="15" t="n">
        <v>90000</v>
      </c>
      <c r="W67" s="16" t="n">
        <v>110000</v>
      </c>
      <c r="X67" s="16" t="n">
        <v>75000</v>
      </c>
      <c r="Y67" s="17" t="n">
        <v>6000000</v>
      </c>
      <c r="Z67" s="25" t="s">
        <v>432</v>
      </c>
      <c r="AA67" s="25" t="s">
        <v>127</v>
      </c>
      <c r="AB67" s="25" t="s">
        <v>89</v>
      </c>
    </row>
    <row r="68" customFormat="false" ht="30" hidden="false" customHeight="true" outlineLevel="0" collapsed="false">
      <c r="A68" s="6" t="n">
        <v>67</v>
      </c>
      <c r="B68" s="6" t="s">
        <v>483</v>
      </c>
      <c r="C68" s="6" t="s">
        <v>496</v>
      </c>
      <c r="D68" s="6" t="s">
        <v>497</v>
      </c>
      <c r="E68" s="6" t="s">
        <v>498</v>
      </c>
      <c r="F68" s="14" t="s">
        <v>499</v>
      </c>
      <c r="G68" s="6" t="s">
        <v>32</v>
      </c>
      <c r="H68" s="6" t="s">
        <v>32</v>
      </c>
      <c r="I68" s="15" t="n">
        <v>1800000</v>
      </c>
      <c r="J68" s="16" t="n">
        <v>2200000</v>
      </c>
      <c r="K68" s="16" t="n">
        <v>1500000</v>
      </c>
      <c r="L68" s="6" t="s">
        <v>201</v>
      </c>
      <c r="M68" s="17" t="n">
        <v>0</v>
      </c>
      <c r="N68" s="18" t="n">
        <v>0</v>
      </c>
      <c r="O68" s="18" t="n">
        <v>10</v>
      </c>
      <c r="P68" s="19" t="n">
        <v>0</v>
      </c>
      <c r="Q68" s="20" t="n">
        <v>1</v>
      </c>
      <c r="R68" s="14" t="s">
        <v>500</v>
      </c>
      <c r="S68" s="21" t="s">
        <v>84</v>
      </c>
      <c r="T68" s="6" t="s">
        <v>85</v>
      </c>
      <c r="U68" s="14" t="s">
        <v>501</v>
      </c>
      <c r="V68" s="15" t="n">
        <v>350000</v>
      </c>
      <c r="W68" s="16" t="n">
        <v>420000</v>
      </c>
      <c r="X68" s="16" t="n">
        <v>300000</v>
      </c>
      <c r="Y68" s="17" t="n">
        <v>0</v>
      </c>
      <c r="Z68" s="25" t="s">
        <v>412</v>
      </c>
      <c r="AA68" s="25" t="s">
        <v>127</v>
      </c>
      <c r="AB68" s="25" t="s">
        <v>89</v>
      </c>
    </row>
    <row r="69" customFormat="false" ht="30" hidden="false" customHeight="true" outlineLevel="0" collapsed="false">
      <c r="A69" s="6" t="n">
        <v>68</v>
      </c>
      <c r="B69" s="6" t="s">
        <v>483</v>
      </c>
      <c r="C69" s="6" t="s">
        <v>502</v>
      </c>
      <c r="D69" s="6" t="s">
        <v>503</v>
      </c>
      <c r="E69" s="6" t="s">
        <v>504</v>
      </c>
      <c r="F69" s="14" t="s">
        <v>505</v>
      </c>
      <c r="G69" s="6" t="s">
        <v>26</v>
      </c>
      <c r="H69" s="6" t="s">
        <v>30</v>
      </c>
      <c r="I69" s="15" t="n">
        <v>90000</v>
      </c>
      <c r="J69" s="16" t="n">
        <v>110000</v>
      </c>
      <c r="K69" s="16" t="n">
        <v>75000</v>
      </c>
      <c r="L69" s="6" t="s">
        <v>201</v>
      </c>
      <c r="M69" s="17" t="n">
        <v>9500000</v>
      </c>
      <c r="N69" s="18" t="n">
        <v>1</v>
      </c>
      <c r="O69" s="18" t="n">
        <v>5</v>
      </c>
      <c r="P69" s="19" t="n">
        <v>0</v>
      </c>
      <c r="Q69" s="20" t="n">
        <v>0</v>
      </c>
      <c r="R69" s="14" t="s">
        <v>506</v>
      </c>
      <c r="S69" s="21" t="s">
        <v>84</v>
      </c>
      <c r="T69" s="6" t="s">
        <v>85</v>
      </c>
      <c r="U69" s="14" t="s">
        <v>507</v>
      </c>
      <c r="V69" s="15" t="n">
        <v>35000</v>
      </c>
      <c r="W69" s="16" t="n">
        <v>42000</v>
      </c>
      <c r="X69" s="16" t="n">
        <v>28000</v>
      </c>
      <c r="Y69" s="17" t="n">
        <v>2800000</v>
      </c>
      <c r="Z69" s="25" t="s">
        <v>412</v>
      </c>
      <c r="AA69" s="25" t="s">
        <v>127</v>
      </c>
      <c r="AB69" s="25" t="s">
        <v>89</v>
      </c>
    </row>
    <row r="70" customFormat="false" ht="30" hidden="false" customHeight="true" outlineLevel="0" collapsed="false">
      <c r="A70" s="6" t="n">
        <v>69</v>
      </c>
      <c r="B70" s="6" t="s">
        <v>483</v>
      </c>
      <c r="C70" s="6" t="s">
        <v>508</v>
      </c>
      <c r="D70" s="6" t="s">
        <v>509</v>
      </c>
      <c r="E70" s="6" t="s">
        <v>510</v>
      </c>
      <c r="F70" s="14" t="s">
        <v>511</v>
      </c>
      <c r="G70" s="6" t="s">
        <v>26</v>
      </c>
      <c r="H70" s="6" t="s">
        <v>30</v>
      </c>
      <c r="I70" s="15" t="n">
        <v>75000</v>
      </c>
      <c r="J70" s="16" t="n">
        <v>90000</v>
      </c>
      <c r="K70" s="16" t="n">
        <v>65000</v>
      </c>
      <c r="L70" s="6" t="s">
        <v>201</v>
      </c>
      <c r="M70" s="17" t="n">
        <v>8500000</v>
      </c>
      <c r="N70" s="18" t="n">
        <v>1</v>
      </c>
      <c r="O70" s="18" t="n">
        <v>5</v>
      </c>
      <c r="P70" s="19" t="n">
        <v>0</v>
      </c>
      <c r="Q70" s="20" t="n">
        <v>0.5</v>
      </c>
      <c r="R70" s="14" t="s">
        <v>512</v>
      </c>
      <c r="S70" s="27" t="s">
        <v>321</v>
      </c>
      <c r="T70" s="6" t="s">
        <v>85</v>
      </c>
      <c r="U70" s="14" t="s">
        <v>513</v>
      </c>
      <c r="V70" s="15" t="n">
        <v>60000</v>
      </c>
      <c r="W70" s="16" t="n">
        <v>72000</v>
      </c>
      <c r="X70" s="16" t="n">
        <v>55000</v>
      </c>
      <c r="Y70" s="17" t="n">
        <v>4000000</v>
      </c>
      <c r="Z70" s="25" t="s">
        <v>514</v>
      </c>
      <c r="AA70" s="25" t="s">
        <v>88</v>
      </c>
      <c r="AB70" s="25" t="s">
        <v>267</v>
      </c>
    </row>
    <row r="71" customFormat="false" ht="30" hidden="false" customHeight="true" outlineLevel="0" collapsed="false">
      <c r="A71" s="6" t="n">
        <v>70</v>
      </c>
      <c r="B71" s="6" t="s">
        <v>483</v>
      </c>
      <c r="C71" s="6" t="s">
        <v>515</v>
      </c>
      <c r="D71" s="6" t="s">
        <v>516</v>
      </c>
      <c r="E71" s="6" t="s">
        <v>517</v>
      </c>
      <c r="F71" s="14" t="s">
        <v>518</v>
      </c>
      <c r="G71" s="6" t="s">
        <v>26</v>
      </c>
      <c r="H71" s="6" t="s">
        <v>30</v>
      </c>
      <c r="I71" s="15" t="n">
        <v>220000</v>
      </c>
      <c r="J71" s="16" t="n">
        <v>260000</v>
      </c>
      <c r="K71" s="16" t="n">
        <v>170000</v>
      </c>
      <c r="L71" s="6" t="s">
        <v>201</v>
      </c>
      <c r="M71" s="17" t="n">
        <v>28000000</v>
      </c>
      <c r="N71" s="18" t="n">
        <v>1</v>
      </c>
      <c r="O71" s="18" t="n">
        <v>8</v>
      </c>
      <c r="P71" s="19" t="n">
        <v>0.1</v>
      </c>
      <c r="Q71" s="20" t="n">
        <v>0</v>
      </c>
      <c r="R71" s="14" t="s">
        <v>519</v>
      </c>
      <c r="S71" s="21" t="s">
        <v>84</v>
      </c>
      <c r="T71" s="6" t="s">
        <v>85</v>
      </c>
      <c r="U71" s="14" t="s">
        <v>520</v>
      </c>
      <c r="V71" s="22"/>
      <c r="W71" s="23"/>
      <c r="X71" s="23"/>
      <c r="Y71" s="24"/>
      <c r="Z71" s="25" t="s">
        <v>521</v>
      </c>
      <c r="AA71" s="25" t="s">
        <v>127</v>
      </c>
      <c r="AB71" s="25" t="s">
        <v>89</v>
      </c>
    </row>
    <row r="72" customFormat="false" ht="30" hidden="false" customHeight="true" outlineLevel="0" collapsed="false">
      <c r="A72" s="6" t="n">
        <v>71</v>
      </c>
      <c r="B72" s="6" t="s">
        <v>483</v>
      </c>
      <c r="C72" s="6" t="s">
        <v>522</v>
      </c>
      <c r="D72" s="6" t="s">
        <v>523</v>
      </c>
      <c r="E72" s="6" t="s">
        <v>524</v>
      </c>
      <c r="F72" s="14" t="s">
        <v>525</v>
      </c>
      <c r="G72" s="6" t="s">
        <v>26</v>
      </c>
      <c r="H72" s="6" t="s">
        <v>30</v>
      </c>
      <c r="I72" s="15" t="n">
        <v>45000</v>
      </c>
      <c r="J72" s="16" t="n">
        <v>55000</v>
      </c>
      <c r="K72" s="16" t="n">
        <v>38000</v>
      </c>
      <c r="L72" s="6" t="s">
        <v>201</v>
      </c>
      <c r="M72" s="17" t="n">
        <v>2500000</v>
      </c>
      <c r="N72" s="18" t="n">
        <v>1</v>
      </c>
      <c r="O72" s="18" t="n">
        <v>7</v>
      </c>
      <c r="P72" s="19" t="n">
        <v>0</v>
      </c>
      <c r="Q72" s="20" t="n">
        <v>0</v>
      </c>
      <c r="R72" s="14" t="s">
        <v>526</v>
      </c>
      <c r="S72" s="21" t="s">
        <v>84</v>
      </c>
      <c r="T72" s="6" t="s">
        <v>85</v>
      </c>
      <c r="U72" s="14" t="s">
        <v>527</v>
      </c>
      <c r="V72" s="15" t="n">
        <v>36000</v>
      </c>
      <c r="W72" s="16" t="n">
        <v>45000</v>
      </c>
      <c r="X72" s="16" t="n">
        <v>32000</v>
      </c>
      <c r="Y72" s="17" t="n">
        <v>1500000</v>
      </c>
      <c r="Z72" s="25" t="s">
        <v>528</v>
      </c>
      <c r="AA72" s="25" t="s">
        <v>88</v>
      </c>
      <c r="AB72" s="25" t="s">
        <v>267</v>
      </c>
    </row>
    <row r="73" customFormat="false" ht="30" hidden="false" customHeight="true" outlineLevel="0" collapsed="false">
      <c r="A73" s="6" t="n">
        <v>72</v>
      </c>
      <c r="B73" s="6" t="s">
        <v>483</v>
      </c>
      <c r="C73" s="6" t="s">
        <v>529</v>
      </c>
      <c r="D73" s="6" t="s">
        <v>530</v>
      </c>
      <c r="E73" s="6" t="s">
        <v>531</v>
      </c>
      <c r="F73" s="14" t="s">
        <v>532</v>
      </c>
      <c r="G73" s="6" t="s">
        <v>26</v>
      </c>
      <c r="H73" s="6" t="s">
        <v>30</v>
      </c>
      <c r="I73" s="15" t="n">
        <v>75000</v>
      </c>
      <c r="J73" s="16" t="n">
        <v>90000</v>
      </c>
      <c r="K73" s="16" t="n">
        <v>55000</v>
      </c>
      <c r="L73" s="6" t="s">
        <v>177</v>
      </c>
      <c r="M73" s="17" t="n">
        <v>7800000</v>
      </c>
      <c r="N73" s="18" t="n">
        <v>1</v>
      </c>
      <c r="O73" s="18" t="n">
        <v>10</v>
      </c>
      <c r="P73" s="19" t="n">
        <v>0.05</v>
      </c>
      <c r="Q73" s="20" t="n">
        <v>0</v>
      </c>
      <c r="R73" s="14" t="s">
        <v>533</v>
      </c>
      <c r="S73" s="26" t="s">
        <v>140</v>
      </c>
      <c r="T73" s="6" t="s">
        <v>85</v>
      </c>
      <c r="U73" s="14" t="s">
        <v>534</v>
      </c>
      <c r="V73" s="22"/>
      <c r="W73" s="23"/>
      <c r="X73" s="23"/>
      <c r="Y73" s="24"/>
      <c r="Z73" s="25" t="s">
        <v>528</v>
      </c>
      <c r="AA73" s="25" t="s">
        <v>102</v>
      </c>
      <c r="AB73" s="25" t="s">
        <v>267</v>
      </c>
    </row>
    <row r="74" customFormat="false" ht="30" hidden="false" customHeight="true" outlineLevel="0" collapsed="false">
      <c r="A74" s="6" t="n">
        <v>73</v>
      </c>
      <c r="B74" s="6" t="s">
        <v>483</v>
      </c>
      <c r="C74" s="6" t="s">
        <v>535</v>
      </c>
      <c r="D74" s="6" t="s">
        <v>536</v>
      </c>
      <c r="E74" s="6" t="s">
        <v>537</v>
      </c>
      <c r="F74" s="14" t="s">
        <v>538</v>
      </c>
      <c r="G74" s="6" t="s">
        <v>26</v>
      </c>
      <c r="H74" s="6" t="s">
        <v>30</v>
      </c>
      <c r="I74" s="15" t="n">
        <v>55000</v>
      </c>
      <c r="J74" s="16" t="n">
        <v>68000</v>
      </c>
      <c r="K74" s="16" t="n">
        <v>45000</v>
      </c>
      <c r="L74" s="6" t="s">
        <v>201</v>
      </c>
      <c r="M74" s="17" t="n">
        <v>3500000</v>
      </c>
      <c r="N74" s="18" t="n">
        <v>1</v>
      </c>
      <c r="O74" s="18" t="n">
        <v>7</v>
      </c>
      <c r="P74" s="19" t="n">
        <v>0</v>
      </c>
      <c r="Q74" s="20" t="n">
        <v>0</v>
      </c>
      <c r="R74" s="14" t="s">
        <v>539</v>
      </c>
      <c r="S74" s="21" t="s">
        <v>84</v>
      </c>
      <c r="T74" s="6" t="s">
        <v>85</v>
      </c>
      <c r="U74" s="14" t="s">
        <v>540</v>
      </c>
      <c r="V74" s="15" t="n">
        <v>28000</v>
      </c>
      <c r="W74" s="16" t="n">
        <v>35000</v>
      </c>
      <c r="X74" s="16" t="n">
        <v>22000</v>
      </c>
      <c r="Y74" s="17" t="n">
        <v>1500000</v>
      </c>
      <c r="Z74" s="25" t="s">
        <v>528</v>
      </c>
      <c r="AA74" s="25" t="s">
        <v>88</v>
      </c>
      <c r="AB74" s="25" t="s">
        <v>267</v>
      </c>
    </row>
    <row r="75" customFormat="false" ht="30" hidden="false" customHeight="true" outlineLevel="0" collapsed="false">
      <c r="A75" s="6" t="n">
        <v>74</v>
      </c>
      <c r="B75" s="6" t="s">
        <v>483</v>
      </c>
      <c r="C75" s="6" t="s">
        <v>541</v>
      </c>
      <c r="D75" s="6" t="s">
        <v>542</v>
      </c>
      <c r="E75" s="6" t="s">
        <v>543</v>
      </c>
      <c r="F75" s="14" t="s">
        <v>544</v>
      </c>
      <c r="G75" s="6" t="s">
        <v>26</v>
      </c>
      <c r="H75" s="6" t="s">
        <v>30</v>
      </c>
      <c r="I75" s="15" t="n">
        <v>95000</v>
      </c>
      <c r="J75" s="16" t="n">
        <v>115000</v>
      </c>
      <c r="K75" s="16" t="n">
        <v>75000</v>
      </c>
      <c r="L75" s="6" t="s">
        <v>177</v>
      </c>
      <c r="M75" s="17" t="n">
        <v>12500000</v>
      </c>
      <c r="N75" s="18" t="n">
        <v>1</v>
      </c>
      <c r="O75" s="18" t="n">
        <v>10</v>
      </c>
      <c r="P75" s="19" t="n">
        <v>0.06</v>
      </c>
      <c r="Q75" s="20" t="n">
        <v>0</v>
      </c>
      <c r="R75" s="14" t="s">
        <v>545</v>
      </c>
      <c r="S75" s="21" t="s">
        <v>84</v>
      </c>
      <c r="T75" s="6" t="s">
        <v>85</v>
      </c>
      <c r="U75" s="14" t="s">
        <v>546</v>
      </c>
      <c r="V75" s="22"/>
      <c r="W75" s="23"/>
      <c r="X75" s="23"/>
      <c r="Y75" s="24"/>
      <c r="Z75" s="25" t="s">
        <v>547</v>
      </c>
      <c r="AA75" s="25" t="s">
        <v>127</v>
      </c>
      <c r="AB75" s="25" t="s">
        <v>267</v>
      </c>
    </row>
    <row r="76" customFormat="false" ht="30" hidden="false" customHeight="true" outlineLevel="0" collapsed="false">
      <c r="A76" s="6" t="n">
        <v>75</v>
      </c>
      <c r="B76" s="6" t="s">
        <v>548</v>
      </c>
      <c r="C76" s="6" t="s">
        <v>253</v>
      </c>
      <c r="D76" s="6" t="s">
        <v>549</v>
      </c>
      <c r="E76" s="6" t="s">
        <v>550</v>
      </c>
      <c r="F76" s="14" t="s">
        <v>551</v>
      </c>
      <c r="G76" s="6" t="s">
        <v>30</v>
      </c>
      <c r="H76" s="6" t="s">
        <v>30</v>
      </c>
      <c r="I76" s="15" t="n">
        <v>35000</v>
      </c>
      <c r="J76" s="16" t="n">
        <v>40000</v>
      </c>
      <c r="K76" s="16" t="n">
        <v>28000</v>
      </c>
      <c r="L76" s="6" t="s">
        <v>177</v>
      </c>
      <c r="M76" s="17" t="n">
        <v>4800000</v>
      </c>
      <c r="N76" s="18" t="n">
        <v>2</v>
      </c>
      <c r="O76" s="18" t="n">
        <v>10</v>
      </c>
      <c r="P76" s="19" t="n">
        <v>0.05</v>
      </c>
      <c r="Q76" s="20" t="n">
        <v>0.5</v>
      </c>
      <c r="R76" s="14" t="s">
        <v>552</v>
      </c>
      <c r="S76" s="21" t="s">
        <v>84</v>
      </c>
      <c r="T76" s="6" t="s">
        <v>85</v>
      </c>
      <c r="U76" s="14" t="s">
        <v>553</v>
      </c>
      <c r="V76" s="22"/>
      <c r="W76" s="23"/>
      <c r="X76" s="23"/>
      <c r="Y76" s="24"/>
      <c r="Z76" s="25" t="s">
        <v>528</v>
      </c>
      <c r="AA76" s="25" t="s">
        <v>102</v>
      </c>
      <c r="AB76" s="25" t="s">
        <v>267</v>
      </c>
    </row>
    <row r="77" customFormat="false" ht="30" hidden="false" customHeight="true" outlineLevel="0" collapsed="false">
      <c r="A77" s="6" t="n">
        <v>76</v>
      </c>
      <c r="B77" s="6" t="s">
        <v>548</v>
      </c>
      <c r="C77" s="6" t="s">
        <v>554</v>
      </c>
      <c r="D77" s="6" t="s">
        <v>555</v>
      </c>
      <c r="E77" s="6" t="s">
        <v>556</v>
      </c>
      <c r="F77" s="14" t="s">
        <v>557</v>
      </c>
      <c r="G77" s="6" t="s">
        <v>30</v>
      </c>
      <c r="H77" s="6" t="s">
        <v>30</v>
      </c>
      <c r="I77" s="15" t="n">
        <v>35000</v>
      </c>
      <c r="J77" s="16" t="n">
        <v>40000</v>
      </c>
      <c r="K77" s="16" t="n">
        <v>28000</v>
      </c>
      <c r="L77" s="6" t="s">
        <v>177</v>
      </c>
      <c r="M77" s="17" t="n">
        <v>4800000</v>
      </c>
      <c r="N77" s="18" t="n">
        <v>3</v>
      </c>
      <c r="O77" s="18" t="n">
        <v>8</v>
      </c>
      <c r="P77" s="19" t="n">
        <v>0.05</v>
      </c>
      <c r="Q77" s="20" t="n">
        <v>0.3</v>
      </c>
      <c r="R77" s="14" t="s">
        <v>558</v>
      </c>
      <c r="S77" s="27" t="s">
        <v>321</v>
      </c>
      <c r="T77" s="6" t="s">
        <v>85</v>
      </c>
      <c r="U77" s="14" t="s">
        <v>559</v>
      </c>
      <c r="V77" s="22"/>
      <c r="W77" s="23"/>
      <c r="X77" s="23"/>
      <c r="Y77" s="24"/>
      <c r="Z77" s="25" t="s">
        <v>514</v>
      </c>
      <c r="AA77" s="25" t="s">
        <v>88</v>
      </c>
      <c r="AB77" s="25" t="s">
        <v>267</v>
      </c>
    </row>
    <row r="78" customFormat="false" ht="30" hidden="false" customHeight="true" outlineLevel="0" collapsed="false">
      <c r="A78" s="6" t="n">
        <v>77</v>
      </c>
      <c r="B78" s="6" t="s">
        <v>548</v>
      </c>
      <c r="C78" s="6" t="s">
        <v>560</v>
      </c>
      <c r="D78" s="6" t="s">
        <v>561</v>
      </c>
      <c r="E78" s="6" t="s">
        <v>562</v>
      </c>
      <c r="F78" s="14" t="s">
        <v>563</v>
      </c>
      <c r="G78" s="6" t="s">
        <v>28</v>
      </c>
      <c r="H78" s="6" t="s">
        <v>30</v>
      </c>
      <c r="I78" s="15" t="n">
        <v>3500</v>
      </c>
      <c r="J78" s="16" t="n">
        <v>4000</v>
      </c>
      <c r="K78" s="16" t="n">
        <v>2500</v>
      </c>
      <c r="L78" s="6" t="s">
        <v>177</v>
      </c>
      <c r="M78" s="17" t="n">
        <v>480000</v>
      </c>
      <c r="N78" s="18" t="n">
        <v>6</v>
      </c>
      <c r="O78" s="18" t="n">
        <v>10</v>
      </c>
      <c r="P78" s="19" t="n">
        <v>0.04</v>
      </c>
      <c r="Q78" s="20" t="n">
        <v>0</v>
      </c>
      <c r="R78" s="14" t="s">
        <v>564</v>
      </c>
      <c r="S78" s="26" t="s">
        <v>140</v>
      </c>
      <c r="T78" s="6" t="s">
        <v>85</v>
      </c>
      <c r="U78" s="14" t="s">
        <v>565</v>
      </c>
      <c r="V78" s="22"/>
      <c r="W78" s="23"/>
      <c r="X78" s="23"/>
      <c r="Y78" s="24"/>
      <c r="Z78" s="25" t="s">
        <v>259</v>
      </c>
      <c r="AA78" s="25" t="s">
        <v>127</v>
      </c>
      <c r="AB78" s="25" t="s">
        <v>267</v>
      </c>
    </row>
    <row r="79" customFormat="false" ht="30" hidden="false" customHeight="true" outlineLevel="0" collapsed="false">
      <c r="A79" s="6" t="n">
        <v>78</v>
      </c>
      <c r="B79" s="6" t="s">
        <v>548</v>
      </c>
      <c r="C79" s="6" t="s">
        <v>566</v>
      </c>
      <c r="D79" s="6" t="s">
        <v>567</v>
      </c>
      <c r="E79" s="6" t="s">
        <v>568</v>
      </c>
      <c r="F79" s="14" t="s">
        <v>569</v>
      </c>
      <c r="G79" s="6" t="s">
        <v>28</v>
      </c>
      <c r="H79" s="6" t="s">
        <v>30</v>
      </c>
      <c r="I79" s="15" t="n">
        <v>3500</v>
      </c>
      <c r="J79" s="16" t="n">
        <v>4000</v>
      </c>
      <c r="K79" s="16" t="n">
        <v>2500</v>
      </c>
      <c r="L79" s="6" t="s">
        <v>177</v>
      </c>
      <c r="M79" s="17" t="n">
        <v>480000</v>
      </c>
      <c r="N79" s="18" t="n">
        <v>8</v>
      </c>
      <c r="O79" s="18" t="n">
        <v>7</v>
      </c>
      <c r="P79" s="19" t="n">
        <v>0.06</v>
      </c>
      <c r="Q79" s="20" t="n">
        <v>0</v>
      </c>
      <c r="R79" s="14" t="s">
        <v>570</v>
      </c>
      <c r="S79" s="26" t="s">
        <v>140</v>
      </c>
      <c r="T79" s="6" t="s">
        <v>85</v>
      </c>
      <c r="U79" s="14" t="s">
        <v>571</v>
      </c>
      <c r="V79" s="22"/>
      <c r="W79" s="23"/>
      <c r="X79" s="23"/>
      <c r="Y79" s="24"/>
      <c r="Z79" s="25" t="s">
        <v>329</v>
      </c>
      <c r="AA79" s="25" t="s">
        <v>88</v>
      </c>
      <c r="AB79" s="25" t="s">
        <v>89</v>
      </c>
    </row>
    <row r="80" customFormat="false" ht="30" hidden="false" customHeight="true" outlineLevel="0" collapsed="false">
      <c r="A80" s="6" t="n">
        <v>79</v>
      </c>
      <c r="B80" s="6" t="s">
        <v>548</v>
      </c>
      <c r="C80" s="6" t="s">
        <v>572</v>
      </c>
      <c r="D80" s="6" t="s">
        <v>573</v>
      </c>
      <c r="E80" s="6" t="s">
        <v>574</v>
      </c>
      <c r="F80" s="14" t="s">
        <v>575</v>
      </c>
      <c r="G80" s="6" t="s">
        <v>30</v>
      </c>
      <c r="H80" s="6" t="s">
        <v>30</v>
      </c>
      <c r="I80" s="15" t="n">
        <v>18000</v>
      </c>
      <c r="J80" s="16" t="n">
        <v>0</v>
      </c>
      <c r="K80" s="16" t="n">
        <v>14000</v>
      </c>
      <c r="L80" s="6" t="s">
        <v>177</v>
      </c>
      <c r="M80" s="17" t="n">
        <v>2500000</v>
      </c>
      <c r="N80" s="18" t="n">
        <v>2</v>
      </c>
      <c r="O80" s="18" t="n">
        <v>10</v>
      </c>
      <c r="P80" s="19" t="n">
        <v>0.05</v>
      </c>
      <c r="Q80" s="20" t="n">
        <v>0.3</v>
      </c>
      <c r="R80" s="14" t="s">
        <v>576</v>
      </c>
      <c r="S80" s="21" t="s">
        <v>84</v>
      </c>
      <c r="T80" s="6" t="s">
        <v>85</v>
      </c>
      <c r="U80" s="14" t="s">
        <v>577</v>
      </c>
      <c r="V80" s="22"/>
      <c r="W80" s="23"/>
      <c r="X80" s="23"/>
      <c r="Y80" s="24"/>
      <c r="Z80" s="25" t="s">
        <v>412</v>
      </c>
      <c r="AA80" s="25" t="s">
        <v>88</v>
      </c>
      <c r="AB80" s="25" t="s">
        <v>89</v>
      </c>
    </row>
    <row r="81" customFormat="false" ht="30" hidden="false" customHeight="true" outlineLevel="0" collapsed="false">
      <c r="A81" s="6" t="n">
        <v>80</v>
      </c>
      <c r="B81" s="6" t="s">
        <v>578</v>
      </c>
      <c r="C81" s="6" t="s">
        <v>579</v>
      </c>
      <c r="D81" s="6" t="s">
        <v>580</v>
      </c>
      <c r="E81" s="6" t="s">
        <v>581</v>
      </c>
      <c r="F81" s="14" t="s">
        <v>582</v>
      </c>
      <c r="G81" s="6" t="s">
        <v>26</v>
      </c>
      <c r="H81" s="6" t="s">
        <v>30</v>
      </c>
      <c r="I81" s="15" t="n">
        <v>42000</v>
      </c>
      <c r="J81" s="16" t="n">
        <v>52000</v>
      </c>
      <c r="K81" s="16" t="n">
        <v>38000</v>
      </c>
      <c r="L81" s="6" t="s">
        <v>177</v>
      </c>
      <c r="M81" s="17" t="n">
        <v>5300000</v>
      </c>
      <c r="N81" s="18" t="n">
        <v>1</v>
      </c>
      <c r="O81" s="18" t="n">
        <v>15</v>
      </c>
      <c r="P81" s="19" t="n">
        <v>0.04</v>
      </c>
      <c r="Q81" s="20" t="n">
        <v>0</v>
      </c>
      <c r="R81" s="14" t="s">
        <v>583</v>
      </c>
      <c r="S81" s="21" t="s">
        <v>84</v>
      </c>
      <c r="T81" s="6" t="s">
        <v>85</v>
      </c>
      <c r="U81" s="14" t="s">
        <v>584</v>
      </c>
      <c r="V81" s="22"/>
      <c r="W81" s="23"/>
      <c r="X81" s="23"/>
      <c r="Y81" s="24"/>
      <c r="Z81" s="25" t="s">
        <v>412</v>
      </c>
      <c r="AA81" s="25" t="s">
        <v>88</v>
      </c>
      <c r="AB81" s="25" t="s">
        <v>89</v>
      </c>
    </row>
    <row r="82" customFormat="false" ht="30" hidden="false" customHeight="true" outlineLevel="0" collapsed="false">
      <c r="A82" s="6" t="n">
        <v>81</v>
      </c>
      <c r="B82" s="6" t="s">
        <v>578</v>
      </c>
      <c r="C82" s="6" t="s">
        <v>585</v>
      </c>
      <c r="D82" s="6" t="s">
        <v>586</v>
      </c>
      <c r="E82" s="6" t="s">
        <v>587</v>
      </c>
      <c r="F82" s="14" t="s">
        <v>588</v>
      </c>
      <c r="G82" s="6" t="s">
        <v>26</v>
      </c>
      <c r="H82" s="6" t="s">
        <v>28</v>
      </c>
      <c r="I82" s="15" t="n">
        <v>35000</v>
      </c>
      <c r="J82" s="16" t="n">
        <v>42000</v>
      </c>
      <c r="K82" s="16" t="n">
        <v>28000</v>
      </c>
      <c r="L82" s="6" t="s">
        <v>177</v>
      </c>
      <c r="M82" s="17" t="n">
        <v>4400000</v>
      </c>
      <c r="N82" s="18" t="n">
        <v>1</v>
      </c>
      <c r="O82" s="18" t="n">
        <v>12</v>
      </c>
      <c r="P82" s="19" t="n">
        <v>0.04</v>
      </c>
      <c r="Q82" s="20" t="n">
        <v>0</v>
      </c>
      <c r="R82" s="14" t="s">
        <v>589</v>
      </c>
      <c r="S82" s="21" t="s">
        <v>84</v>
      </c>
      <c r="T82" s="6" t="s">
        <v>85</v>
      </c>
      <c r="U82" s="14" t="s">
        <v>590</v>
      </c>
      <c r="V82" s="22"/>
      <c r="W82" s="23"/>
      <c r="X82" s="23"/>
      <c r="Y82" s="24"/>
      <c r="Z82" s="25" t="s">
        <v>412</v>
      </c>
      <c r="AA82" s="25" t="s">
        <v>127</v>
      </c>
      <c r="AB82" s="25" t="s">
        <v>89</v>
      </c>
    </row>
    <row r="83" customFormat="false" ht="30" hidden="false" customHeight="true" outlineLevel="0" collapsed="false">
      <c r="A83" s="6" t="n">
        <v>82</v>
      </c>
      <c r="B83" s="6" t="s">
        <v>578</v>
      </c>
      <c r="C83" s="6" t="s">
        <v>591</v>
      </c>
      <c r="D83" s="6" t="s">
        <v>592</v>
      </c>
      <c r="E83" s="6" t="s">
        <v>593</v>
      </c>
      <c r="F83" s="14" t="s">
        <v>594</v>
      </c>
      <c r="G83" s="6" t="s">
        <v>26</v>
      </c>
      <c r="H83" s="6" t="s">
        <v>30</v>
      </c>
      <c r="I83" s="15" t="n">
        <v>22000</v>
      </c>
      <c r="J83" s="16" t="n">
        <v>27000</v>
      </c>
      <c r="K83" s="16" t="n">
        <v>19000</v>
      </c>
      <c r="L83" s="6" t="s">
        <v>177</v>
      </c>
      <c r="M83" s="17" t="n">
        <v>2750000</v>
      </c>
      <c r="N83" s="18" t="n">
        <v>3</v>
      </c>
      <c r="O83" s="18" t="n">
        <v>12</v>
      </c>
      <c r="P83" s="19" t="n">
        <v>0.05</v>
      </c>
      <c r="Q83" s="20" t="n">
        <v>0</v>
      </c>
      <c r="R83" s="14" t="s">
        <v>595</v>
      </c>
      <c r="S83" s="26" t="s">
        <v>140</v>
      </c>
      <c r="T83" s="6" t="s">
        <v>85</v>
      </c>
      <c r="U83" s="14" t="s">
        <v>596</v>
      </c>
      <c r="V83" s="22"/>
      <c r="W83" s="23"/>
      <c r="X83" s="23"/>
      <c r="Y83" s="24"/>
      <c r="Z83" s="25" t="s">
        <v>597</v>
      </c>
      <c r="AA83" s="25" t="s">
        <v>127</v>
      </c>
      <c r="AB83" s="25" t="s">
        <v>89</v>
      </c>
    </row>
    <row r="84" customFormat="false" ht="30" hidden="false" customHeight="true" outlineLevel="0" collapsed="false">
      <c r="A84" s="6" t="n">
        <v>83</v>
      </c>
      <c r="B84" s="6" t="s">
        <v>578</v>
      </c>
      <c r="C84" s="6" t="s">
        <v>598</v>
      </c>
      <c r="D84" s="6" t="s">
        <v>599</v>
      </c>
      <c r="E84" s="6" t="s">
        <v>600</v>
      </c>
      <c r="F84" s="14" t="s">
        <v>601</v>
      </c>
      <c r="G84" s="6" t="s">
        <v>26</v>
      </c>
      <c r="H84" s="6" t="s">
        <v>28</v>
      </c>
      <c r="I84" s="15" t="n">
        <v>14500</v>
      </c>
      <c r="J84" s="16" t="n">
        <v>18000</v>
      </c>
      <c r="K84" s="16" t="n">
        <v>12000</v>
      </c>
      <c r="L84" s="6" t="s">
        <v>177</v>
      </c>
      <c r="M84" s="17" t="n">
        <v>1800000</v>
      </c>
      <c r="N84" s="18" t="n">
        <v>2</v>
      </c>
      <c r="O84" s="18" t="n">
        <v>12</v>
      </c>
      <c r="P84" s="19" t="n">
        <v>0.05</v>
      </c>
      <c r="Q84" s="20" t="n">
        <v>0</v>
      </c>
      <c r="R84" s="14" t="s">
        <v>602</v>
      </c>
      <c r="S84" s="26" t="s">
        <v>140</v>
      </c>
      <c r="T84" s="6" t="s">
        <v>85</v>
      </c>
      <c r="U84" s="14" t="s">
        <v>603</v>
      </c>
      <c r="V84" s="22"/>
      <c r="W84" s="23"/>
      <c r="X84" s="23"/>
      <c r="Y84" s="24"/>
      <c r="Z84" s="25" t="s">
        <v>412</v>
      </c>
      <c r="AA84" s="25" t="s">
        <v>88</v>
      </c>
      <c r="AB84" s="25" t="s">
        <v>89</v>
      </c>
    </row>
    <row r="85" customFormat="false" ht="30" hidden="false" customHeight="true" outlineLevel="0" collapsed="false">
      <c r="A85" s="6" t="n">
        <v>84</v>
      </c>
      <c r="B85" s="6" t="s">
        <v>578</v>
      </c>
      <c r="C85" s="6" t="s">
        <v>604</v>
      </c>
      <c r="D85" s="6" t="s">
        <v>605</v>
      </c>
      <c r="E85" s="6" t="s">
        <v>606</v>
      </c>
      <c r="F85" s="14" t="s">
        <v>607</v>
      </c>
      <c r="G85" s="6" t="s">
        <v>26</v>
      </c>
      <c r="H85" s="6" t="s">
        <v>30</v>
      </c>
      <c r="I85" s="15" t="n">
        <v>75000</v>
      </c>
      <c r="J85" s="16" t="n">
        <v>90000</v>
      </c>
      <c r="K85" s="16" t="n">
        <v>60000</v>
      </c>
      <c r="L85" s="6" t="s">
        <v>177</v>
      </c>
      <c r="M85" s="17" t="n">
        <v>9500000</v>
      </c>
      <c r="N85" s="18" t="n">
        <v>1</v>
      </c>
      <c r="O85" s="18" t="n">
        <v>12</v>
      </c>
      <c r="P85" s="19" t="n">
        <v>0.05</v>
      </c>
      <c r="Q85" s="20" t="n">
        <v>0</v>
      </c>
      <c r="R85" s="14" t="s">
        <v>608</v>
      </c>
      <c r="S85" s="26" t="s">
        <v>140</v>
      </c>
      <c r="T85" s="6" t="s">
        <v>85</v>
      </c>
      <c r="U85" s="14" t="s">
        <v>609</v>
      </c>
      <c r="V85" s="22"/>
      <c r="W85" s="23"/>
      <c r="X85" s="23"/>
      <c r="Y85" s="24"/>
      <c r="Z85" s="25" t="s">
        <v>412</v>
      </c>
      <c r="AA85" s="25" t="s">
        <v>88</v>
      </c>
      <c r="AB85" s="25" t="s">
        <v>89</v>
      </c>
    </row>
    <row r="86" customFormat="false" ht="30" hidden="false" customHeight="true" outlineLevel="0" collapsed="false">
      <c r="A86" s="6" t="n">
        <v>85</v>
      </c>
      <c r="B86" s="6" t="s">
        <v>578</v>
      </c>
      <c r="C86" s="6" t="s">
        <v>610</v>
      </c>
      <c r="D86" s="6" t="s">
        <v>611</v>
      </c>
      <c r="E86" s="6" t="s">
        <v>612</v>
      </c>
      <c r="F86" s="14" t="s">
        <v>613</v>
      </c>
      <c r="G86" s="6" t="s">
        <v>26</v>
      </c>
      <c r="H86" s="6" t="s">
        <v>30</v>
      </c>
      <c r="I86" s="15" t="n">
        <v>28000</v>
      </c>
      <c r="J86" s="16" t="n">
        <v>34000</v>
      </c>
      <c r="K86" s="16" t="n">
        <v>22000</v>
      </c>
      <c r="L86" s="6" t="s">
        <v>177</v>
      </c>
      <c r="M86" s="17" t="n">
        <v>3500000</v>
      </c>
      <c r="N86" s="18" t="n">
        <v>4</v>
      </c>
      <c r="O86" s="18" t="n">
        <v>10</v>
      </c>
      <c r="P86" s="19" t="n">
        <v>0.05</v>
      </c>
      <c r="Q86" s="20" t="n">
        <v>0</v>
      </c>
      <c r="R86" s="14" t="s">
        <v>614</v>
      </c>
      <c r="S86" s="26" t="s">
        <v>140</v>
      </c>
      <c r="T86" s="6" t="s">
        <v>85</v>
      </c>
      <c r="U86" s="14" t="s">
        <v>615</v>
      </c>
      <c r="V86" s="22"/>
      <c r="W86" s="23"/>
      <c r="X86" s="23"/>
      <c r="Y86" s="24"/>
      <c r="Z86" s="25" t="s">
        <v>412</v>
      </c>
      <c r="AA86" s="25" t="s">
        <v>88</v>
      </c>
      <c r="AB86" s="25" t="s">
        <v>89</v>
      </c>
    </row>
    <row r="87" customFormat="false" ht="30" hidden="false" customHeight="true" outlineLevel="0" collapsed="false">
      <c r="A87" s="6" t="n">
        <v>86</v>
      </c>
      <c r="B87" s="6" t="s">
        <v>578</v>
      </c>
      <c r="C87" s="6" t="s">
        <v>616</v>
      </c>
      <c r="D87" s="6" t="s">
        <v>617</v>
      </c>
      <c r="E87" s="6" t="s">
        <v>618</v>
      </c>
      <c r="F87" s="14" t="s">
        <v>619</v>
      </c>
      <c r="G87" s="6" t="s">
        <v>26</v>
      </c>
      <c r="H87" s="6" t="s">
        <v>30</v>
      </c>
      <c r="I87" s="15" t="n">
        <v>95000</v>
      </c>
      <c r="J87" s="16" t="n">
        <v>115000</v>
      </c>
      <c r="K87" s="16" t="n">
        <v>75000</v>
      </c>
      <c r="L87" s="6" t="s">
        <v>177</v>
      </c>
      <c r="M87" s="17" t="n">
        <v>12500000</v>
      </c>
      <c r="N87" s="18" t="n">
        <v>1</v>
      </c>
      <c r="O87" s="18" t="n">
        <v>20</v>
      </c>
      <c r="P87" s="19" t="n">
        <v>0.03</v>
      </c>
      <c r="Q87" s="20" t="n">
        <v>0</v>
      </c>
      <c r="R87" s="14" t="s">
        <v>620</v>
      </c>
      <c r="S87" s="21" t="s">
        <v>84</v>
      </c>
      <c r="T87" s="6" t="s">
        <v>85</v>
      </c>
      <c r="U87" s="14" t="s">
        <v>621</v>
      </c>
      <c r="V87" s="22"/>
      <c r="W87" s="23"/>
      <c r="X87" s="23"/>
      <c r="Y87" s="24"/>
      <c r="Z87" s="25" t="s">
        <v>412</v>
      </c>
      <c r="AA87" s="25" t="s">
        <v>127</v>
      </c>
      <c r="AB87" s="25" t="s">
        <v>89</v>
      </c>
    </row>
    <row r="88" customFormat="false" ht="30" hidden="false" customHeight="true" outlineLevel="0" collapsed="false">
      <c r="A88" s="6" t="n">
        <v>87</v>
      </c>
      <c r="B88" s="6" t="s">
        <v>578</v>
      </c>
      <c r="C88" s="6" t="s">
        <v>622</v>
      </c>
      <c r="D88" s="6" t="s">
        <v>623</v>
      </c>
      <c r="E88" s="6" t="s">
        <v>624</v>
      </c>
      <c r="F88" s="14" t="s">
        <v>625</v>
      </c>
      <c r="G88" s="6" t="s">
        <v>26</v>
      </c>
      <c r="H88" s="6" t="s">
        <v>30</v>
      </c>
      <c r="I88" s="15" t="n">
        <v>65000</v>
      </c>
      <c r="J88" s="16" t="n">
        <v>72000</v>
      </c>
      <c r="K88" s="16" t="n">
        <v>58000</v>
      </c>
      <c r="L88" s="6" t="s">
        <v>201</v>
      </c>
      <c r="M88" s="17" t="n">
        <v>8200000</v>
      </c>
      <c r="N88" s="18" t="n">
        <v>1</v>
      </c>
      <c r="O88" s="18" t="n">
        <v>10</v>
      </c>
      <c r="P88" s="19" t="n">
        <v>0.05</v>
      </c>
      <c r="Q88" s="20" t="n">
        <v>0</v>
      </c>
      <c r="R88" s="14" t="s">
        <v>626</v>
      </c>
      <c r="S88" s="21" t="s">
        <v>84</v>
      </c>
      <c r="T88" s="6" t="s">
        <v>85</v>
      </c>
      <c r="U88" s="14" t="s">
        <v>627</v>
      </c>
      <c r="V88" s="22"/>
      <c r="W88" s="23"/>
      <c r="X88" s="23"/>
      <c r="Y88" s="24"/>
      <c r="Z88" s="25" t="s">
        <v>470</v>
      </c>
      <c r="AA88" s="25" t="s">
        <v>127</v>
      </c>
      <c r="AB88" s="25" t="s">
        <v>89</v>
      </c>
    </row>
    <row r="89" customFormat="false" ht="30" hidden="false" customHeight="true" outlineLevel="0" collapsed="false">
      <c r="A89" s="6" t="n">
        <v>88</v>
      </c>
      <c r="B89" s="6" t="s">
        <v>578</v>
      </c>
      <c r="C89" s="6" t="s">
        <v>628</v>
      </c>
      <c r="D89" s="6" t="s">
        <v>629</v>
      </c>
      <c r="E89" s="6" t="s">
        <v>630</v>
      </c>
      <c r="F89" s="14" t="s">
        <v>631</v>
      </c>
      <c r="G89" s="6" t="s">
        <v>26</v>
      </c>
      <c r="H89" s="6" t="s">
        <v>30</v>
      </c>
      <c r="I89" s="15" t="n">
        <v>9500</v>
      </c>
      <c r="J89" s="16" t="n">
        <v>9900</v>
      </c>
      <c r="K89" s="16" t="n">
        <v>8500</v>
      </c>
      <c r="L89" s="6" t="s">
        <v>201</v>
      </c>
      <c r="M89" s="17" t="n">
        <v>1200000</v>
      </c>
      <c r="N89" s="18" t="n">
        <v>2</v>
      </c>
      <c r="O89" s="18" t="n">
        <v>8</v>
      </c>
      <c r="P89" s="19" t="n">
        <v>0.06</v>
      </c>
      <c r="Q89" s="20" t="n">
        <v>0</v>
      </c>
      <c r="R89" s="14" t="s">
        <v>632</v>
      </c>
      <c r="S89" s="26" t="s">
        <v>140</v>
      </c>
      <c r="T89" s="6" t="s">
        <v>85</v>
      </c>
      <c r="U89" s="14" t="s">
        <v>633</v>
      </c>
      <c r="V89" s="22"/>
      <c r="W89" s="23"/>
      <c r="X89" s="23"/>
      <c r="Y89" s="24"/>
      <c r="Z89" s="25" t="s">
        <v>412</v>
      </c>
      <c r="AA89" s="25" t="s">
        <v>88</v>
      </c>
      <c r="AB89" s="25" t="s">
        <v>89</v>
      </c>
    </row>
    <row r="90" customFormat="false" ht="30" hidden="false" customHeight="true" outlineLevel="0" collapsed="false">
      <c r="A90" s="6" t="n">
        <v>89</v>
      </c>
      <c r="B90" s="6" t="s">
        <v>578</v>
      </c>
      <c r="C90" s="6" t="s">
        <v>634</v>
      </c>
      <c r="D90" s="6" t="s">
        <v>635</v>
      </c>
      <c r="E90" s="6" t="s">
        <v>636</v>
      </c>
      <c r="F90" s="14" t="s">
        <v>637</v>
      </c>
      <c r="G90" s="6" t="s">
        <v>26</v>
      </c>
      <c r="H90" s="6" t="s">
        <v>30</v>
      </c>
      <c r="I90" s="15" t="n">
        <v>95000</v>
      </c>
      <c r="J90" s="16" t="n">
        <v>110000</v>
      </c>
      <c r="K90" s="16" t="n">
        <v>75000</v>
      </c>
      <c r="L90" s="6" t="s">
        <v>177</v>
      </c>
      <c r="M90" s="17" t="n">
        <v>12000000</v>
      </c>
      <c r="N90" s="18" t="n">
        <v>1</v>
      </c>
      <c r="O90" s="18" t="n">
        <v>15</v>
      </c>
      <c r="P90" s="19" t="n">
        <v>0.03</v>
      </c>
      <c r="Q90" s="20" t="n">
        <v>0</v>
      </c>
      <c r="R90" s="14" t="s">
        <v>638</v>
      </c>
      <c r="S90" s="21" t="s">
        <v>84</v>
      </c>
      <c r="T90" s="6" t="s">
        <v>85</v>
      </c>
      <c r="U90" s="14" t="s">
        <v>639</v>
      </c>
      <c r="V90" s="22"/>
      <c r="W90" s="23"/>
      <c r="X90" s="23"/>
      <c r="Y90" s="24"/>
      <c r="Z90" s="25" t="s">
        <v>640</v>
      </c>
      <c r="AA90" s="25" t="s">
        <v>102</v>
      </c>
      <c r="AB90" s="25" t="s">
        <v>267</v>
      </c>
    </row>
    <row r="91" customFormat="false" ht="30" hidden="false" customHeight="true" outlineLevel="0" collapsed="false">
      <c r="A91" s="6" t="n">
        <v>90</v>
      </c>
      <c r="B91" s="6" t="s">
        <v>578</v>
      </c>
      <c r="C91" s="6" t="s">
        <v>641</v>
      </c>
      <c r="D91" s="6" t="s">
        <v>642</v>
      </c>
      <c r="E91" s="6" t="s">
        <v>643</v>
      </c>
      <c r="F91" s="14" t="s">
        <v>644</v>
      </c>
      <c r="G91" s="6" t="s">
        <v>26</v>
      </c>
      <c r="H91" s="6" t="s">
        <v>30</v>
      </c>
      <c r="I91" s="15" t="n">
        <v>180000</v>
      </c>
      <c r="J91" s="16" t="n">
        <v>210000</v>
      </c>
      <c r="K91" s="16" t="n">
        <v>130000</v>
      </c>
      <c r="L91" s="6" t="s">
        <v>177</v>
      </c>
      <c r="M91" s="17" t="n">
        <v>22000000</v>
      </c>
      <c r="N91" s="18" t="n">
        <v>1</v>
      </c>
      <c r="O91" s="18" t="n">
        <v>5</v>
      </c>
      <c r="P91" s="19" t="n">
        <v>0.15</v>
      </c>
      <c r="Q91" s="20" t="n">
        <v>0</v>
      </c>
      <c r="R91" s="14" t="s">
        <v>645</v>
      </c>
      <c r="S91" s="21" t="s">
        <v>84</v>
      </c>
      <c r="T91" s="6" t="s">
        <v>85</v>
      </c>
      <c r="U91" s="14" t="s">
        <v>646</v>
      </c>
      <c r="V91" s="22"/>
      <c r="W91" s="23"/>
      <c r="X91" s="23"/>
      <c r="Y91" s="24"/>
      <c r="Z91" s="25" t="s">
        <v>647</v>
      </c>
      <c r="AA91" s="25" t="s">
        <v>102</v>
      </c>
      <c r="AB91" s="25" t="s">
        <v>267</v>
      </c>
    </row>
    <row r="92" customFormat="false" ht="30" hidden="false" customHeight="true" outlineLevel="0" collapsed="false">
      <c r="A92" s="6" t="n">
        <v>91</v>
      </c>
      <c r="B92" s="6" t="s">
        <v>578</v>
      </c>
      <c r="C92" s="6" t="s">
        <v>648</v>
      </c>
      <c r="D92" s="6" t="s">
        <v>649</v>
      </c>
      <c r="E92" s="6" t="s">
        <v>650</v>
      </c>
      <c r="F92" s="14" t="s">
        <v>651</v>
      </c>
      <c r="G92" s="6" t="s">
        <v>26</v>
      </c>
      <c r="H92" s="6" t="s">
        <v>30</v>
      </c>
      <c r="I92" s="15" t="n">
        <v>120000</v>
      </c>
      <c r="J92" s="16" t="n">
        <v>140000</v>
      </c>
      <c r="K92" s="16" t="n">
        <v>80000</v>
      </c>
      <c r="L92" s="6" t="s">
        <v>177</v>
      </c>
      <c r="M92" s="17" t="n">
        <v>13000000</v>
      </c>
      <c r="N92" s="18" t="n">
        <v>1</v>
      </c>
      <c r="O92" s="18" t="n">
        <v>20</v>
      </c>
      <c r="P92" s="19" t="n">
        <v>0.01</v>
      </c>
      <c r="Q92" s="20" t="n">
        <v>0</v>
      </c>
      <c r="R92" s="14" t="s">
        <v>652</v>
      </c>
      <c r="S92" s="21" t="s">
        <v>84</v>
      </c>
      <c r="T92" s="6" t="s">
        <v>85</v>
      </c>
      <c r="U92" s="14" t="s">
        <v>653</v>
      </c>
      <c r="V92" s="22"/>
      <c r="W92" s="23"/>
      <c r="X92" s="23"/>
      <c r="Y92" s="24"/>
      <c r="Z92" s="25" t="s">
        <v>654</v>
      </c>
      <c r="AA92" s="25" t="s">
        <v>102</v>
      </c>
      <c r="AB92" s="25" t="s">
        <v>267</v>
      </c>
    </row>
    <row r="93" customFormat="false" ht="30" hidden="false" customHeight="true" outlineLevel="0" collapsed="false">
      <c r="A93" s="6" t="n">
        <v>92</v>
      </c>
      <c r="B93" s="6" t="s">
        <v>578</v>
      </c>
      <c r="C93" s="6" t="s">
        <v>655</v>
      </c>
      <c r="D93" s="6" t="s">
        <v>656</v>
      </c>
      <c r="E93" s="6" t="s">
        <v>657</v>
      </c>
      <c r="F93" s="14" t="s">
        <v>658</v>
      </c>
      <c r="G93" s="6" t="s">
        <v>26</v>
      </c>
      <c r="H93" s="6" t="s">
        <v>30</v>
      </c>
      <c r="I93" s="15" t="n">
        <v>38000</v>
      </c>
      <c r="J93" s="16" t="n">
        <v>45000</v>
      </c>
      <c r="K93" s="16" t="n">
        <v>28000</v>
      </c>
      <c r="L93" s="6" t="s">
        <v>177</v>
      </c>
      <c r="M93" s="17" t="n">
        <v>4800000</v>
      </c>
      <c r="N93" s="18" t="n">
        <v>1</v>
      </c>
      <c r="O93" s="18" t="n">
        <v>10</v>
      </c>
      <c r="P93" s="19" t="n">
        <v>0.05</v>
      </c>
      <c r="Q93" s="20" t="n">
        <v>0</v>
      </c>
      <c r="R93" s="14" t="s">
        <v>659</v>
      </c>
      <c r="S93" s="21" t="s">
        <v>84</v>
      </c>
      <c r="T93" s="6" t="s">
        <v>85</v>
      </c>
      <c r="U93" s="14" t="s">
        <v>660</v>
      </c>
      <c r="V93" s="22"/>
      <c r="W93" s="23"/>
      <c r="X93" s="23"/>
      <c r="Y93" s="24"/>
      <c r="Z93" s="25" t="s">
        <v>654</v>
      </c>
      <c r="AA93" s="25" t="s">
        <v>102</v>
      </c>
      <c r="AB93" s="25" t="s">
        <v>267</v>
      </c>
    </row>
    <row r="94" customFormat="false" ht="30" hidden="false" customHeight="true" outlineLevel="0" collapsed="false">
      <c r="A94" s="6" t="n">
        <v>93</v>
      </c>
      <c r="B94" s="6" t="s">
        <v>578</v>
      </c>
      <c r="C94" s="6" t="s">
        <v>661</v>
      </c>
      <c r="D94" s="6" t="s">
        <v>662</v>
      </c>
      <c r="E94" s="6" t="s">
        <v>663</v>
      </c>
      <c r="F94" s="14" t="s">
        <v>664</v>
      </c>
      <c r="G94" s="6" t="s">
        <v>26</v>
      </c>
      <c r="H94" s="6" t="s">
        <v>30</v>
      </c>
      <c r="I94" s="15" t="n">
        <v>85000</v>
      </c>
      <c r="J94" s="16" t="n">
        <v>95000</v>
      </c>
      <c r="K94" s="16" t="n">
        <v>65000</v>
      </c>
      <c r="L94" s="6" t="s">
        <v>177</v>
      </c>
      <c r="M94" s="17" t="n">
        <v>11000000</v>
      </c>
      <c r="N94" s="18" t="n">
        <v>1</v>
      </c>
      <c r="O94" s="18" t="n">
        <v>15</v>
      </c>
      <c r="P94" s="19" t="n">
        <v>0.04</v>
      </c>
      <c r="Q94" s="20" t="n">
        <v>0</v>
      </c>
      <c r="R94" s="14" t="s">
        <v>665</v>
      </c>
      <c r="S94" s="26" t="s">
        <v>140</v>
      </c>
      <c r="T94" s="6" t="s">
        <v>85</v>
      </c>
      <c r="U94" s="14" t="s">
        <v>666</v>
      </c>
      <c r="V94" s="22"/>
      <c r="W94" s="23"/>
      <c r="X94" s="23"/>
      <c r="Y94" s="24"/>
      <c r="Z94" s="25" t="s">
        <v>654</v>
      </c>
      <c r="AA94" s="25" t="s">
        <v>102</v>
      </c>
      <c r="AB94" s="25" t="s">
        <v>267</v>
      </c>
    </row>
    <row r="95" customFormat="false" ht="30" hidden="false" customHeight="true" outlineLevel="0" collapsed="false">
      <c r="A95" s="6" t="n">
        <v>94</v>
      </c>
      <c r="B95" s="6" t="s">
        <v>667</v>
      </c>
      <c r="C95" s="6" t="s">
        <v>668</v>
      </c>
      <c r="D95" s="6" t="s">
        <v>669</v>
      </c>
      <c r="E95" s="6" t="s">
        <v>670</v>
      </c>
      <c r="F95" s="14" t="s">
        <v>671</v>
      </c>
      <c r="G95" s="6" t="s">
        <v>28</v>
      </c>
      <c r="H95" s="6" t="s">
        <v>30</v>
      </c>
      <c r="I95" s="15" t="n">
        <v>0</v>
      </c>
      <c r="J95" s="16" t="n">
        <v>0</v>
      </c>
      <c r="K95" s="16" t="n">
        <v>0</v>
      </c>
      <c r="L95" s="6" t="s">
        <v>201</v>
      </c>
      <c r="M95" s="17" t="n">
        <v>0</v>
      </c>
      <c r="N95" s="18" t="n">
        <v>0</v>
      </c>
      <c r="O95" s="18" t="n">
        <v>0</v>
      </c>
      <c r="P95" s="19" t="n">
        <v>0</v>
      </c>
      <c r="Q95" s="20" t="n">
        <v>0</v>
      </c>
      <c r="R95" s="14" t="s">
        <v>672</v>
      </c>
      <c r="S95" s="26" t="s">
        <v>140</v>
      </c>
      <c r="T95" s="6" t="s">
        <v>85</v>
      </c>
      <c r="U95" s="14" t="s">
        <v>673</v>
      </c>
      <c r="V95" s="22"/>
      <c r="W95" s="23"/>
      <c r="X95" s="23"/>
      <c r="Y95" s="24"/>
      <c r="Z95" s="25" t="s">
        <v>674</v>
      </c>
      <c r="AA95" s="25" t="s">
        <v>102</v>
      </c>
      <c r="AB95" s="25" t="s">
        <v>267</v>
      </c>
    </row>
    <row r="96" customFormat="false" ht="30" hidden="false" customHeight="true" outlineLevel="0" collapsed="false">
      <c r="A96" s="6" t="n">
        <v>95</v>
      </c>
      <c r="B96" s="6" t="s">
        <v>667</v>
      </c>
      <c r="C96" s="6" t="s">
        <v>675</v>
      </c>
      <c r="D96" s="6" t="s">
        <v>676</v>
      </c>
      <c r="E96" s="6" t="s">
        <v>677</v>
      </c>
      <c r="F96" s="14" t="s">
        <v>678</v>
      </c>
      <c r="G96" s="6" t="s">
        <v>28</v>
      </c>
      <c r="H96" s="6" t="s">
        <v>30</v>
      </c>
      <c r="I96" s="15" t="n">
        <v>70000</v>
      </c>
      <c r="J96" s="16" t="n">
        <v>80000</v>
      </c>
      <c r="K96" s="16" t="n">
        <v>55000</v>
      </c>
      <c r="L96" s="6" t="s">
        <v>177</v>
      </c>
      <c r="M96" s="17" t="n">
        <v>9700000</v>
      </c>
      <c r="N96" s="18" t="n">
        <v>1</v>
      </c>
      <c r="O96" s="18" t="n">
        <v>8</v>
      </c>
      <c r="P96" s="19" t="n">
        <v>0.1</v>
      </c>
      <c r="Q96" s="20" t="n">
        <v>0.5</v>
      </c>
      <c r="R96" s="14" t="s">
        <v>679</v>
      </c>
      <c r="S96" s="21" t="s">
        <v>84</v>
      </c>
      <c r="T96" s="6" t="s">
        <v>85</v>
      </c>
      <c r="U96" s="14" t="s">
        <v>680</v>
      </c>
      <c r="V96" s="22"/>
      <c r="W96" s="23"/>
      <c r="X96" s="23"/>
      <c r="Y96" s="24"/>
      <c r="Z96" s="25" t="s">
        <v>412</v>
      </c>
      <c r="AA96" s="25" t="s">
        <v>127</v>
      </c>
      <c r="AB96" s="25" t="s">
        <v>89</v>
      </c>
    </row>
    <row r="97" customFormat="false" ht="30" hidden="false" customHeight="true" outlineLevel="0" collapsed="false">
      <c r="A97" s="6" t="n">
        <v>96</v>
      </c>
      <c r="B97" s="6" t="s">
        <v>667</v>
      </c>
      <c r="C97" s="6" t="s">
        <v>681</v>
      </c>
      <c r="D97" s="6" t="s">
        <v>682</v>
      </c>
      <c r="E97" s="6" t="s">
        <v>683</v>
      </c>
      <c r="F97" s="14" t="s">
        <v>684</v>
      </c>
      <c r="G97" s="6" t="s">
        <v>28</v>
      </c>
      <c r="H97" s="6" t="s">
        <v>30</v>
      </c>
      <c r="I97" s="15" t="n">
        <v>20000</v>
      </c>
      <c r="J97" s="16" t="n">
        <v>23000</v>
      </c>
      <c r="K97" s="16" t="n">
        <v>15000</v>
      </c>
      <c r="L97" s="6" t="s">
        <v>685</v>
      </c>
      <c r="M97" s="17" t="n">
        <v>2750000</v>
      </c>
      <c r="N97" s="18" t="n">
        <v>2</v>
      </c>
      <c r="O97" s="18" t="n">
        <v>8</v>
      </c>
      <c r="P97" s="19" t="n">
        <v>0.04</v>
      </c>
      <c r="Q97" s="20" t="n">
        <v>0</v>
      </c>
      <c r="R97" s="14" t="s">
        <v>686</v>
      </c>
      <c r="S97" s="26" t="s">
        <v>140</v>
      </c>
      <c r="T97" s="6" t="s">
        <v>85</v>
      </c>
      <c r="U97" s="14" t="s">
        <v>687</v>
      </c>
      <c r="V97" s="22"/>
      <c r="W97" s="23"/>
      <c r="X97" s="23"/>
      <c r="Y97" s="24"/>
      <c r="Z97" s="25" t="s">
        <v>87</v>
      </c>
      <c r="AA97" s="25" t="s">
        <v>102</v>
      </c>
      <c r="AB97" s="25" t="s">
        <v>89</v>
      </c>
    </row>
    <row r="98" customFormat="false" ht="30" hidden="false" customHeight="true" outlineLevel="0" collapsed="false">
      <c r="A98" s="6" t="n">
        <v>97</v>
      </c>
      <c r="B98" s="6" t="s">
        <v>667</v>
      </c>
      <c r="C98" s="6" t="s">
        <v>688</v>
      </c>
      <c r="D98" s="6" t="s">
        <v>689</v>
      </c>
      <c r="E98" s="6" t="s">
        <v>690</v>
      </c>
      <c r="F98" s="14" t="s">
        <v>691</v>
      </c>
      <c r="G98" s="6" t="s">
        <v>28</v>
      </c>
      <c r="H98" s="6" t="s">
        <v>30</v>
      </c>
      <c r="I98" s="15" t="n">
        <v>0</v>
      </c>
      <c r="J98" s="16" t="n">
        <v>0</v>
      </c>
      <c r="K98" s="16" t="n">
        <v>0</v>
      </c>
      <c r="L98" s="6" t="s">
        <v>201</v>
      </c>
      <c r="M98" s="17" t="n">
        <v>0</v>
      </c>
      <c r="N98" s="18" t="n">
        <v>0</v>
      </c>
      <c r="O98" s="18" t="n">
        <v>0</v>
      </c>
      <c r="P98" s="19" t="n">
        <v>0</v>
      </c>
      <c r="Q98" s="20" t="n">
        <v>0</v>
      </c>
      <c r="R98" s="14" t="s">
        <v>692</v>
      </c>
      <c r="S98" s="26" t="s">
        <v>140</v>
      </c>
      <c r="T98" s="6" t="s">
        <v>85</v>
      </c>
      <c r="U98" s="14" t="s">
        <v>693</v>
      </c>
      <c r="V98" s="22"/>
      <c r="W98" s="23"/>
      <c r="X98" s="23"/>
      <c r="Y98" s="24"/>
      <c r="Z98" s="25" t="s">
        <v>87</v>
      </c>
      <c r="AA98" s="25" t="s">
        <v>88</v>
      </c>
      <c r="AB98" s="25" t="s">
        <v>89</v>
      </c>
    </row>
    <row r="99" customFormat="false" ht="30" hidden="false" customHeight="true" outlineLevel="0" collapsed="false">
      <c r="A99" s="6" t="n">
        <v>98</v>
      </c>
      <c r="B99" s="6" t="s">
        <v>667</v>
      </c>
      <c r="C99" s="6" t="s">
        <v>694</v>
      </c>
      <c r="D99" s="6" t="s">
        <v>695</v>
      </c>
      <c r="E99" s="6" t="s">
        <v>696</v>
      </c>
      <c r="F99" s="14" t="s">
        <v>697</v>
      </c>
      <c r="G99" s="6" t="s">
        <v>28</v>
      </c>
      <c r="H99" s="6" t="s">
        <v>30</v>
      </c>
      <c r="I99" s="15" t="n">
        <v>35000</v>
      </c>
      <c r="J99" s="16" t="n">
        <v>40000</v>
      </c>
      <c r="K99" s="16" t="n">
        <v>25000</v>
      </c>
      <c r="L99" s="6" t="s">
        <v>177</v>
      </c>
      <c r="M99" s="17" t="n">
        <v>4800000</v>
      </c>
      <c r="N99" s="18" t="n">
        <v>1</v>
      </c>
      <c r="O99" s="18" t="n">
        <v>8</v>
      </c>
      <c r="P99" s="19" t="n">
        <v>0.1</v>
      </c>
      <c r="Q99" s="20" t="n">
        <v>0.2</v>
      </c>
      <c r="R99" s="14" t="s">
        <v>698</v>
      </c>
      <c r="S99" s="21" t="s">
        <v>84</v>
      </c>
      <c r="T99" s="6" t="s">
        <v>85</v>
      </c>
      <c r="U99" s="14" t="s">
        <v>699</v>
      </c>
      <c r="V99" s="22"/>
      <c r="W99" s="23"/>
      <c r="X99" s="23"/>
      <c r="Y99" s="24"/>
      <c r="Z99" s="25" t="s">
        <v>87</v>
      </c>
      <c r="AA99" s="25" t="s">
        <v>88</v>
      </c>
      <c r="AB99" s="25" t="s">
        <v>89</v>
      </c>
    </row>
    <row r="100" customFormat="false" ht="30" hidden="false" customHeight="true" outlineLevel="0" collapsed="false">
      <c r="A100" s="6" t="n">
        <v>99</v>
      </c>
      <c r="B100" s="6" t="s">
        <v>667</v>
      </c>
      <c r="C100" s="6" t="s">
        <v>700</v>
      </c>
      <c r="D100" s="6" t="s">
        <v>701</v>
      </c>
      <c r="E100" s="6" t="s">
        <v>702</v>
      </c>
      <c r="F100" s="14" t="s">
        <v>703</v>
      </c>
      <c r="G100" s="6" t="s">
        <v>28</v>
      </c>
      <c r="H100" s="6" t="s">
        <v>30</v>
      </c>
      <c r="I100" s="15" t="n">
        <v>0</v>
      </c>
      <c r="J100" s="16" t="n">
        <v>0</v>
      </c>
      <c r="K100" s="16" t="n">
        <v>0</v>
      </c>
      <c r="L100" s="6" t="s">
        <v>201</v>
      </c>
      <c r="M100" s="17" t="n">
        <v>0</v>
      </c>
      <c r="N100" s="18" t="n">
        <v>0</v>
      </c>
      <c r="O100" s="18" t="n">
        <v>0</v>
      </c>
      <c r="P100" s="19" t="n">
        <v>0</v>
      </c>
      <c r="Q100" s="20" t="n">
        <v>0</v>
      </c>
      <c r="R100" s="14" t="s">
        <v>704</v>
      </c>
      <c r="S100" s="26" t="s">
        <v>140</v>
      </c>
      <c r="T100" s="6" t="s">
        <v>85</v>
      </c>
      <c r="U100" s="14" t="s">
        <v>705</v>
      </c>
      <c r="V100" s="22"/>
      <c r="W100" s="23"/>
      <c r="X100" s="23"/>
      <c r="Y100" s="24"/>
      <c r="Z100" s="25" t="s">
        <v>706</v>
      </c>
      <c r="AA100" s="25" t="s">
        <v>88</v>
      </c>
      <c r="AB100" s="25" t="s">
        <v>89</v>
      </c>
    </row>
    <row r="101" customFormat="false" ht="30" hidden="false" customHeight="true" outlineLevel="0" collapsed="false">
      <c r="A101" s="6" t="n">
        <v>100</v>
      </c>
      <c r="B101" s="6" t="s">
        <v>667</v>
      </c>
      <c r="C101" s="6" t="s">
        <v>707</v>
      </c>
      <c r="D101" s="6" t="s">
        <v>708</v>
      </c>
      <c r="E101" s="6" t="s">
        <v>709</v>
      </c>
      <c r="F101" s="14" t="s">
        <v>710</v>
      </c>
      <c r="G101" s="6" t="s">
        <v>28</v>
      </c>
      <c r="H101" s="6" t="s">
        <v>30</v>
      </c>
      <c r="I101" s="15" t="n">
        <v>0</v>
      </c>
      <c r="J101" s="16" t="n">
        <v>0</v>
      </c>
      <c r="K101" s="16" t="n">
        <v>0</v>
      </c>
      <c r="L101" s="6" t="s">
        <v>201</v>
      </c>
      <c r="M101" s="17" t="n">
        <v>0</v>
      </c>
      <c r="N101" s="18" t="n">
        <v>0</v>
      </c>
      <c r="O101" s="18" t="n">
        <v>0</v>
      </c>
      <c r="P101" s="19" t="n">
        <v>0</v>
      </c>
      <c r="Q101" s="20" t="n">
        <v>0</v>
      </c>
      <c r="R101" s="14" t="s">
        <v>711</v>
      </c>
      <c r="S101" s="26" t="s">
        <v>140</v>
      </c>
      <c r="T101" s="6" t="s">
        <v>85</v>
      </c>
      <c r="U101" s="14" t="s">
        <v>712</v>
      </c>
      <c r="V101" s="22"/>
      <c r="W101" s="23"/>
      <c r="X101" s="23"/>
      <c r="Y101" s="24"/>
      <c r="Z101" s="25" t="s">
        <v>706</v>
      </c>
      <c r="AA101" s="25" t="s">
        <v>88</v>
      </c>
      <c r="AB101" s="25" t="s">
        <v>89</v>
      </c>
    </row>
    <row r="102" customFormat="false" ht="30" hidden="false" customHeight="true" outlineLevel="0" collapsed="false">
      <c r="A102" s="6" t="n">
        <v>101</v>
      </c>
      <c r="B102" s="6" t="s">
        <v>667</v>
      </c>
      <c r="C102" s="6" t="s">
        <v>713</v>
      </c>
      <c r="D102" s="6" t="s">
        <v>714</v>
      </c>
      <c r="E102" s="6" t="s">
        <v>715</v>
      </c>
      <c r="F102" s="14" t="s">
        <v>716</v>
      </c>
      <c r="G102" s="6" t="s">
        <v>28</v>
      </c>
      <c r="H102" s="6" t="s">
        <v>30</v>
      </c>
      <c r="I102" s="15" t="n">
        <v>45000</v>
      </c>
      <c r="J102" s="16" t="n">
        <v>50000</v>
      </c>
      <c r="K102" s="16" t="n">
        <v>35000</v>
      </c>
      <c r="L102" s="6" t="s">
        <v>177</v>
      </c>
      <c r="M102" s="17" t="n">
        <v>6200000</v>
      </c>
      <c r="N102" s="18" t="n">
        <v>1</v>
      </c>
      <c r="O102" s="18" t="n">
        <v>8</v>
      </c>
      <c r="P102" s="19" t="n">
        <v>0.1</v>
      </c>
      <c r="Q102" s="20" t="n">
        <v>0.5</v>
      </c>
      <c r="R102" s="14" t="s">
        <v>717</v>
      </c>
      <c r="S102" s="26" t="s">
        <v>140</v>
      </c>
      <c r="T102" s="6" t="s">
        <v>85</v>
      </c>
      <c r="U102" s="14" t="s">
        <v>718</v>
      </c>
      <c r="V102" s="22"/>
      <c r="W102" s="23"/>
      <c r="X102" s="23"/>
      <c r="Y102" s="24"/>
      <c r="Z102" s="25" t="s">
        <v>245</v>
      </c>
      <c r="AA102" s="25" t="s">
        <v>127</v>
      </c>
      <c r="AB102" s="25" t="s">
        <v>89</v>
      </c>
    </row>
    <row r="103" customFormat="false" ht="30" hidden="false" customHeight="true" outlineLevel="0" collapsed="false">
      <c r="A103" s="6" t="n">
        <v>102</v>
      </c>
      <c r="B103" s="6" t="s">
        <v>667</v>
      </c>
      <c r="C103" s="6" t="s">
        <v>719</v>
      </c>
      <c r="D103" s="6" t="s">
        <v>720</v>
      </c>
      <c r="E103" s="6" t="s">
        <v>721</v>
      </c>
      <c r="F103" s="14" t="s">
        <v>722</v>
      </c>
      <c r="G103" s="6" t="s">
        <v>28</v>
      </c>
      <c r="H103" s="6" t="s">
        <v>30</v>
      </c>
      <c r="I103" s="15" t="n">
        <v>75000</v>
      </c>
      <c r="J103" s="16" t="n">
        <v>85000</v>
      </c>
      <c r="K103" s="16" t="n">
        <v>60000</v>
      </c>
      <c r="L103" s="6" t="s">
        <v>177</v>
      </c>
      <c r="M103" s="17" t="n">
        <v>10400000</v>
      </c>
      <c r="N103" s="18" t="n">
        <v>1</v>
      </c>
      <c r="O103" s="18" t="n">
        <v>8</v>
      </c>
      <c r="P103" s="19" t="n">
        <v>0.1</v>
      </c>
      <c r="Q103" s="20" t="n">
        <v>0.3</v>
      </c>
      <c r="R103" s="14" t="s">
        <v>723</v>
      </c>
      <c r="S103" s="26" t="s">
        <v>140</v>
      </c>
      <c r="T103" s="6" t="s">
        <v>85</v>
      </c>
      <c r="U103" s="14" t="s">
        <v>724</v>
      </c>
      <c r="V103" s="22"/>
      <c r="W103" s="23"/>
      <c r="X103" s="23"/>
      <c r="Y103" s="24"/>
      <c r="Z103" s="25" t="s">
        <v>245</v>
      </c>
      <c r="AA103" s="25" t="s">
        <v>127</v>
      </c>
      <c r="AB103" s="25" t="s">
        <v>89</v>
      </c>
    </row>
    <row r="104" customFormat="false" ht="30" hidden="false" customHeight="true" outlineLevel="0" collapsed="false">
      <c r="A104" s="6" t="n">
        <v>103</v>
      </c>
      <c r="B104" s="6" t="s">
        <v>667</v>
      </c>
      <c r="C104" s="6" t="s">
        <v>725</v>
      </c>
      <c r="D104" s="6" t="s">
        <v>726</v>
      </c>
      <c r="E104" s="6" t="s">
        <v>727</v>
      </c>
      <c r="F104" s="14" t="s">
        <v>728</v>
      </c>
      <c r="G104" s="6" t="s">
        <v>28</v>
      </c>
      <c r="H104" s="6" t="s">
        <v>30</v>
      </c>
      <c r="I104" s="15" t="n">
        <v>0</v>
      </c>
      <c r="J104" s="16" t="n">
        <v>0</v>
      </c>
      <c r="K104" s="16" t="n">
        <v>0</v>
      </c>
      <c r="L104" s="6" t="s">
        <v>201</v>
      </c>
      <c r="M104" s="17" t="n">
        <v>0</v>
      </c>
      <c r="N104" s="18" t="n">
        <v>0</v>
      </c>
      <c r="O104" s="18" t="n">
        <v>0</v>
      </c>
      <c r="P104" s="19" t="n">
        <v>0</v>
      </c>
      <c r="Q104" s="20" t="n">
        <v>0</v>
      </c>
      <c r="R104" s="14" t="s">
        <v>729</v>
      </c>
      <c r="S104" s="26" t="s">
        <v>140</v>
      </c>
      <c r="T104" s="6" t="s">
        <v>85</v>
      </c>
      <c r="U104" s="14" t="s">
        <v>730</v>
      </c>
      <c r="V104" s="22"/>
      <c r="W104" s="23"/>
      <c r="X104" s="23"/>
      <c r="Y104" s="24"/>
      <c r="Z104" s="25" t="s">
        <v>245</v>
      </c>
      <c r="AA104" s="25" t="s">
        <v>127</v>
      </c>
      <c r="AB104" s="25" t="s">
        <v>89</v>
      </c>
    </row>
    <row r="105" customFormat="false" ht="30" hidden="false" customHeight="true" outlineLevel="0" collapsed="false">
      <c r="A105" s="6" t="n">
        <v>104</v>
      </c>
      <c r="B105" s="6" t="s">
        <v>731</v>
      </c>
      <c r="C105" s="6" t="s">
        <v>732</v>
      </c>
      <c r="D105" s="6" t="s">
        <v>733</v>
      </c>
      <c r="E105" s="6" t="s">
        <v>734</v>
      </c>
      <c r="F105" s="14" t="s">
        <v>735</v>
      </c>
      <c r="G105" s="6" t="s">
        <v>30</v>
      </c>
      <c r="H105" s="6" t="s">
        <v>30</v>
      </c>
      <c r="I105" s="15" t="n">
        <v>280000</v>
      </c>
      <c r="J105" s="16" t="n">
        <v>340000</v>
      </c>
      <c r="K105" s="16" t="n">
        <v>220000</v>
      </c>
      <c r="L105" s="6" t="s">
        <v>201</v>
      </c>
      <c r="M105" s="17" t="n">
        <v>36000000</v>
      </c>
      <c r="N105" s="18" t="n">
        <v>1</v>
      </c>
      <c r="O105" s="18" t="n">
        <v>20</v>
      </c>
      <c r="P105" s="19" t="n">
        <v>0.05</v>
      </c>
      <c r="Q105" s="20" t="n">
        <v>0</v>
      </c>
      <c r="R105" s="14" t="s">
        <v>736</v>
      </c>
      <c r="S105" s="27" t="s">
        <v>321</v>
      </c>
      <c r="T105" s="6" t="s">
        <v>85</v>
      </c>
      <c r="U105" s="14" t="s">
        <v>737</v>
      </c>
      <c r="V105" s="22"/>
      <c r="W105" s="23"/>
      <c r="X105" s="23"/>
      <c r="Y105" s="24"/>
      <c r="Z105" s="25" t="s">
        <v>245</v>
      </c>
      <c r="AA105" s="25" t="s">
        <v>127</v>
      </c>
      <c r="AB105" s="25" t="s">
        <v>89</v>
      </c>
    </row>
    <row r="106" customFormat="false" ht="30" hidden="false" customHeight="true" outlineLevel="0" collapsed="false">
      <c r="A106" s="6" t="n">
        <v>105</v>
      </c>
      <c r="B106" s="6" t="s">
        <v>731</v>
      </c>
      <c r="C106" s="6" t="s">
        <v>738</v>
      </c>
      <c r="D106" s="6" t="s">
        <v>739</v>
      </c>
      <c r="E106" s="6" t="s">
        <v>740</v>
      </c>
      <c r="F106" s="14" t="s">
        <v>741</v>
      </c>
      <c r="G106" s="6" t="s">
        <v>30</v>
      </c>
      <c r="H106" s="6" t="s">
        <v>30</v>
      </c>
      <c r="I106" s="15" t="n">
        <v>85000</v>
      </c>
      <c r="J106" s="16" t="n">
        <v>100000</v>
      </c>
      <c r="K106" s="16" t="n">
        <v>65000</v>
      </c>
      <c r="L106" s="6" t="s">
        <v>177</v>
      </c>
      <c r="M106" s="17" t="n">
        <v>11000000</v>
      </c>
      <c r="N106" s="18" t="n">
        <v>1</v>
      </c>
      <c r="O106" s="18" t="n">
        <v>12</v>
      </c>
      <c r="P106" s="19" t="n">
        <v>0.07</v>
      </c>
      <c r="Q106" s="20" t="n">
        <v>0</v>
      </c>
      <c r="R106" s="14" t="s">
        <v>742</v>
      </c>
      <c r="S106" s="21" t="s">
        <v>84</v>
      </c>
      <c r="T106" s="6" t="s">
        <v>85</v>
      </c>
      <c r="U106" s="14" t="s">
        <v>743</v>
      </c>
      <c r="V106" s="22"/>
      <c r="W106" s="23"/>
      <c r="X106" s="23"/>
      <c r="Y106" s="24"/>
      <c r="Z106" s="25" t="s">
        <v>245</v>
      </c>
      <c r="AA106" s="25" t="s">
        <v>127</v>
      </c>
      <c r="AB106" s="25" t="s">
        <v>89</v>
      </c>
    </row>
    <row r="107" customFormat="false" ht="30" hidden="false" customHeight="true" outlineLevel="0" collapsed="false">
      <c r="A107" s="6" t="n">
        <v>106</v>
      </c>
      <c r="B107" s="6" t="s">
        <v>731</v>
      </c>
      <c r="C107" s="6" t="s">
        <v>744</v>
      </c>
      <c r="D107" s="6" t="s">
        <v>745</v>
      </c>
      <c r="E107" s="6" t="s">
        <v>746</v>
      </c>
      <c r="F107" s="14" t="s">
        <v>747</v>
      </c>
      <c r="G107" s="6" t="s">
        <v>30</v>
      </c>
      <c r="H107" s="6" t="s">
        <v>30</v>
      </c>
      <c r="I107" s="15" t="n">
        <v>220000</v>
      </c>
      <c r="J107" s="16" t="n">
        <v>260000</v>
      </c>
      <c r="K107" s="16" t="n">
        <v>170000</v>
      </c>
      <c r="L107" s="6" t="s">
        <v>177</v>
      </c>
      <c r="M107" s="17" t="n">
        <v>24000000</v>
      </c>
      <c r="N107" s="18" t="n">
        <v>1</v>
      </c>
      <c r="O107" s="18" t="n">
        <v>25</v>
      </c>
      <c r="P107" s="19" t="n">
        <v>0.03</v>
      </c>
      <c r="Q107" s="20" t="n">
        <v>0</v>
      </c>
      <c r="R107" s="14" t="s">
        <v>748</v>
      </c>
      <c r="S107" s="26" t="s">
        <v>140</v>
      </c>
      <c r="T107" s="6" t="s">
        <v>85</v>
      </c>
      <c r="U107" s="14" t="s">
        <v>749</v>
      </c>
      <c r="V107" s="22"/>
      <c r="W107" s="23"/>
      <c r="X107" s="23"/>
      <c r="Y107" s="24"/>
      <c r="Z107" s="25" t="s">
        <v>706</v>
      </c>
      <c r="AA107" s="25" t="s">
        <v>88</v>
      </c>
      <c r="AB107" s="25" t="s">
        <v>89</v>
      </c>
    </row>
    <row r="108" customFormat="false" ht="30" hidden="false" customHeight="true" outlineLevel="0" collapsed="false">
      <c r="A108" s="6" t="n">
        <v>107</v>
      </c>
      <c r="B108" s="6" t="s">
        <v>731</v>
      </c>
      <c r="C108" s="6" t="s">
        <v>750</v>
      </c>
      <c r="D108" s="6" t="s">
        <v>751</v>
      </c>
      <c r="E108" s="6" t="s">
        <v>752</v>
      </c>
      <c r="F108" s="14" t="s">
        <v>753</v>
      </c>
      <c r="G108" s="6" t="s">
        <v>30</v>
      </c>
      <c r="H108" s="6" t="s">
        <v>30</v>
      </c>
      <c r="I108" s="15" t="n">
        <v>280000</v>
      </c>
      <c r="J108" s="16" t="n">
        <v>340000</v>
      </c>
      <c r="K108" s="16" t="n">
        <v>220000</v>
      </c>
      <c r="L108" s="6" t="s">
        <v>201</v>
      </c>
      <c r="M108" s="17" t="n">
        <v>36000000</v>
      </c>
      <c r="N108" s="18" t="n">
        <v>1</v>
      </c>
      <c r="O108" s="18" t="n">
        <v>25</v>
      </c>
      <c r="P108" s="19" t="n">
        <v>0.04</v>
      </c>
      <c r="Q108" s="20" t="n">
        <v>0</v>
      </c>
      <c r="R108" s="14" t="s">
        <v>754</v>
      </c>
      <c r="S108" s="27" t="s">
        <v>321</v>
      </c>
      <c r="T108" s="6" t="s">
        <v>85</v>
      </c>
      <c r="U108" s="14" t="s">
        <v>755</v>
      </c>
      <c r="V108" s="22"/>
      <c r="W108" s="23"/>
      <c r="X108" s="23"/>
      <c r="Y108" s="24"/>
      <c r="Z108" s="25" t="s">
        <v>245</v>
      </c>
      <c r="AA108" s="25" t="s">
        <v>127</v>
      </c>
      <c r="AB108" s="25" t="s">
        <v>89</v>
      </c>
    </row>
    <row r="109" customFormat="false" ht="30" hidden="false" customHeight="true" outlineLevel="0" collapsed="false">
      <c r="A109" s="6" t="n">
        <v>108</v>
      </c>
      <c r="B109" s="6" t="s">
        <v>731</v>
      </c>
      <c r="C109" s="6" t="s">
        <v>756</v>
      </c>
      <c r="D109" s="6" t="s">
        <v>757</v>
      </c>
      <c r="E109" s="6" t="s">
        <v>758</v>
      </c>
      <c r="F109" s="14" t="s">
        <v>759</v>
      </c>
      <c r="G109" s="6" t="s">
        <v>28</v>
      </c>
      <c r="H109" s="6" t="s">
        <v>30</v>
      </c>
      <c r="I109" s="15" t="n">
        <v>95000</v>
      </c>
      <c r="J109" s="16" t="n">
        <v>115000</v>
      </c>
      <c r="K109" s="16" t="n">
        <v>70000</v>
      </c>
      <c r="L109" s="6" t="s">
        <v>177</v>
      </c>
      <c r="M109" s="17" t="n">
        <v>12000000</v>
      </c>
      <c r="N109" s="18" t="n">
        <v>1</v>
      </c>
      <c r="O109" s="18" t="n">
        <v>15</v>
      </c>
      <c r="P109" s="19" t="n">
        <v>0.05</v>
      </c>
      <c r="Q109" s="20" t="n">
        <v>0.25</v>
      </c>
      <c r="R109" s="14" t="s">
        <v>760</v>
      </c>
      <c r="S109" s="27" t="s">
        <v>321</v>
      </c>
      <c r="T109" s="6" t="s">
        <v>85</v>
      </c>
      <c r="U109" s="14" t="s">
        <v>761</v>
      </c>
      <c r="V109" s="22"/>
      <c r="W109" s="23"/>
      <c r="X109" s="23"/>
      <c r="Y109" s="24"/>
      <c r="Z109" s="25" t="s">
        <v>245</v>
      </c>
      <c r="AA109" s="25" t="s">
        <v>127</v>
      </c>
      <c r="AB109" s="25" t="s">
        <v>89</v>
      </c>
    </row>
    <row r="110" customFormat="false" ht="30" hidden="false" customHeight="true" outlineLevel="0" collapsed="false">
      <c r="A110" s="6" t="n">
        <v>109</v>
      </c>
      <c r="B110" s="6" t="s">
        <v>731</v>
      </c>
      <c r="C110" s="6" t="s">
        <v>762</v>
      </c>
      <c r="D110" s="6" t="s">
        <v>763</v>
      </c>
      <c r="E110" s="6" t="s">
        <v>764</v>
      </c>
      <c r="F110" s="14" t="s">
        <v>765</v>
      </c>
      <c r="G110" s="6" t="s">
        <v>30</v>
      </c>
      <c r="H110" s="6" t="s">
        <v>30</v>
      </c>
      <c r="I110" s="15" t="n">
        <v>85000</v>
      </c>
      <c r="J110" s="16" t="n">
        <v>100000</v>
      </c>
      <c r="K110" s="16" t="n">
        <v>65000</v>
      </c>
      <c r="L110" s="6" t="s">
        <v>177</v>
      </c>
      <c r="M110" s="17" t="n">
        <v>11000000</v>
      </c>
      <c r="N110" s="18" t="n">
        <v>1</v>
      </c>
      <c r="O110" s="18" t="n">
        <v>15</v>
      </c>
      <c r="P110" s="19" t="n">
        <v>0.06</v>
      </c>
      <c r="Q110" s="20" t="n">
        <v>0</v>
      </c>
      <c r="R110" s="14" t="s">
        <v>766</v>
      </c>
      <c r="S110" s="26" t="s">
        <v>140</v>
      </c>
      <c r="T110" s="6" t="s">
        <v>85</v>
      </c>
      <c r="U110" s="14" t="s">
        <v>767</v>
      </c>
      <c r="V110" s="22"/>
      <c r="W110" s="23"/>
      <c r="X110" s="23"/>
      <c r="Y110" s="24"/>
      <c r="Z110" s="25" t="s">
        <v>245</v>
      </c>
      <c r="AA110" s="25" t="s">
        <v>102</v>
      </c>
      <c r="AB110" s="25" t="s">
        <v>89</v>
      </c>
    </row>
    <row r="111" customFormat="false" ht="30" hidden="false" customHeight="true" outlineLevel="0" collapsed="false">
      <c r="A111" s="6" t="n">
        <v>110</v>
      </c>
      <c r="B111" s="6" t="s">
        <v>731</v>
      </c>
      <c r="C111" s="6" t="s">
        <v>768</v>
      </c>
      <c r="D111" s="6" t="s">
        <v>769</v>
      </c>
      <c r="E111" s="6" t="s">
        <v>770</v>
      </c>
      <c r="F111" s="14" t="s">
        <v>771</v>
      </c>
      <c r="G111" s="6" t="s">
        <v>28</v>
      </c>
      <c r="H111" s="6" t="s">
        <v>28</v>
      </c>
      <c r="I111" s="15" t="n">
        <v>16000</v>
      </c>
      <c r="J111" s="16" t="n">
        <v>20000</v>
      </c>
      <c r="K111" s="16" t="n">
        <v>12000</v>
      </c>
      <c r="L111" s="6" t="s">
        <v>177</v>
      </c>
      <c r="M111" s="17" t="n">
        <v>2000000</v>
      </c>
      <c r="N111" s="18" t="n">
        <v>2</v>
      </c>
      <c r="O111" s="18" t="n">
        <v>10</v>
      </c>
      <c r="P111" s="19" t="n">
        <v>0.06</v>
      </c>
      <c r="Q111" s="20" t="n">
        <v>0</v>
      </c>
      <c r="R111" s="14" t="s">
        <v>772</v>
      </c>
      <c r="S111" s="26" t="s">
        <v>140</v>
      </c>
      <c r="T111" s="6" t="s">
        <v>85</v>
      </c>
      <c r="U111" s="14" t="s">
        <v>773</v>
      </c>
      <c r="V111" s="22"/>
      <c r="W111" s="23"/>
      <c r="X111" s="23"/>
      <c r="Y111" s="24"/>
      <c r="Z111" s="25" t="s">
        <v>245</v>
      </c>
      <c r="AA111" s="25" t="s">
        <v>127</v>
      </c>
      <c r="AB111" s="25" t="s">
        <v>89</v>
      </c>
    </row>
    <row r="112" customFormat="false" ht="30" hidden="false" customHeight="true" outlineLevel="0" collapsed="false">
      <c r="A112" s="6" t="n">
        <v>111</v>
      </c>
      <c r="B112" s="6" t="s">
        <v>774</v>
      </c>
      <c r="C112" s="6" t="s">
        <v>775</v>
      </c>
      <c r="D112" s="6" t="s">
        <v>776</v>
      </c>
      <c r="E112" s="6" t="s">
        <v>777</v>
      </c>
      <c r="F112" s="14" t="s">
        <v>778</v>
      </c>
      <c r="G112" s="6" t="s">
        <v>30</v>
      </c>
      <c r="H112" s="6" t="s">
        <v>30</v>
      </c>
      <c r="I112" s="15" t="n">
        <v>60000</v>
      </c>
      <c r="J112" s="16" t="n">
        <v>70000</v>
      </c>
      <c r="K112" s="16" t="n">
        <v>56000</v>
      </c>
      <c r="L112" s="6" t="s">
        <v>82</v>
      </c>
      <c r="M112" s="17" t="n">
        <v>8200000</v>
      </c>
      <c r="N112" s="18" t="n">
        <v>1</v>
      </c>
      <c r="O112" s="18" t="n">
        <v>10</v>
      </c>
      <c r="P112" s="19" t="n">
        <v>0.08</v>
      </c>
      <c r="Q112" s="20" t="n">
        <v>0.4</v>
      </c>
      <c r="R112" s="14" t="s">
        <v>779</v>
      </c>
      <c r="S112" s="21" t="s">
        <v>84</v>
      </c>
      <c r="T112" s="6" t="s">
        <v>85</v>
      </c>
      <c r="U112" s="14" t="s">
        <v>780</v>
      </c>
      <c r="V112" s="22"/>
      <c r="W112" s="23"/>
      <c r="X112" s="23"/>
      <c r="Y112" s="24"/>
      <c r="Z112" s="25" t="s">
        <v>245</v>
      </c>
      <c r="AA112" s="25" t="s">
        <v>127</v>
      </c>
      <c r="AB112" s="25" t="s">
        <v>89</v>
      </c>
    </row>
    <row r="113" customFormat="false" ht="30" hidden="false" customHeight="true" outlineLevel="0" collapsed="false">
      <c r="A113" s="6" t="n">
        <v>112</v>
      </c>
      <c r="B113" s="6" t="s">
        <v>774</v>
      </c>
      <c r="C113" s="6" t="s">
        <v>781</v>
      </c>
      <c r="D113" s="6" t="s">
        <v>782</v>
      </c>
      <c r="E113" s="6" t="s">
        <v>783</v>
      </c>
      <c r="F113" s="14" t="s">
        <v>784</v>
      </c>
      <c r="G113" s="6" t="s">
        <v>26</v>
      </c>
      <c r="H113" s="6" t="s">
        <v>28</v>
      </c>
      <c r="I113" s="15" t="n">
        <v>12000</v>
      </c>
      <c r="J113" s="16" t="n">
        <v>14000</v>
      </c>
      <c r="K113" s="16" t="n">
        <v>11000</v>
      </c>
      <c r="L113" s="6" t="s">
        <v>82</v>
      </c>
      <c r="M113" s="17" t="n">
        <v>1650000</v>
      </c>
      <c r="N113" s="18" t="n">
        <v>2</v>
      </c>
      <c r="O113" s="18" t="n">
        <v>15</v>
      </c>
      <c r="P113" s="19" t="n">
        <v>0.03</v>
      </c>
      <c r="Q113" s="20" t="n">
        <v>0.5</v>
      </c>
      <c r="R113" s="14" t="s">
        <v>785</v>
      </c>
      <c r="S113" s="27" t="s">
        <v>321</v>
      </c>
      <c r="T113" s="6" t="s">
        <v>85</v>
      </c>
      <c r="U113" s="14" t="s">
        <v>786</v>
      </c>
      <c r="V113" s="22"/>
      <c r="W113" s="23"/>
      <c r="X113" s="23"/>
      <c r="Y113" s="24"/>
      <c r="Z113" s="25" t="s">
        <v>706</v>
      </c>
      <c r="AA113" s="25" t="s">
        <v>88</v>
      </c>
      <c r="AB113" s="25" t="s">
        <v>89</v>
      </c>
    </row>
    <row r="114" customFormat="false" ht="30" hidden="false" customHeight="true" outlineLevel="0" collapsed="false">
      <c r="A114" s="6" t="n">
        <v>113</v>
      </c>
      <c r="B114" s="6" t="s">
        <v>774</v>
      </c>
      <c r="C114" s="6" t="s">
        <v>787</v>
      </c>
      <c r="D114" s="6" t="s">
        <v>788</v>
      </c>
      <c r="E114" s="6" t="s">
        <v>789</v>
      </c>
      <c r="F114" s="14" t="s">
        <v>790</v>
      </c>
      <c r="G114" s="6" t="s">
        <v>30</v>
      </c>
      <c r="H114" s="6" t="s">
        <v>30</v>
      </c>
      <c r="I114" s="15" t="n">
        <v>320000</v>
      </c>
      <c r="J114" s="16" t="n">
        <v>380000</v>
      </c>
      <c r="K114" s="16" t="n">
        <v>305000</v>
      </c>
      <c r="L114" s="6" t="s">
        <v>82</v>
      </c>
      <c r="M114" s="17" t="n">
        <v>44000000</v>
      </c>
      <c r="N114" s="18" t="n">
        <v>1</v>
      </c>
      <c r="O114" s="18" t="n">
        <v>20</v>
      </c>
      <c r="P114" s="19" t="n">
        <v>0.05</v>
      </c>
      <c r="Q114" s="20" t="n">
        <v>0.8</v>
      </c>
      <c r="R114" s="14" t="s">
        <v>791</v>
      </c>
      <c r="S114" s="27" t="s">
        <v>321</v>
      </c>
      <c r="T114" s="6" t="s">
        <v>85</v>
      </c>
      <c r="U114" s="14" t="s">
        <v>792</v>
      </c>
      <c r="V114" s="22"/>
      <c r="W114" s="23"/>
      <c r="X114" s="23"/>
      <c r="Y114" s="24"/>
      <c r="Z114" s="25" t="s">
        <v>245</v>
      </c>
      <c r="AA114" s="25" t="s">
        <v>88</v>
      </c>
      <c r="AB114" s="25" t="s">
        <v>89</v>
      </c>
    </row>
    <row r="115" customFormat="false" ht="30" hidden="false" customHeight="true" outlineLevel="0" collapsed="false">
      <c r="A115" s="6" t="n">
        <v>114</v>
      </c>
      <c r="B115" s="6" t="s">
        <v>774</v>
      </c>
      <c r="C115" s="6" t="s">
        <v>793</v>
      </c>
      <c r="D115" s="6" t="s">
        <v>794</v>
      </c>
      <c r="E115" s="6" t="s">
        <v>795</v>
      </c>
      <c r="F115" s="14" t="s">
        <v>796</v>
      </c>
      <c r="G115" s="6" t="s">
        <v>26</v>
      </c>
      <c r="H115" s="6" t="s">
        <v>28</v>
      </c>
      <c r="I115" s="15" t="n">
        <v>38000</v>
      </c>
      <c r="J115" s="16" t="n">
        <v>45000</v>
      </c>
      <c r="K115" s="16" t="n">
        <v>36000</v>
      </c>
      <c r="L115" s="6" t="s">
        <v>82</v>
      </c>
      <c r="M115" s="17" t="n">
        <v>5200000</v>
      </c>
      <c r="N115" s="18" t="n">
        <v>1</v>
      </c>
      <c r="O115" s="18" t="n">
        <v>12</v>
      </c>
      <c r="P115" s="19" t="n">
        <v>0.04</v>
      </c>
      <c r="Q115" s="20" t="n">
        <v>1.5</v>
      </c>
      <c r="R115" s="14" t="s">
        <v>797</v>
      </c>
      <c r="S115" s="26" t="s">
        <v>140</v>
      </c>
      <c r="T115" s="6" t="s">
        <v>85</v>
      </c>
      <c r="U115" s="14" t="s">
        <v>798</v>
      </c>
      <c r="V115" s="22"/>
      <c r="W115" s="23"/>
      <c r="X115" s="23"/>
      <c r="Y115" s="24"/>
      <c r="Z115" s="25" t="s">
        <v>245</v>
      </c>
      <c r="AA115" s="25" t="s">
        <v>88</v>
      </c>
      <c r="AB115" s="25" t="s">
        <v>89</v>
      </c>
    </row>
    <row r="116" customFormat="false" ht="30" hidden="false" customHeight="true" outlineLevel="0" collapsed="false">
      <c r="A116" s="6" t="n">
        <v>115</v>
      </c>
      <c r="B116" s="6" t="s">
        <v>774</v>
      </c>
      <c r="C116" s="6" t="s">
        <v>799</v>
      </c>
      <c r="D116" s="6" t="s">
        <v>800</v>
      </c>
      <c r="E116" s="6" t="s">
        <v>801</v>
      </c>
      <c r="F116" s="14" t="s">
        <v>802</v>
      </c>
      <c r="G116" s="6" t="s">
        <v>26</v>
      </c>
      <c r="H116" s="6" t="s">
        <v>28</v>
      </c>
      <c r="I116" s="15" t="n">
        <v>9000</v>
      </c>
      <c r="J116" s="16" t="n">
        <v>11000</v>
      </c>
      <c r="K116" s="16" t="n">
        <v>8500</v>
      </c>
      <c r="L116" s="6" t="s">
        <v>82</v>
      </c>
      <c r="M116" s="17" t="n">
        <v>1240000</v>
      </c>
      <c r="N116" s="18" t="n">
        <v>2</v>
      </c>
      <c r="O116" s="18" t="n">
        <v>15</v>
      </c>
      <c r="P116" s="19" t="n">
        <v>0.03</v>
      </c>
      <c r="Q116" s="20" t="n">
        <v>0</v>
      </c>
      <c r="R116" s="14" t="s">
        <v>803</v>
      </c>
      <c r="S116" s="21" t="s">
        <v>84</v>
      </c>
      <c r="T116" s="6" t="s">
        <v>85</v>
      </c>
      <c r="U116" s="14" t="s">
        <v>804</v>
      </c>
      <c r="V116" s="22"/>
      <c r="W116" s="23"/>
      <c r="X116" s="23"/>
      <c r="Y116" s="24"/>
      <c r="Z116" s="25" t="s">
        <v>245</v>
      </c>
      <c r="AA116" s="25" t="s">
        <v>127</v>
      </c>
      <c r="AB116" s="25" t="s">
        <v>89</v>
      </c>
    </row>
    <row r="117" customFormat="false" ht="30" hidden="false" customHeight="true" outlineLevel="0" collapsed="false">
      <c r="A117" s="6" t="n">
        <v>116</v>
      </c>
      <c r="B117" s="6" t="s">
        <v>774</v>
      </c>
      <c r="C117" s="6" t="s">
        <v>805</v>
      </c>
      <c r="D117" s="6" t="s">
        <v>806</v>
      </c>
      <c r="E117" s="6" t="s">
        <v>807</v>
      </c>
      <c r="F117" s="14" t="s">
        <v>808</v>
      </c>
      <c r="G117" s="6" t="s">
        <v>26</v>
      </c>
      <c r="H117" s="6" t="s">
        <v>26</v>
      </c>
      <c r="I117" s="15" t="n">
        <v>12000</v>
      </c>
      <c r="J117" s="16" t="n">
        <v>14000</v>
      </c>
      <c r="K117" s="16" t="n">
        <v>11000</v>
      </c>
      <c r="L117" s="6" t="s">
        <v>82</v>
      </c>
      <c r="M117" s="17" t="n">
        <v>1650000</v>
      </c>
      <c r="N117" s="18" t="n">
        <v>2</v>
      </c>
      <c r="O117" s="18" t="n">
        <v>5</v>
      </c>
      <c r="P117" s="19" t="n">
        <v>0.08</v>
      </c>
      <c r="Q117" s="20" t="n">
        <v>0.2</v>
      </c>
      <c r="R117" s="14" t="s">
        <v>809</v>
      </c>
      <c r="S117" s="26" t="s">
        <v>140</v>
      </c>
      <c r="T117" s="6" t="s">
        <v>85</v>
      </c>
      <c r="U117" s="14" t="s">
        <v>810</v>
      </c>
      <c r="V117" s="22"/>
      <c r="W117" s="23"/>
      <c r="X117" s="23"/>
      <c r="Y117" s="24"/>
      <c r="Z117" s="25" t="s">
        <v>245</v>
      </c>
      <c r="AA117" s="25" t="s">
        <v>127</v>
      </c>
      <c r="AB117" s="25" t="s">
        <v>89</v>
      </c>
    </row>
    <row r="118" customFormat="false" ht="30" hidden="false" customHeight="true" outlineLevel="0" collapsed="false">
      <c r="A118" s="6" t="n">
        <v>117</v>
      </c>
      <c r="B118" s="6" t="s">
        <v>774</v>
      </c>
      <c r="C118" s="6" t="s">
        <v>811</v>
      </c>
      <c r="D118" s="6" t="s">
        <v>812</v>
      </c>
      <c r="E118" s="6" t="s">
        <v>813</v>
      </c>
      <c r="F118" s="14" t="s">
        <v>814</v>
      </c>
      <c r="G118" s="6" t="s">
        <v>30</v>
      </c>
      <c r="H118" s="6" t="s">
        <v>30</v>
      </c>
      <c r="I118" s="15" t="n">
        <v>350000</v>
      </c>
      <c r="J118" s="16" t="n">
        <v>420000</v>
      </c>
      <c r="K118" s="16" t="n">
        <v>335000</v>
      </c>
      <c r="L118" s="6" t="s">
        <v>82</v>
      </c>
      <c r="M118" s="17" t="n">
        <v>48000000</v>
      </c>
      <c r="N118" s="18" t="n">
        <v>1</v>
      </c>
      <c r="O118" s="18" t="n">
        <v>12</v>
      </c>
      <c r="P118" s="19" t="n">
        <v>0.1</v>
      </c>
      <c r="Q118" s="20" t="n">
        <v>1</v>
      </c>
      <c r="R118" s="14" t="s">
        <v>815</v>
      </c>
      <c r="S118" s="21" t="s">
        <v>84</v>
      </c>
      <c r="T118" s="6" t="s">
        <v>85</v>
      </c>
      <c r="U118" s="14" t="s">
        <v>816</v>
      </c>
      <c r="V118" s="22"/>
      <c r="W118" s="23"/>
      <c r="X118" s="23"/>
      <c r="Y118" s="24"/>
      <c r="Z118" s="25" t="s">
        <v>817</v>
      </c>
      <c r="AA118" s="25" t="s">
        <v>127</v>
      </c>
      <c r="AB118" s="25" t="s">
        <v>89</v>
      </c>
    </row>
    <row r="119" customFormat="false" ht="30" hidden="false" customHeight="true" outlineLevel="0" collapsed="false">
      <c r="A119" s="6" t="n">
        <v>118</v>
      </c>
      <c r="B119" s="6" t="s">
        <v>774</v>
      </c>
      <c r="C119" s="6" t="s">
        <v>818</v>
      </c>
      <c r="D119" s="6" t="s">
        <v>819</v>
      </c>
      <c r="E119" s="6" t="s">
        <v>820</v>
      </c>
      <c r="F119" s="14" t="s">
        <v>821</v>
      </c>
      <c r="G119" s="6" t="s">
        <v>30</v>
      </c>
      <c r="H119" s="6" t="s">
        <v>28</v>
      </c>
      <c r="I119" s="15" t="n">
        <v>12000</v>
      </c>
      <c r="J119" s="16" t="n">
        <v>14000</v>
      </c>
      <c r="K119" s="16" t="n">
        <v>11000</v>
      </c>
      <c r="L119" s="6" t="s">
        <v>82</v>
      </c>
      <c r="M119" s="17" t="n">
        <v>1650000</v>
      </c>
      <c r="N119" s="18" t="n">
        <v>2</v>
      </c>
      <c r="O119" s="18" t="n">
        <v>12</v>
      </c>
      <c r="P119" s="19" t="n">
        <v>0.03</v>
      </c>
      <c r="Q119" s="20" t="n">
        <v>0.2</v>
      </c>
      <c r="R119" s="14" t="s">
        <v>822</v>
      </c>
      <c r="S119" s="21" t="s">
        <v>84</v>
      </c>
      <c r="T119" s="6" t="s">
        <v>85</v>
      </c>
      <c r="U119" s="14" t="s">
        <v>823</v>
      </c>
      <c r="V119" s="22"/>
      <c r="W119" s="23"/>
      <c r="X119" s="23"/>
      <c r="Y119" s="24"/>
      <c r="Z119" s="25" t="s">
        <v>245</v>
      </c>
      <c r="AA119" s="25" t="s">
        <v>127</v>
      </c>
      <c r="AB119" s="25" t="s">
        <v>89</v>
      </c>
    </row>
    <row r="120" customFormat="false" ht="30" hidden="false" customHeight="true" outlineLevel="0" collapsed="false">
      <c r="A120" s="6" t="n">
        <v>119</v>
      </c>
      <c r="B120" s="6" t="s">
        <v>774</v>
      </c>
      <c r="C120" s="6" t="s">
        <v>824</v>
      </c>
      <c r="D120" s="6" t="s">
        <v>825</v>
      </c>
      <c r="E120" s="6" t="s">
        <v>826</v>
      </c>
      <c r="F120" s="14" t="s">
        <v>827</v>
      </c>
      <c r="G120" s="6" t="s">
        <v>26</v>
      </c>
      <c r="H120" s="6" t="s">
        <v>26</v>
      </c>
      <c r="I120" s="15" t="n">
        <v>9000</v>
      </c>
      <c r="J120" s="16" t="n">
        <v>10500</v>
      </c>
      <c r="K120" s="16" t="n">
        <v>8500</v>
      </c>
      <c r="L120" s="6" t="s">
        <v>82</v>
      </c>
      <c r="M120" s="17" t="n">
        <v>1240000</v>
      </c>
      <c r="N120" s="18" t="n">
        <v>2</v>
      </c>
      <c r="O120" s="18" t="n">
        <v>8</v>
      </c>
      <c r="P120" s="19" t="n">
        <v>0.06</v>
      </c>
      <c r="Q120" s="20" t="n">
        <v>0.1</v>
      </c>
      <c r="R120" s="14" t="s">
        <v>828</v>
      </c>
      <c r="S120" s="21" t="s">
        <v>84</v>
      </c>
      <c r="T120" s="6" t="s">
        <v>85</v>
      </c>
      <c r="U120" s="14" t="s">
        <v>829</v>
      </c>
      <c r="V120" s="22"/>
      <c r="W120" s="23"/>
      <c r="X120" s="23"/>
      <c r="Y120" s="24"/>
      <c r="Z120" s="25" t="s">
        <v>245</v>
      </c>
      <c r="AA120" s="25" t="s">
        <v>102</v>
      </c>
      <c r="AB120" s="25" t="s">
        <v>89</v>
      </c>
    </row>
    <row r="121" customFormat="false" ht="30" hidden="false" customHeight="true" outlineLevel="0" collapsed="false">
      <c r="A121" s="6" t="n">
        <v>120</v>
      </c>
      <c r="B121" s="6" t="s">
        <v>774</v>
      </c>
      <c r="C121" s="6" t="s">
        <v>830</v>
      </c>
      <c r="D121" s="6" t="s">
        <v>831</v>
      </c>
      <c r="E121" s="6" t="s">
        <v>832</v>
      </c>
      <c r="F121" s="14" t="s">
        <v>833</v>
      </c>
      <c r="G121" s="6" t="s">
        <v>26</v>
      </c>
      <c r="H121" s="6" t="s">
        <v>26</v>
      </c>
      <c r="I121" s="15" t="n">
        <v>18000</v>
      </c>
      <c r="J121" s="16" t="n">
        <v>22000</v>
      </c>
      <c r="K121" s="16" t="n">
        <v>17000</v>
      </c>
      <c r="L121" s="6" t="s">
        <v>82</v>
      </c>
      <c r="M121" s="17" t="n">
        <v>2480000</v>
      </c>
      <c r="N121" s="18" t="n">
        <v>1</v>
      </c>
      <c r="O121" s="18" t="n">
        <v>8</v>
      </c>
      <c r="P121" s="19" t="n">
        <v>0.04</v>
      </c>
      <c r="Q121" s="20" t="n">
        <v>0.5</v>
      </c>
      <c r="R121" s="14" t="s">
        <v>834</v>
      </c>
      <c r="S121" s="21" t="s">
        <v>84</v>
      </c>
      <c r="T121" s="6" t="s">
        <v>85</v>
      </c>
      <c r="U121" s="14" t="s">
        <v>835</v>
      </c>
      <c r="V121" s="22"/>
      <c r="W121" s="23"/>
      <c r="X121" s="23"/>
      <c r="Y121" s="24"/>
      <c r="Z121" s="25" t="s">
        <v>245</v>
      </c>
      <c r="AA121" s="25" t="s">
        <v>127</v>
      </c>
      <c r="AB121" s="25" t="s">
        <v>89</v>
      </c>
    </row>
    <row r="122" customFormat="false" ht="30" hidden="false" customHeight="true" outlineLevel="0" collapsed="false">
      <c r="A122" s="6" t="n">
        <v>121</v>
      </c>
      <c r="B122" s="6" t="s">
        <v>836</v>
      </c>
      <c r="C122" s="6" t="s">
        <v>837</v>
      </c>
      <c r="D122" s="6" t="s">
        <v>838</v>
      </c>
      <c r="E122" s="6" t="s">
        <v>839</v>
      </c>
      <c r="F122" s="14" t="s">
        <v>840</v>
      </c>
      <c r="G122" s="6" t="s">
        <v>28</v>
      </c>
      <c r="H122" s="6" t="s">
        <v>28</v>
      </c>
      <c r="I122" s="15" t="n">
        <v>11000</v>
      </c>
      <c r="J122" s="16" t="n">
        <v>13000</v>
      </c>
      <c r="K122" s="16" t="n">
        <v>10000</v>
      </c>
      <c r="L122" s="6" t="s">
        <v>82</v>
      </c>
      <c r="M122" s="17" t="n">
        <v>1500000</v>
      </c>
      <c r="N122" s="18" t="n">
        <v>2</v>
      </c>
      <c r="O122" s="18" t="n">
        <v>12</v>
      </c>
      <c r="P122" s="19" t="n">
        <v>0.05</v>
      </c>
      <c r="Q122" s="20" t="n">
        <v>0.8</v>
      </c>
      <c r="R122" s="14" t="s">
        <v>841</v>
      </c>
      <c r="S122" s="26" t="s">
        <v>140</v>
      </c>
      <c r="T122" s="6" t="s">
        <v>85</v>
      </c>
      <c r="U122" s="14" t="s">
        <v>842</v>
      </c>
      <c r="V122" s="22"/>
      <c r="W122" s="23"/>
      <c r="X122" s="23"/>
      <c r="Y122" s="24"/>
      <c r="Z122" s="25" t="s">
        <v>245</v>
      </c>
      <c r="AA122" s="25" t="s">
        <v>88</v>
      </c>
      <c r="AB122" s="25" t="s">
        <v>89</v>
      </c>
    </row>
    <row r="123" customFormat="false" ht="30" hidden="false" customHeight="true" outlineLevel="0" collapsed="false">
      <c r="A123" s="6" t="n">
        <v>122</v>
      </c>
      <c r="B123" s="6" t="s">
        <v>836</v>
      </c>
      <c r="C123" s="6" t="s">
        <v>843</v>
      </c>
      <c r="D123" s="6" t="s">
        <v>844</v>
      </c>
      <c r="E123" s="6" t="s">
        <v>845</v>
      </c>
      <c r="F123" s="14" t="s">
        <v>846</v>
      </c>
      <c r="G123" s="6" t="s">
        <v>28</v>
      </c>
      <c r="H123" s="6" t="s">
        <v>28</v>
      </c>
      <c r="I123" s="15" t="n">
        <v>9000</v>
      </c>
      <c r="J123" s="16" t="n">
        <v>11000</v>
      </c>
      <c r="K123" s="16" t="n">
        <v>8500</v>
      </c>
      <c r="L123" s="6" t="s">
        <v>82</v>
      </c>
      <c r="M123" s="17" t="n">
        <v>1240000</v>
      </c>
      <c r="N123" s="18" t="n">
        <v>1</v>
      </c>
      <c r="O123" s="18" t="n">
        <v>8</v>
      </c>
      <c r="P123" s="19" t="n">
        <v>0.06</v>
      </c>
      <c r="Q123" s="20" t="n">
        <v>0.1</v>
      </c>
      <c r="R123" s="14" t="s">
        <v>847</v>
      </c>
      <c r="S123" s="21" t="s">
        <v>84</v>
      </c>
      <c r="T123" s="6" t="s">
        <v>85</v>
      </c>
      <c r="U123" s="14" t="s">
        <v>848</v>
      </c>
      <c r="V123" s="22"/>
      <c r="W123" s="23"/>
      <c r="X123" s="23"/>
      <c r="Y123" s="24"/>
      <c r="Z123" s="25" t="s">
        <v>245</v>
      </c>
      <c r="AA123" s="25" t="s">
        <v>88</v>
      </c>
      <c r="AB123" s="25" t="s">
        <v>89</v>
      </c>
    </row>
    <row r="124" customFormat="false" ht="30" hidden="false" customHeight="true" outlineLevel="0" collapsed="false">
      <c r="A124" s="6" t="n">
        <v>123</v>
      </c>
      <c r="B124" s="6" t="s">
        <v>836</v>
      </c>
      <c r="C124" s="6" t="s">
        <v>849</v>
      </c>
      <c r="D124" s="6" t="s">
        <v>850</v>
      </c>
      <c r="E124" s="6" t="s">
        <v>851</v>
      </c>
      <c r="F124" s="14" t="s">
        <v>852</v>
      </c>
      <c r="G124" s="6" t="s">
        <v>28</v>
      </c>
      <c r="H124" s="6" t="s">
        <v>28</v>
      </c>
      <c r="I124" s="15" t="n">
        <v>7000</v>
      </c>
      <c r="J124" s="16" t="n">
        <v>8500</v>
      </c>
      <c r="K124" s="16" t="n">
        <v>6700</v>
      </c>
      <c r="L124" s="6" t="s">
        <v>82</v>
      </c>
      <c r="M124" s="17" t="n">
        <v>970000</v>
      </c>
      <c r="N124" s="18" t="n">
        <v>1</v>
      </c>
      <c r="O124" s="18" t="n">
        <v>8</v>
      </c>
      <c r="P124" s="19" t="n">
        <v>0.05</v>
      </c>
      <c r="Q124" s="20" t="n">
        <v>0.1</v>
      </c>
      <c r="R124" s="14" t="s">
        <v>853</v>
      </c>
      <c r="S124" s="26" t="s">
        <v>140</v>
      </c>
      <c r="T124" s="6" t="s">
        <v>85</v>
      </c>
      <c r="U124" s="14" t="s">
        <v>854</v>
      </c>
      <c r="V124" s="22"/>
      <c r="W124" s="23"/>
      <c r="X124" s="23"/>
      <c r="Y124" s="24"/>
      <c r="Z124" s="25" t="s">
        <v>245</v>
      </c>
      <c r="AA124" s="25" t="s">
        <v>102</v>
      </c>
      <c r="AB124" s="25" t="s">
        <v>89</v>
      </c>
    </row>
    <row r="125" customFormat="false" ht="30" hidden="false" customHeight="true" outlineLevel="0" collapsed="false">
      <c r="A125" s="6" t="n">
        <v>124</v>
      </c>
      <c r="B125" s="6" t="s">
        <v>836</v>
      </c>
      <c r="C125" s="6" t="s">
        <v>855</v>
      </c>
      <c r="D125" s="6" t="s">
        <v>856</v>
      </c>
      <c r="E125" s="6" t="s">
        <v>857</v>
      </c>
      <c r="F125" s="14" t="s">
        <v>858</v>
      </c>
      <c r="G125" s="6" t="s">
        <v>28</v>
      </c>
      <c r="H125" s="6" t="s">
        <v>30</v>
      </c>
      <c r="I125" s="15" t="n">
        <v>70000</v>
      </c>
      <c r="J125" s="16" t="n">
        <v>82000</v>
      </c>
      <c r="K125" s="16" t="n">
        <v>65000</v>
      </c>
      <c r="L125" s="6" t="s">
        <v>82</v>
      </c>
      <c r="M125" s="17" t="n">
        <v>9700000</v>
      </c>
      <c r="N125" s="18" t="n">
        <v>1</v>
      </c>
      <c r="O125" s="18" t="n">
        <v>8</v>
      </c>
      <c r="P125" s="19" t="n">
        <v>0.07</v>
      </c>
      <c r="Q125" s="20" t="n">
        <v>0.3</v>
      </c>
      <c r="R125" s="14" t="s">
        <v>859</v>
      </c>
      <c r="S125" s="21" t="s">
        <v>84</v>
      </c>
      <c r="T125" s="6" t="s">
        <v>85</v>
      </c>
      <c r="U125" s="14" t="s">
        <v>860</v>
      </c>
      <c r="V125" s="22"/>
      <c r="W125" s="23"/>
      <c r="X125" s="23"/>
      <c r="Y125" s="24"/>
      <c r="Z125" s="25" t="s">
        <v>245</v>
      </c>
      <c r="AA125" s="25" t="s">
        <v>102</v>
      </c>
      <c r="AB125" s="25" t="s">
        <v>89</v>
      </c>
    </row>
    <row r="126" customFormat="false" ht="30" hidden="false" customHeight="true" outlineLevel="0" collapsed="false">
      <c r="A126" s="6" t="n">
        <v>125</v>
      </c>
      <c r="B126" s="6" t="s">
        <v>861</v>
      </c>
      <c r="C126" s="6" t="s">
        <v>862</v>
      </c>
      <c r="D126" s="6" t="s">
        <v>863</v>
      </c>
      <c r="E126" s="6" t="s">
        <v>864</v>
      </c>
      <c r="F126" s="14" t="s">
        <v>865</v>
      </c>
      <c r="G126" s="6" t="s">
        <v>30</v>
      </c>
      <c r="H126" s="6" t="s">
        <v>30</v>
      </c>
      <c r="I126" s="15" t="n">
        <v>15000</v>
      </c>
      <c r="J126" s="16" t="n">
        <v>17000</v>
      </c>
      <c r="K126" s="16" t="n">
        <v>12000</v>
      </c>
      <c r="L126" s="6" t="s">
        <v>201</v>
      </c>
      <c r="M126" s="17" t="n">
        <v>2100000</v>
      </c>
      <c r="N126" s="18" t="n">
        <v>1</v>
      </c>
      <c r="O126" s="18" t="n">
        <v>5</v>
      </c>
      <c r="P126" s="19" t="n">
        <v>0.2</v>
      </c>
      <c r="Q126" s="20" t="n">
        <v>0</v>
      </c>
      <c r="R126" s="14" t="s">
        <v>866</v>
      </c>
      <c r="S126" s="27" t="s">
        <v>321</v>
      </c>
      <c r="T126" s="6" t="s">
        <v>85</v>
      </c>
      <c r="U126" s="14" t="s">
        <v>867</v>
      </c>
      <c r="V126" s="22"/>
      <c r="W126" s="23"/>
      <c r="X126" s="23"/>
      <c r="Y126" s="24"/>
      <c r="Z126" s="25" t="s">
        <v>245</v>
      </c>
      <c r="AA126" s="25" t="s">
        <v>102</v>
      </c>
      <c r="AB126" s="25" t="s">
        <v>89</v>
      </c>
    </row>
    <row r="127" customFormat="false" ht="30" hidden="false" customHeight="true" outlineLevel="0" collapsed="false">
      <c r="A127" s="6" t="n">
        <v>126</v>
      </c>
      <c r="B127" s="6" t="s">
        <v>861</v>
      </c>
      <c r="C127" s="6" t="s">
        <v>868</v>
      </c>
      <c r="D127" s="6" t="s">
        <v>869</v>
      </c>
      <c r="E127" s="6" t="s">
        <v>870</v>
      </c>
      <c r="F127" s="14" t="s">
        <v>871</v>
      </c>
      <c r="G127" s="6" t="s">
        <v>30</v>
      </c>
      <c r="H127" s="6" t="s">
        <v>30</v>
      </c>
      <c r="I127" s="15" t="n">
        <v>45000</v>
      </c>
      <c r="J127" s="16" t="n">
        <v>52000</v>
      </c>
      <c r="K127" s="16" t="n">
        <v>38000</v>
      </c>
      <c r="L127" s="6" t="s">
        <v>177</v>
      </c>
      <c r="M127" s="17" t="n">
        <v>6200000</v>
      </c>
      <c r="N127" s="18" t="n">
        <v>1</v>
      </c>
      <c r="O127" s="18" t="n">
        <v>8</v>
      </c>
      <c r="P127" s="19" t="n">
        <v>0.07</v>
      </c>
      <c r="Q127" s="20" t="n">
        <v>0.3</v>
      </c>
      <c r="R127" s="14" t="s">
        <v>872</v>
      </c>
      <c r="S127" s="21" t="s">
        <v>84</v>
      </c>
      <c r="T127" s="6" t="s">
        <v>85</v>
      </c>
      <c r="U127" s="14" t="s">
        <v>873</v>
      </c>
      <c r="V127" s="22"/>
      <c r="W127" s="23"/>
      <c r="X127" s="23"/>
      <c r="Y127" s="24"/>
      <c r="Z127" s="25" t="s">
        <v>245</v>
      </c>
      <c r="AA127" s="25" t="s">
        <v>102</v>
      </c>
      <c r="AB127" s="25" t="s">
        <v>89</v>
      </c>
    </row>
    <row r="128" customFormat="false" ht="30" hidden="false" customHeight="true" outlineLevel="0" collapsed="false">
      <c r="A128" s="6" t="n">
        <v>127</v>
      </c>
      <c r="B128" s="6" t="s">
        <v>861</v>
      </c>
      <c r="C128" s="6" t="s">
        <v>874</v>
      </c>
      <c r="D128" s="6" t="s">
        <v>875</v>
      </c>
      <c r="E128" s="6" t="s">
        <v>876</v>
      </c>
      <c r="F128" s="14" t="s">
        <v>877</v>
      </c>
      <c r="G128" s="6" t="s">
        <v>28</v>
      </c>
      <c r="H128" s="6" t="s">
        <v>30</v>
      </c>
      <c r="I128" s="15" t="n">
        <v>18000</v>
      </c>
      <c r="J128" s="16" t="n">
        <v>20000</v>
      </c>
      <c r="K128" s="16" t="n">
        <v>14000</v>
      </c>
      <c r="L128" s="6" t="s">
        <v>177</v>
      </c>
      <c r="M128" s="17" t="n">
        <v>2500000</v>
      </c>
      <c r="N128" s="18" t="n">
        <v>5</v>
      </c>
      <c r="O128" s="18" t="n">
        <v>5</v>
      </c>
      <c r="P128" s="19" t="n">
        <v>0.05</v>
      </c>
      <c r="Q128" s="20" t="n">
        <v>0</v>
      </c>
      <c r="R128" s="14" t="s">
        <v>878</v>
      </c>
      <c r="S128" s="21" t="s">
        <v>84</v>
      </c>
      <c r="T128" s="6" t="s">
        <v>85</v>
      </c>
      <c r="U128" s="14" t="s">
        <v>879</v>
      </c>
      <c r="V128" s="22"/>
      <c r="W128" s="23"/>
      <c r="X128" s="23"/>
      <c r="Y128" s="24"/>
      <c r="Z128" s="25" t="s">
        <v>245</v>
      </c>
      <c r="AA128" s="25" t="s">
        <v>102</v>
      </c>
      <c r="AB128" s="25" t="s">
        <v>89</v>
      </c>
    </row>
    <row r="129" customFormat="false" ht="30" hidden="false" customHeight="true" outlineLevel="0" collapsed="false">
      <c r="A129" s="6" t="n">
        <v>128</v>
      </c>
      <c r="B129" s="6" t="s">
        <v>861</v>
      </c>
      <c r="C129" s="6" t="s">
        <v>880</v>
      </c>
      <c r="D129" s="6" t="s">
        <v>881</v>
      </c>
      <c r="E129" s="6" t="s">
        <v>882</v>
      </c>
      <c r="F129" s="14" t="s">
        <v>883</v>
      </c>
      <c r="G129" s="6" t="s">
        <v>30</v>
      </c>
      <c r="H129" s="6" t="s">
        <v>30</v>
      </c>
      <c r="I129" s="15" t="n">
        <v>90000</v>
      </c>
      <c r="J129" s="16" t="n">
        <v>105000</v>
      </c>
      <c r="K129" s="16" t="n">
        <v>70000</v>
      </c>
      <c r="L129" s="6" t="s">
        <v>177</v>
      </c>
      <c r="M129" s="17" t="n">
        <v>12500000</v>
      </c>
      <c r="N129" s="18" t="n">
        <v>1</v>
      </c>
      <c r="O129" s="18" t="n">
        <v>8</v>
      </c>
      <c r="P129" s="19" t="n">
        <v>0.08</v>
      </c>
      <c r="Q129" s="20" t="n">
        <v>0.5</v>
      </c>
      <c r="R129" s="14" t="s">
        <v>884</v>
      </c>
      <c r="S129" s="21" t="s">
        <v>84</v>
      </c>
      <c r="T129" s="6" t="s">
        <v>85</v>
      </c>
      <c r="U129" s="14" t="s">
        <v>885</v>
      </c>
      <c r="V129" s="22"/>
      <c r="W129" s="23"/>
      <c r="X129" s="23"/>
      <c r="Y129" s="24"/>
      <c r="Z129" s="25" t="s">
        <v>245</v>
      </c>
      <c r="AA129" s="25" t="s">
        <v>102</v>
      </c>
      <c r="AB129" s="25" t="s">
        <v>89</v>
      </c>
    </row>
    <row r="130" customFormat="false" ht="30" hidden="false" customHeight="true" outlineLevel="0" collapsed="false">
      <c r="A130" s="6" t="n">
        <v>129</v>
      </c>
      <c r="B130" s="6" t="s">
        <v>861</v>
      </c>
      <c r="C130" s="6" t="s">
        <v>886</v>
      </c>
      <c r="D130" s="6" t="s">
        <v>887</v>
      </c>
      <c r="E130" s="6" t="s">
        <v>888</v>
      </c>
      <c r="F130" s="14" t="s">
        <v>889</v>
      </c>
      <c r="G130" s="6" t="s">
        <v>28</v>
      </c>
      <c r="H130" s="6" t="s">
        <v>30</v>
      </c>
      <c r="I130" s="15" t="n">
        <v>8000</v>
      </c>
      <c r="J130" s="16" t="n">
        <v>9000</v>
      </c>
      <c r="K130" s="16" t="n">
        <v>6500</v>
      </c>
      <c r="L130" s="6" t="s">
        <v>177</v>
      </c>
      <c r="M130" s="17" t="n">
        <v>1100000</v>
      </c>
      <c r="N130" s="18" t="n">
        <v>25</v>
      </c>
      <c r="O130" s="18" t="n">
        <v>3</v>
      </c>
      <c r="P130" s="19" t="n">
        <v>0.1</v>
      </c>
      <c r="Q130" s="20" t="n">
        <v>0</v>
      </c>
      <c r="R130" s="14" t="s">
        <v>890</v>
      </c>
      <c r="S130" s="26" t="s">
        <v>140</v>
      </c>
      <c r="T130" s="6" t="s">
        <v>85</v>
      </c>
      <c r="U130" s="14" t="s">
        <v>891</v>
      </c>
      <c r="V130" s="22"/>
      <c r="W130" s="23"/>
      <c r="X130" s="23"/>
      <c r="Y130" s="24"/>
      <c r="Z130" s="25" t="s">
        <v>245</v>
      </c>
      <c r="AA130" s="25" t="s">
        <v>102</v>
      </c>
      <c r="AB130" s="25" t="s">
        <v>89</v>
      </c>
    </row>
    <row r="131" customFormat="false" ht="30" hidden="false" customHeight="true" outlineLevel="0" collapsed="false">
      <c r="A131" s="6" t="n">
        <v>130</v>
      </c>
      <c r="B131" s="6" t="s">
        <v>892</v>
      </c>
      <c r="C131" s="6" t="s">
        <v>893</v>
      </c>
      <c r="D131" s="6" t="s">
        <v>894</v>
      </c>
      <c r="E131" s="6" t="s">
        <v>895</v>
      </c>
      <c r="F131" s="14" t="s">
        <v>896</v>
      </c>
      <c r="G131" s="6" t="s">
        <v>26</v>
      </c>
      <c r="H131" s="6" t="s">
        <v>28</v>
      </c>
      <c r="I131" s="15" t="n">
        <v>18000</v>
      </c>
      <c r="J131" s="16" t="n">
        <v>22000</v>
      </c>
      <c r="K131" s="16" t="n">
        <v>15000</v>
      </c>
      <c r="L131" s="6" t="s">
        <v>201</v>
      </c>
      <c r="M131" s="17" t="n">
        <v>2200000</v>
      </c>
      <c r="N131" s="18" t="n">
        <v>1</v>
      </c>
      <c r="O131" s="18" t="n">
        <v>5</v>
      </c>
      <c r="P131" s="19" t="n">
        <v>0</v>
      </c>
      <c r="Q131" s="20" t="n">
        <v>0</v>
      </c>
      <c r="R131" s="14" t="s">
        <v>897</v>
      </c>
      <c r="S131" s="27" t="s">
        <v>321</v>
      </c>
      <c r="T131" s="6" t="s">
        <v>85</v>
      </c>
      <c r="U131" s="14" t="s">
        <v>898</v>
      </c>
      <c r="V131" s="15" t="n">
        <v>14000</v>
      </c>
      <c r="W131" s="16" t="n">
        <v>17000</v>
      </c>
      <c r="X131" s="16" t="n">
        <v>11000</v>
      </c>
      <c r="Y131" s="17" t="n">
        <v>1400000</v>
      </c>
      <c r="Z131" s="25" t="s">
        <v>899</v>
      </c>
      <c r="AA131" s="25" t="s">
        <v>88</v>
      </c>
      <c r="AB131" s="25" t="s">
        <v>89</v>
      </c>
    </row>
    <row r="132" customFormat="false" ht="30" hidden="false" customHeight="true" outlineLevel="0" collapsed="false">
      <c r="A132" s="6" t="n">
        <v>131</v>
      </c>
      <c r="B132" s="6" t="s">
        <v>892</v>
      </c>
      <c r="C132" s="6" t="s">
        <v>900</v>
      </c>
      <c r="D132" s="6" t="s">
        <v>901</v>
      </c>
      <c r="E132" s="6" t="s">
        <v>902</v>
      </c>
      <c r="F132" s="14" t="s">
        <v>903</v>
      </c>
      <c r="G132" s="6" t="s">
        <v>26</v>
      </c>
      <c r="H132" s="6" t="s">
        <v>30</v>
      </c>
      <c r="I132" s="15" t="n">
        <v>65000</v>
      </c>
      <c r="J132" s="16" t="n">
        <v>80000</v>
      </c>
      <c r="K132" s="16" t="n">
        <v>55000</v>
      </c>
      <c r="L132" s="6" t="s">
        <v>201</v>
      </c>
      <c r="M132" s="17" t="n">
        <v>7500000</v>
      </c>
      <c r="N132" s="18" t="n">
        <v>1</v>
      </c>
      <c r="O132" s="18" t="n">
        <v>5</v>
      </c>
      <c r="P132" s="19" t="n">
        <v>0</v>
      </c>
      <c r="Q132" s="20" t="n">
        <v>1</v>
      </c>
      <c r="R132" s="14" t="s">
        <v>904</v>
      </c>
      <c r="S132" s="27" t="s">
        <v>321</v>
      </c>
      <c r="T132" s="6" t="s">
        <v>85</v>
      </c>
      <c r="U132" s="14" t="s">
        <v>905</v>
      </c>
      <c r="V132" s="15" t="n">
        <v>30000</v>
      </c>
      <c r="W132" s="16" t="n">
        <v>38000</v>
      </c>
      <c r="X132" s="16" t="n">
        <v>24000</v>
      </c>
      <c r="Y132" s="17" t="n">
        <v>2400000</v>
      </c>
      <c r="Z132" s="25" t="s">
        <v>87</v>
      </c>
      <c r="AA132" s="25" t="s">
        <v>88</v>
      </c>
      <c r="AB132" s="25" t="s">
        <v>89</v>
      </c>
    </row>
    <row r="133" customFormat="false" ht="30" hidden="false" customHeight="true" outlineLevel="0" collapsed="false">
      <c r="A133" s="6" t="n">
        <v>132</v>
      </c>
      <c r="B133" s="6" t="s">
        <v>892</v>
      </c>
      <c r="C133" s="6" t="s">
        <v>906</v>
      </c>
      <c r="D133" s="6" t="s">
        <v>907</v>
      </c>
      <c r="E133" s="6" t="s">
        <v>908</v>
      </c>
      <c r="F133" s="14" t="s">
        <v>909</v>
      </c>
      <c r="G133" s="6" t="s">
        <v>26</v>
      </c>
      <c r="H133" s="6" t="s">
        <v>30</v>
      </c>
      <c r="I133" s="15" t="n">
        <v>25000</v>
      </c>
      <c r="J133" s="16" t="n">
        <v>32000</v>
      </c>
      <c r="K133" s="16" t="n">
        <v>22000</v>
      </c>
      <c r="L133" s="6" t="s">
        <v>201</v>
      </c>
      <c r="M133" s="17" t="n">
        <v>2500000</v>
      </c>
      <c r="N133" s="18" t="n">
        <v>1</v>
      </c>
      <c r="O133" s="18" t="n">
        <v>5</v>
      </c>
      <c r="P133" s="19" t="n">
        <v>0</v>
      </c>
      <c r="Q133" s="20" t="n">
        <v>0</v>
      </c>
      <c r="R133" s="14" t="s">
        <v>910</v>
      </c>
      <c r="S133" s="26" t="s">
        <v>140</v>
      </c>
      <c r="T133" s="6" t="s">
        <v>85</v>
      </c>
      <c r="U133" s="14" t="s">
        <v>911</v>
      </c>
      <c r="V133" s="15" t="n">
        <v>22000</v>
      </c>
      <c r="W133" s="16" t="n">
        <v>28000</v>
      </c>
      <c r="X133" s="16" t="n">
        <v>18000</v>
      </c>
      <c r="Y133" s="17" t="n">
        <v>1800000</v>
      </c>
      <c r="Z133" s="25" t="s">
        <v>87</v>
      </c>
      <c r="AA133" s="25" t="s">
        <v>88</v>
      </c>
      <c r="AB133" s="25" t="s">
        <v>89</v>
      </c>
    </row>
    <row r="134" customFormat="false" ht="30" hidden="false" customHeight="true" outlineLevel="0" collapsed="false">
      <c r="A134" s="6" t="n">
        <v>133</v>
      </c>
      <c r="B134" s="6" t="s">
        <v>892</v>
      </c>
      <c r="C134" s="6" t="s">
        <v>912</v>
      </c>
      <c r="D134" s="6" t="s">
        <v>913</v>
      </c>
      <c r="E134" s="6" t="s">
        <v>914</v>
      </c>
      <c r="F134" s="14" t="s">
        <v>915</v>
      </c>
      <c r="G134" s="6" t="s">
        <v>32</v>
      </c>
      <c r="H134" s="6" t="s">
        <v>32</v>
      </c>
      <c r="I134" s="15" t="n">
        <v>35000</v>
      </c>
      <c r="J134" s="16" t="n">
        <v>42000</v>
      </c>
      <c r="K134" s="16" t="n">
        <v>28000</v>
      </c>
      <c r="L134" s="6" t="s">
        <v>201</v>
      </c>
      <c r="M134" s="17" t="n">
        <v>4200000</v>
      </c>
      <c r="N134" s="18" t="n">
        <v>1</v>
      </c>
      <c r="O134" s="18" t="n">
        <v>4</v>
      </c>
      <c r="P134" s="19" t="n">
        <v>0</v>
      </c>
      <c r="Q134" s="20" t="n">
        <v>0</v>
      </c>
      <c r="R134" s="14" t="s">
        <v>916</v>
      </c>
      <c r="S134" s="27" t="s">
        <v>321</v>
      </c>
      <c r="T134" s="6" t="s">
        <v>85</v>
      </c>
      <c r="U134" s="14" t="s">
        <v>917</v>
      </c>
      <c r="V134" s="15" t="n">
        <v>25000</v>
      </c>
      <c r="W134" s="16" t="n">
        <v>30000</v>
      </c>
      <c r="X134" s="16" t="n">
        <v>20000</v>
      </c>
      <c r="Y134" s="17" t="n">
        <v>2400000</v>
      </c>
      <c r="Z134" s="25" t="s">
        <v>87</v>
      </c>
      <c r="AA134" s="25" t="s">
        <v>102</v>
      </c>
      <c r="AB134" s="25" t="s">
        <v>89</v>
      </c>
    </row>
    <row r="135" customFormat="false" ht="30" hidden="false" customHeight="true" outlineLevel="0" collapsed="false">
      <c r="A135" s="6" t="n">
        <v>134</v>
      </c>
      <c r="B135" s="6" t="s">
        <v>892</v>
      </c>
      <c r="C135" s="6" t="s">
        <v>918</v>
      </c>
      <c r="D135" s="6" t="s">
        <v>919</v>
      </c>
      <c r="E135" s="6" t="s">
        <v>920</v>
      </c>
      <c r="F135" s="14" t="s">
        <v>921</v>
      </c>
      <c r="G135" s="6" t="s">
        <v>26</v>
      </c>
      <c r="H135" s="6" t="s">
        <v>30</v>
      </c>
      <c r="I135" s="15" t="n">
        <v>65000</v>
      </c>
      <c r="J135" s="16" t="n">
        <v>80000</v>
      </c>
      <c r="K135" s="16" t="n">
        <v>55000</v>
      </c>
      <c r="L135" s="6" t="s">
        <v>201</v>
      </c>
      <c r="M135" s="17" t="n">
        <v>7500000</v>
      </c>
      <c r="N135" s="18" t="n">
        <v>1</v>
      </c>
      <c r="O135" s="18" t="n">
        <v>4</v>
      </c>
      <c r="P135" s="19" t="n">
        <v>0</v>
      </c>
      <c r="Q135" s="20" t="n">
        <v>0</v>
      </c>
      <c r="R135" s="14" t="s">
        <v>922</v>
      </c>
      <c r="S135" s="21" t="s">
        <v>84</v>
      </c>
      <c r="T135" s="6" t="s">
        <v>85</v>
      </c>
      <c r="U135" s="14" t="s">
        <v>923</v>
      </c>
      <c r="V135" s="15" t="n">
        <v>18000</v>
      </c>
      <c r="W135" s="16" t="n">
        <v>22000</v>
      </c>
      <c r="X135" s="16" t="n">
        <v>14000</v>
      </c>
      <c r="Y135" s="17" t="n">
        <v>1800000</v>
      </c>
      <c r="Z135" s="25" t="s">
        <v>817</v>
      </c>
      <c r="AA135" s="25" t="s">
        <v>127</v>
      </c>
      <c r="AB135" s="25" t="s">
        <v>89</v>
      </c>
    </row>
  </sheetData>
  <autoFilter ref="A1:Y135"/>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6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customHeight="false" zeroHeight="false" outlineLevelRow="0" outlineLevelCol="0"/>
  <cols>
    <col collapsed="false" customWidth="true" hidden="false" outlineLevel="0" max="8" min="1" style="1" width="28"/>
  </cols>
  <sheetData>
    <row r="1" customFormat="false" ht="21.75" hidden="false" customHeight="true" outlineLevel="0" collapsed="false">
      <c r="A1" s="3" t="s">
        <v>924</v>
      </c>
      <c r="B1" s="2"/>
      <c r="C1" s="2"/>
      <c r="D1" s="2"/>
    </row>
    <row r="2" customFormat="false" ht="15" hidden="false" customHeight="true" outlineLevel="0" collapsed="false">
      <c r="A2" s="4" t="s">
        <v>925</v>
      </c>
      <c r="B2" s="2"/>
      <c r="C2" s="2"/>
      <c r="D2" s="2"/>
    </row>
    <row r="3" customFormat="false" ht="15" hidden="false" customHeight="true" outlineLevel="0" collapsed="false">
      <c r="A3" s="2" t="s">
        <v>926</v>
      </c>
      <c r="B3" s="28" t="n">
        <v>90</v>
      </c>
      <c r="C3" s="4" t="s">
        <v>927</v>
      </c>
      <c r="D3" s="2"/>
    </row>
    <row r="4" customFormat="false" ht="15" hidden="false" customHeight="true" outlineLevel="0" collapsed="false">
      <c r="A4" s="2" t="s">
        <v>928</v>
      </c>
      <c r="B4" s="29" t="n">
        <v>92</v>
      </c>
      <c r="C4" s="2"/>
      <c r="D4" s="2"/>
    </row>
    <row r="5" customFormat="false" ht="15" hidden="false" customHeight="true" outlineLevel="0" collapsed="false">
      <c r="A5" s="2" t="s">
        <v>929</v>
      </c>
      <c r="B5" s="29" t="n">
        <v>85</v>
      </c>
      <c r="C5" s="2"/>
      <c r="D5" s="2"/>
    </row>
    <row r="6" customFormat="false" ht="15" hidden="false" customHeight="true" outlineLevel="0" collapsed="false">
      <c r="A6" s="2"/>
      <c r="B6" s="2"/>
      <c r="C6" s="2"/>
      <c r="D6" s="2"/>
    </row>
    <row r="7" customFormat="false" ht="15" hidden="false" customHeight="true" outlineLevel="0" collapsed="false">
      <c r="A7" s="7" t="s">
        <v>930</v>
      </c>
      <c r="B7" s="2"/>
      <c r="C7" s="2"/>
      <c r="D7" s="2"/>
    </row>
    <row r="8" customFormat="false" ht="15" hidden="false" customHeight="true" outlineLevel="0" collapsed="false">
      <c r="A8" s="30" t="s">
        <v>931</v>
      </c>
      <c r="B8" s="31" t="s">
        <v>30</v>
      </c>
      <c r="C8" s="31" t="s">
        <v>28</v>
      </c>
      <c r="D8" s="31" t="s">
        <v>26</v>
      </c>
    </row>
    <row r="9" customFormat="false" ht="15" hidden="false" customHeight="true" outlineLevel="0" collapsed="false">
      <c r="A9" s="6" t="s">
        <v>932</v>
      </c>
      <c r="B9" s="32" t="n">
        <f aca="false">SUMPRODUCT((((1*('Реестр оборудования'!$G$2:$G$135="Уровень Six Senses Place (велнес-плюс)")+2*('Реестр оборудования'!$G$2:$G$135="Уровень SHA/Chenot (медицина-лайт)")+3*('Реестр оборудования'!$G$2:$G$135="Уровень Lanserhof/CLP (полный медицинский)"))&gt;0)*((1*('Реестр оборудования'!$G$2:$G$135="Уровень Six Senses Place (велнес-плюс)")+2*('Реестр оборудования'!$G$2:$G$135="Уровень SHA/Chenot (медицина-лайт)")+3*('Реестр оборудования'!$G$2:$G$135="Уровень Lanserhof/CLP (полный медицинский)"))&lt;=3))*(('Реестр оборудования'!$B$2:$B$135="Лучевая диагностика")+('Реестр оборудования'!$B$2:$B$135="Лаборатория и биомаркеры")+('Реестр оборудования'!$B$2:$B$135="Кардиология и пульмонология")+('Реестр оборудования'!$B$2:$B$135="Сон и неврология")+('Реестр оборудования'!$B$2:$B$135="Инфузионная терапия")+('Реестр оборудования'!$B$2:$B$135="Эстетика и регенеративные процедуры")+('Реестр оборудования'!$B$2:$B$135="Нутрициология и ЖКТ-диагностика")+('Реестр оборудования'!$B$2:$B$135="Состав тела и функциональная диагностика")+('Реестр оборудования'!$B$2:$B$135="Телемедицина и цифровое здоровье"))*IFERROR('Реестр оборудования'!$N$2:$N$135+0,0)*IFERROR('Реестр оборудования'!$I$2:$I$135+0,0))</f>
        <v>7636500</v>
      </c>
      <c r="C9" s="32" t="n">
        <f aca="false">SUMPRODUCT((((1*('Реестр оборудования'!$G$2:$G$135="Уровень Six Senses Place (велнес-плюс)")+2*('Реестр оборудования'!$G$2:$G$135="Уровень SHA/Chenot (медицина-лайт)")+3*('Реестр оборудования'!$G$2:$G$135="Уровень Lanserhof/CLP (полный медицинский)"))&gt;0)*((1*('Реестр оборудования'!$G$2:$G$135="Уровень Six Senses Place (велнес-плюс)")+2*('Реестр оборудования'!$G$2:$G$135="Уровень SHA/Chenot (медицина-лайт)")+3*('Реестр оборудования'!$G$2:$G$135="Уровень Lanserhof/CLP (полный медицинский)"))&lt;=2))*(('Реестр оборудования'!$B$2:$B$135="Лучевая диагностика")+('Реестр оборудования'!$B$2:$B$135="Лаборатория и биомаркеры")+('Реестр оборудования'!$B$2:$B$135="Кардиология и пульмонология")+('Реестр оборудования'!$B$2:$B$135="Сон и неврология")+('Реестр оборудования'!$B$2:$B$135="Инфузионная терапия")+('Реестр оборудования'!$B$2:$B$135="Эстетика и регенеративные процедуры")+('Реестр оборудования'!$B$2:$B$135="Нутрициология и ЖКТ-диагностика")+('Реестр оборудования'!$B$2:$B$135="Состав тела и функциональная диагностика")+('Реестр оборудования'!$B$2:$B$135="Телемедицина и цифровое здоровье"))*IFERROR('Реестр оборудования'!$N$2:$N$135+0,0)*IFERROR('Реестр оборудования'!$I$2:$I$135+0,0))</f>
        <v>2222500</v>
      </c>
      <c r="D9" s="32" t="n">
        <f aca="false">SUMPRODUCT((((1*('Реестр оборудования'!$G$2:$G$135="Уровень Six Senses Place (велнес-плюс)")+2*('Реестр оборудования'!$G$2:$G$135="Уровень SHA/Chenot (медицина-лайт)")+3*('Реестр оборудования'!$G$2:$G$135="Уровень Lanserhof/CLP (полный медицинский)"))&gt;0)*((1*('Реестр оборудования'!$G$2:$G$135="Уровень Six Senses Place (велнес-плюс)")+2*('Реестр оборудования'!$G$2:$G$135="Уровень SHA/Chenot (медицина-лайт)")+3*('Реестр оборудования'!$G$2:$G$135="Уровень Lanserhof/CLP (полный медицинский)"))&lt;=1))*(('Реестр оборудования'!$B$2:$B$135="Лучевая диагностика")+('Реестр оборудования'!$B$2:$B$135="Лаборатория и биомаркеры")+('Реестр оборудования'!$B$2:$B$135="Кардиология и пульмонология")+('Реестр оборудования'!$B$2:$B$135="Сон и неврология")+('Реестр оборудования'!$B$2:$B$135="Инфузионная терапия")+('Реестр оборудования'!$B$2:$B$135="Эстетика и регенеративные процедуры")+('Реестр оборудования'!$B$2:$B$135="Нутрициология и ЖКТ-диагностика")+('Реестр оборудования'!$B$2:$B$135="Состав тела и функциональная диагностика")+('Реестр оборудования'!$B$2:$B$135="Телемедицина и цифровое здоровье"))*IFERROR('Реестр оборудования'!$N$2:$N$135+0,0)*IFERROR('Реестр оборудования'!$I$2:$I$135+0,0))</f>
        <v>279000</v>
      </c>
    </row>
    <row r="10" customFormat="false" ht="15" hidden="false" customHeight="true" outlineLevel="0" collapsed="false">
      <c r="A10" s="6" t="s">
        <v>933</v>
      </c>
      <c r="B10" s="32" t="n">
        <f aca="false">SUMPRODUCT((((1*('Реестр оборудования'!$G$2:$G$135="Уровень Six Senses Place (велнес-плюс)")+2*('Реестр оборудования'!$G$2:$G$135="Уровень SHA/Chenot (медицина-лайт)")+3*('Реестр оборудования'!$G$2:$G$135="Уровень Lanserhof/CLP (полный медицинский)"))&gt;0)*((1*('Реестр оборудования'!$G$2:$G$135="Уровень Six Senses Place (велнес-плюс)")+2*('Реестр оборудования'!$G$2:$G$135="Уровень SHA/Chenot (медицина-лайт)")+3*('Реестр оборудования'!$G$2:$G$135="Уровень Lanserhof/CLP (полный медицинский)"))&lt;=3))*(('Реестр оборудования'!$B$2:$B$135="Гидротерапия и SPA")+('Реестр оборудования'!$B$2:$B$135="Криотерапия и термальные зоны"))*IFERROR('Реестр оборудования'!$N$2:$N$135+0,0)*IFERROR('Реестр оборудования'!$I$2:$I$135+0,0))</f>
        <v>1626000</v>
      </c>
      <c r="C10" s="32" t="n">
        <f aca="false">SUMPRODUCT((((1*('Реестр оборудования'!$G$2:$G$135="Уровень Six Senses Place (велнес-плюс)")+2*('Реестр оборудования'!$G$2:$G$135="Уровень SHA/Chenot (медицина-лайт)")+3*('Реестр оборудования'!$G$2:$G$135="Уровень Lanserhof/CLP (полный медицинский)"))&gt;0)*((1*('Реестр оборудования'!$G$2:$G$135="Уровень Six Senses Place (велнес-плюс)")+2*('Реестр оборудования'!$G$2:$G$135="Уровень SHA/Chenot (медицина-лайт)")+3*('Реестр оборудования'!$G$2:$G$135="Уровень Lanserhof/CLP (полный медицинский)"))&lt;=2))*(('Реестр оборудования'!$B$2:$B$135="Гидротерапия и SPA")+('Реестр оборудования'!$B$2:$B$135="Криотерапия и термальные зоны"))*IFERROR('Реестр оборудования'!$N$2:$N$135+0,0)*IFERROR('Реестр оборудования'!$I$2:$I$135+0,0))</f>
        <v>1626000</v>
      </c>
      <c r="D10" s="32" t="n">
        <f aca="false">SUMPRODUCT((((1*('Реестр оборудования'!$G$2:$G$135="Уровень Six Senses Place (велнес-плюс)")+2*('Реестр оборудования'!$G$2:$G$135="Уровень SHA/Chenot (медицина-лайт)")+3*('Реестр оборудования'!$G$2:$G$135="Уровень Lanserhof/CLP (полный медицинский)"))&gt;0)*((1*('Реестр оборудования'!$G$2:$G$135="Уровень Six Senses Place (велнес-плюс)")+2*('Реестр оборудования'!$G$2:$G$135="Уровень SHA/Chenot (медицина-лайт)")+3*('Реестр оборудования'!$G$2:$G$135="Уровень Lanserhof/CLP (полный медицинский)"))&lt;=1))*(('Реестр оборудования'!$B$2:$B$135="Гидротерапия и SPA")+('Реестр оборудования'!$B$2:$B$135="Криотерапия и термальные зоны"))*IFERROR('Реестр оборудования'!$N$2:$N$135+0,0)*IFERROR('Реестр оборудования'!$I$2:$I$135+0,0))</f>
        <v>1626000</v>
      </c>
    </row>
    <row r="11" customFormat="false" ht="15" hidden="false" customHeight="true" outlineLevel="0" collapsed="false">
      <c r="A11" s="6" t="s">
        <v>934</v>
      </c>
      <c r="B11" s="32" t="n">
        <f aca="false">SUMPRODUCT((((1*('Реестр оборудования'!$G$2:$G$135="Уровень Six Senses Place (велнес-плюс)")+2*('Реестр оборудования'!$G$2:$G$135="Уровень SHA/Chenot (медицина-лайт)")+3*('Реестр оборудования'!$G$2:$G$135="Уровень Lanserhof/CLP (полный медицинский)"))&gt;0)*((1*('Реестр оборудования'!$G$2:$G$135="Уровень Six Senses Place (велнес-плюс)")+2*('Реестр оборудования'!$G$2:$G$135="Уровень SHA/Chenot (медицина-лайт)")+3*('Реестр оборудования'!$G$2:$G$135="Уровень Lanserhof/CLP (полный медицинский)"))&lt;=3))*(('Реестр оборудования'!$B$2:$B$135="Движение и реабилитация")+('Реестр оборудования'!$B$2:$B$135="Тренажёрный зал и силовая зона"))*IFERROR('Реестр оборудования'!$N$2:$N$135+0,0)*IFERROR('Реестр оборудования'!$I$2:$I$135+0,0))</f>
        <v>1335000</v>
      </c>
      <c r="C11" s="32" t="n">
        <f aca="false">SUMPRODUCT((((1*('Реестр оборудования'!$G$2:$G$135="Уровень Six Senses Place (велнес-плюс)")+2*('Реестр оборудования'!$G$2:$G$135="Уровень SHA/Chenot (медицина-лайт)")+3*('Реестр оборудования'!$G$2:$G$135="Уровень Lanserhof/CLP (полный медицинский)"))&gt;0)*((1*('Реестр оборудования'!$G$2:$G$135="Уровень Six Senses Place (велнес-плюс)")+2*('Реестр оборудования'!$G$2:$G$135="Уровень SHA/Chenot (медицина-лайт)")+3*('Реестр оборудования'!$G$2:$G$135="Уровень Lanserhof/CLP (полный медицинский)"))&lt;=2))*(('Реестр оборудования'!$B$2:$B$135="Движение и реабилитация")+('Реестр оборудования'!$B$2:$B$135="Тренажёрный зал и силовая зона"))*IFERROR('Реестр оборудования'!$N$2:$N$135+0,0)*IFERROR('Реестр оборудования'!$I$2:$I$135+0,0))</f>
        <v>581000</v>
      </c>
      <c r="D11" s="32" t="n">
        <f aca="false">SUMPRODUCT((((1*('Реестр оборудования'!$G$2:$G$135="Уровень Six Senses Place (велнес-плюс)")+2*('Реестр оборудования'!$G$2:$G$135="Уровень SHA/Chenot (медицина-лайт)")+3*('Реестр оборудования'!$G$2:$G$135="Уровень Lanserhof/CLP (полный медицинский)"))&gt;0)*((1*('Реестр оборудования'!$G$2:$G$135="Уровень Six Senses Place (велнес-плюс)")+2*('Реестр оборудования'!$G$2:$G$135="Уровень SHA/Chenot (медицина-лайт)")+3*('Реестр оборудования'!$G$2:$G$135="Уровень Lanserhof/CLP (полный медицинский)"))&lt;=1))*(('Реестр оборудования'!$B$2:$B$135="Движение и реабилитация")+('Реестр оборудования'!$B$2:$B$135="Тренажёрный зал и силовая зона"))*IFERROR('Реестр оборудования'!$N$2:$N$135+0,0)*IFERROR('Реестр оборудования'!$I$2:$I$135+0,0))</f>
        <v>581000</v>
      </c>
    </row>
    <row r="12" customFormat="false" ht="15" hidden="false" customHeight="true" outlineLevel="0" collapsed="false">
      <c r="A12" s="6" t="s">
        <v>935</v>
      </c>
      <c r="B12" s="32" t="n">
        <f aca="false">SUMPRODUCT((((1*('Реестр оборудования'!$G$2:$G$135="Уровень Six Senses Place (велнес-плюс)")+2*('Реестр оборудования'!$G$2:$G$135="Уровень SHA/Chenot (медицина-лайт)")+3*('Реестр оборудования'!$G$2:$G$135="Уровень Lanserhof/CLP (полный медицинский)"))&gt;0)*((1*('Реестр оборудования'!$G$2:$G$135="Уровень Six Senses Place (велнес-плюс)")+2*('Реестр оборудования'!$G$2:$G$135="Уровень SHA/Chenot (медицина-лайт)")+3*('Реестр оборудования'!$G$2:$G$135="Уровень Lanserhof/CLP (полный медицинский)"))&lt;=3))*(('Реестр оборудования'!$B$2:$B$135="ИТ, МИС, ПО для пациентов"))*IFERROR('Реестр оборудования'!$N$2:$N$135+0,0)*IFERROR('Реестр оборудования'!$I$2:$I$135+0,0))</f>
        <v>1000000</v>
      </c>
      <c r="C12" s="32" t="n">
        <f aca="false">SUMPRODUCT((((1*('Реестр оборудования'!$G$2:$G$135="Уровень Six Senses Place (велнес-плюс)")+2*('Реестр оборудования'!$G$2:$G$135="Уровень SHA/Chenot (медицина-лайт)")+3*('Реестр оборудования'!$G$2:$G$135="Уровень Lanserhof/CLP (полный медицинский)"))&gt;0)*((1*('Реестр оборудования'!$G$2:$G$135="Уровень Six Senses Place (велнес-плюс)")+2*('Реестр оборудования'!$G$2:$G$135="Уровень SHA/Chenot (медицина-лайт)")+3*('Реестр оборудования'!$G$2:$G$135="Уровень Lanserhof/CLP (полный медицинский)"))&lt;=2))*(('Реестр оборудования'!$B$2:$B$135="ИТ, МИС, ПО для пациентов"))*IFERROR('Реестр оборудования'!$N$2:$N$135+0,0)*IFERROR('Реестр оборудования'!$I$2:$I$135+0,0))</f>
        <v>1000000</v>
      </c>
      <c r="D12" s="32" t="n">
        <f aca="false">SUMPRODUCT((((1*('Реестр оборудования'!$G$2:$G$135="Уровень Six Senses Place (велнес-плюс)")+2*('Реестр оборудования'!$G$2:$G$135="Уровень SHA/Chenot (медицина-лайт)")+3*('Реестр оборудования'!$G$2:$G$135="Уровень Lanserhof/CLP (полный медицинский)"))&gt;0)*((1*('Реестр оборудования'!$G$2:$G$135="Уровень Six Senses Place (велнес-плюс)")+2*('Реестр оборудования'!$G$2:$G$135="Уровень SHA/Chenot (медицина-лайт)")+3*('Реестр оборудования'!$G$2:$G$135="Уровень Lanserhof/CLP (полный медицинский)"))&lt;=1))*(('Реестр оборудования'!$B$2:$B$135="ИТ, МИС, ПО для пациентов"))*IFERROR('Реестр оборудования'!$N$2:$N$135+0,0)*IFERROR('Реестр оборудования'!$I$2:$I$135+0,0))</f>
        <v>820000</v>
      </c>
    </row>
    <row r="13" customFormat="false" ht="15" hidden="false" customHeight="true" outlineLevel="0" collapsed="false">
      <c r="A13" s="6" t="s">
        <v>936</v>
      </c>
      <c r="B13" s="32" t="n">
        <f aca="false">SUMPRODUCT((((1*('Реестр оборудования'!$G$2:$G$135="Уровень Six Senses Place (велнес-плюс)")+2*('Реестр оборудования'!$G$2:$G$135="Уровень SHA/Chenot (медицина-лайт)")+3*('Реестр оборудования'!$G$2:$G$135="Уровень Lanserhof/CLP (полный медицинский)"))&gt;0)*((1*('Реестр оборудования'!$G$2:$G$135="Уровень Six Senses Place (велнес-плюс)")+2*('Реестр оборудования'!$G$2:$G$135="Уровень SHA/Chenot (медицина-лайт)")+3*('Реестр оборудования'!$G$2:$G$135="Уровень Lanserhof/CLP (полный медицинский)"))&lt;=3))*(('Реестр оборудования'!$B$2:$B$135="Кухня и F&amp;B"))*IFERROR('Реестр оборудования'!$N$2:$N$135+0,0)*IFERROR('Реестр оборудования'!$I$2:$I$135+0,0))</f>
        <v>1056000</v>
      </c>
      <c r="C13" s="32" t="n">
        <f aca="false">SUMPRODUCT((((1*('Реестр оборудования'!$G$2:$G$135="Уровень Six Senses Place (велнес-плюс)")+2*('Реестр оборудования'!$G$2:$G$135="Уровень SHA/Chenot (медицина-лайт)")+3*('Реестр оборудования'!$G$2:$G$135="Уровень Lanserhof/CLP (полный медицинский)"))&gt;0)*((1*('Реестр оборудования'!$G$2:$G$135="Уровень Six Senses Place (велнес-плюс)")+2*('Реестр оборудования'!$G$2:$G$135="Уровень SHA/Chenot (медицина-лайт)")+3*('Реестр оборудования'!$G$2:$G$135="Уровень Lanserhof/CLP (полный медицинский)"))&lt;=2))*(('Реестр оборудования'!$B$2:$B$135="Кухня и F&amp;B"))*IFERROR('Реестр оборудования'!$N$2:$N$135+0,0)*IFERROR('Реестр оборудования'!$I$2:$I$135+0,0))</f>
        <v>1056000</v>
      </c>
      <c r="D13" s="32" t="n">
        <f aca="false">SUMPRODUCT((((1*('Реестр оборудования'!$G$2:$G$135="Уровень Six Senses Place (велнес-плюс)")+2*('Реестр оборудования'!$G$2:$G$135="Уровень SHA/Chenot (медицина-лайт)")+3*('Реестр оборудования'!$G$2:$G$135="Уровень Lanserhof/CLP (полный медицинский)"))&gt;0)*((1*('Реестр оборудования'!$G$2:$G$135="Уровень Six Senses Place (велнес-плюс)")+2*('Реестр оборудования'!$G$2:$G$135="Уровень SHA/Chenot (медицина-лайт)")+3*('Реестр оборудования'!$G$2:$G$135="Уровень Lanserhof/CLP (полный медицинский)"))&lt;=1))*(('Реестр оборудования'!$B$2:$B$135="Кухня и F&amp;B"))*IFERROR('Реестр оборудования'!$N$2:$N$135+0,0)*IFERROR('Реестр оборудования'!$I$2:$I$135+0,0))</f>
        <v>1056000</v>
      </c>
    </row>
    <row r="14" customFormat="false" ht="15" hidden="false" customHeight="true" outlineLevel="0" collapsed="false">
      <c r="A14" s="6" t="s">
        <v>937</v>
      </c>
      <c r="B14" s="32" t="n">
        <f aca="false">SUMPRODUCT((((1*('Реестр оборудования'!$G$2:$G$135="Уровень Six Senses Place (велнес-плюс)")+2*('Реестр оборудования'!$G$2:$G$135="Уровень SHA/Chenot (медицина-лайт)")+3*('Реестр оборудования'!$G$2:$G$135="Уровень Lanserhof/CLP (полный медицинский)"))&gt;0)*((1*('Реестр оборудования'!$G$2:$G$135="Уровень Six Senses Place (велнес-плюс)")+2*('Реестр оборудования'!$G$2:$G$135="Уровень SHA/Chenot (медицина-лайт)")+3*('Реестр оборудования'!$G$2:$G$135="Уровень Lanserhof/CLP (полный медицинский)"))&lt;=3))*(('Реестр оборудования'!$B$2:$B$135="Медицинская инфраструктура"))*IFERROR('Реестр оборудования'!$N$2:$N$135+0,0)*IFERROR('Реестр оборудования'!$I$2:$I$135+0,0))</f>
        <v>1077000</v>
      </c>
      <c r="C14" s="32" t="n">
        <f aca="false">SUMPRODUCT((((1*('Реестр оборудования'!$G$2:$G$135="Уровень Six Senses Place (велнес-плюс)")+2*('Реестр оборудования'!$G$2:$G$135="Уровень SHA/Chenot (медицина-лайт)")+3*('Реестр оборудования'!$G$2:$G$135="Уровень Lanserhof/CLP (полный медицинский)"))&gt;0)*((1*('Реестр оборудования'!$G$2:$G$135="Уровень Six Senses Place (велнес-плюс)")+2*('Реестр оборудования'!$G$2:$G$135="Уровень SHA/Chenot (медицина-лайт)")+3*('Реестр оборудования'!$G$2:$G$135="Уровень Lanserhof/CLP (полный медицинский)"))&lt;=2))*(('Реестр оборудования'!$B$2:$B$135="Медицинская инфраструктура"))*IFERROR('Реестр оборудования'!$N$2:$N$135+0,0)*IFERROR('Реестр оборудования'!$I$2:$I$135+0,0))</f>
        <v>127000</v>
      </c>
      <c r="D14" s="32" t="n">
        <f aca="false">SUMPRODUCT((((1*('Реестр оборудования'!$G$2:$G$135="Уровень Six Senses Place (велнес-плюс)")+2*('Реестр оборудования'!$G$2:$G$135="Уровень SHA/Chenot (медицина-лайт)")+3*('Реестр оборудования'!$G$2:$G$135="Уровень Lanserhof/CLP (полный медицинский)"))&gt;0)*((1*('Реестр оборудования'!$G$2:$G$135="Уровень Six Senses Place (велнес-плюс)")+2*('Реестр оборудования'!$G$2:$G$135="Уровень SHA/Chenot (медицина-лайт)")+3*('Реестр оборудования'!$G$2:$G$135="Уровень Lanserhof/CLP (полный медицинский)"))&lt;=1))*(('Реестр оборудования'!$B$2:$B$135="Медицинская инфраструктура"))*IFERROR('Реестр оборудования'!$N$2:$N$135+0,0)*IFERROR('Реестр оборудования'!$I$2:$I$135+0,0))</f>
        <v>0</v>
      </c>
    </row>
    <row r="15" customFormat="false" ht="15" hidden="false" customHeight="true" outlineLevel="0" collapsed="false">
      <c r="A15" s="33" t="s">
        <v>938</v>
      </c>
      <c r="B15" s="34" t="n">
        <f aca="false">SUM(B9:B14)</f>
        <v>13730500</v>
      </c>
      <c r="C15" s="34" t="n">
        <f aca="false">SUM(C9:C14)</f>
        <v>6612500</v>
      </c>
      <c r="D15" s="34" t="n">
        <f aca="false">SUM(D9:D14)</f>
        <v>4362000</v>
      </c>
    </row>
    <row r="16" customFormat="false" ht="15" hidden="false" customHeight="true" outlineLevel="0" collapsed="false">
      <c r="A16" s="6" t="s">
        <v>939</v>
      </c>
      <c r="B16" s="35" t="n">
        <f aca="false">B15/$B$3</f>
        <v>152561.111111111</v>
      </c>
      <c r="C16" s="35" t="n">
        <f aca="false">C15/$B$3</f>
        <v>73472.2222222222</v>
      </c>
      <c r="D16" s="35" t="n">
        <f aca="false">D15/$B$3</f>
        <v>48466.6666666667</v>
      </c>
    </row>
    <row r="17" customFormat="false" ht="15" hidden="false" customHeight="true" outlineLevel="0" collapsed="false">
      <c r="A17" s="2"/>
      <c r="B17" s="2"/>
      <c r="C17" s="2"/>
      <c r="D17" s="2"/>
    </row>
    <row r="18" customFormat="false" ht="15" hidden="false" customHeight="true" outlineLevel="0" collapsed="false">
      <c r="A18" s="7" t="s">
        <v>940</v>
      </c>
      <c r="B18" s="2"/>
      <c r="C18" s="2"/>
      <c r="D18" s="2"/>
    </row>
    <row r="19" customFormat="false" ht="15" hidden="false" customHeight="true" outlineLevel="0" collapsed="false">
      <c r="A19" s="30" t="s">
        <v>931</v>
      </c>
      <c r="B19" s="31" t="s">
        <v>30</v>
      </c>
      <c r="C19" s="31" t="s">
        <v>28</v>
      </c>
      <c r="D19" s="31" t="s">
        <v>26</v>
      </c>
    </row>
    <row r="20" customFormat="false" ht="15" hidden="false" customHeight="true" outlineLevel="0" collapsed="false">
      <c r="A20" s="6" t="s">
        <v>932</v>
      </c>
      <c r="B20" s="36" t="n">
        <f aca="false">SUMPRODUCT((((1*('Реестр оборудования'!$G$2:$G$135="Уровень Six Senses Place (велнес-плюс)")+2*('Реестр оборудования'!$G$2:$G$135="Уровень SHA/Chenot (медицина-лайт)")+3*('Реестр оборудования'!$G$2:$G$135="Уровень Lanserhof/CLP (полный медицинский)"))&gt;0)*((1*('Реестр оборудования'!$G$2:$G$135="Уровень Six Senses Place (велнес-плюс)")+2*('Реестр оборудования'!$G$2:$G$135="Уровень SHA/Chenot (медицина-лайт)")+3*('Реестр оборудования'!$G$2:$G$135="Уровень Lanserhof/CLP (полный медицинский)"))&lt;=3))*(('Реестр оборудования'!$B$2:$B$135="Лучевая диагностика")+('Реестр оборудования'!$B$2:$B$135="Лаборатория и биомаркеры")+('Реестр оборудования'!$B$2:$B$135="Кардиология и пульмонология")+('Реестр оборудования'!$B$2:$B$135="Сон и неврология")+('Реестр оборудования'!$B$2:$B$135="Инфузионная терапия")+('Реестр оборудования'!$B$2:$B$135="Эстетика и регенеративные процедуры")+('Реестр оборудования'!$B$2:$B$135="Нутрициология и ЖКТ-диагностика")+('Реестр оборудования'!$B$2:$B$135="Состав тела и функциональная диагностика")+('Реестр оборудования'!$B$2:$B$135="Телемедицина и цифровое здоровье"))*IFERROR('Реестр оборудования'!$N$2:$N$135+0,0)*IFERROR('Реестр оборудования'!$J$2:$J$135+0,0))</f>
        <v>8738700</v>
      </c>
      <c r="C20" s="36" t="n">
        <f aca="false">SUMPRODUCT((((1*('Реестр оборудования'!$G$2:$G$135="Уровень Six Senses Place (велнес-плюс)")+2*('Реестр оборудования'!$G$2:$G$135="Уровень SHA/Chenot (медицина-лайт)")+3*('Реестр оборудования'!$G$2:$G$135="Уровень Lanserhof/CLP (полный медицинский)"))&gt;0)*((1*('Реестр оборудования'!$G$2:$G$135="Уровень Six Senses Place (велнес-плюс)")+2*('Реестр оборудования'!$G$2:$G$135="Уровень SHA/Chenot (медицина-лайт)")+3*('Реестр оборудования'!$G$2:$G$135="Уровень Lanserhof/CLP (полный медицинский)"))&lt;=2))*(('Реестр оборудования'!$B$2:$B$135="Лучевая диагностика")+('Реестр оборудования'!$B$2:$B$135="Лаборатория и биомаркеры")+('Реестр оборудования'!$B$2:$B$135="Кардиология и пульмонология")+('Реестр оборудования'!$B$2:$B$135="Сон и неврология")+('Реестр оборудования'!$B$2:$B$135="Инфузионная терапия")+('Реестр оборудования'!$B$2:$B$135="Эстетика и регенеративные процедуры")+('Реестр оборудования'!$B$2:$B$135="Нутрициология и ЖКТ-диагностика")+('Реестр оборудования'!$B$2:$B$135="Состав тела и функциональная диагностика")+('Реестр оборудования'!$B$2:$B$135="Телемедицина и цифровое здоровье"))*IFERROR('Реестр оборудования'!$N$2:$N$135+0,0)*IFERROR('Реестр оборудования'!$J$2:$J$135+0,0))</f>
        <v>2577700</v>
      </c>
      <c r="D20" s="36" t="n">
        <f aca="false">SUMPRODUCT((((1*('Реестр оборудования'!$G$2:$G$135="Уровень Six Senses Place (велнес-плюс)")+2*('Реестр оборудования'!$G$2:$G$135="Уровень SHA/Chenot (медицина-лайт)")+3*('Реестр оборудования'!$G$2:$G$135="Уровень Lanserhof/CLP (полный медицинский)"))&gt;0)*((1*('Реестр оборудования'!$G$2:$G$135="Уровень Six Senses Place (велнес-плюс)")+2*('Реестр оборудования'!$G$2:$G$135="Уровень SHA/Chenot (медицина-лайт)")+3*('Реестр оборудования'!$G$2:$G$135="Уровень Lanserhof/CLP (полный медицинский)"))&lt;=1))*(('Реестр оборудования'!$B$2:$B$135="Лучевая диагностика")+('Реестр оборудования'!$B$2:$B$135="Лаборатория и биомаркеры")+('Реестр оборудования'!$B$2:$B$135="Кардиология и пульмонология")+('Реестр оборудования'!$B$2:$B$135="Сон и неврология")+('Реестр оборудования'!$B$2:$B$135="Инфузионная терапия")+('Реестр оборудования'!$B$2:$B$135="Эстетика и регенеративные процедуры")+('Реестр оборудования'!$B$2:$B$135="Нутрициология и ЖКТ-диагностика")+('Реестр оборудования'!$B$2:$B$135="Состав тела и функциональная диагностика")+('Реестр оборудования'!$B$2:$B$135="Телемедицина и цифровое здоровье"))*IFERROR('Реестр оборудования'!$N$2:$N$135+0,0)*IFERROR('Реестр оборудования'!$J$2:$J$135+0,0))</f>
        <v>337200</v>
      </c>
    </row>
    <row r="21" customFormat="false" ht="15" hidden="false" customHeight="true" outlineLevel="0" collapsed="false">
      <c r="A21" s="6" t="s">
        <v>933</v>
      </c>
      <c r="B21" s="36" t="n">
        <f aca="false">SUMPRODUCT((((1*('Реестр оборудования'!$G$2:$G$135="Уровень Six Senses Place (велнес-плюс)")+2*('Реестр оборудования'!$G$2:$G$135="Уровень SHA/Chenot (медицина-лайт)")+3*('Реестр оборудования'!$G$2:$G$135="Уровень Lanserhof/CLP (полный медицинский)"))&gt;0)*((1*('Реестр оборудования'!$G$2:$G$135="Уровень Six Senses Place (велнес-плюс)")+2*('Реестр оборудования'!$G$2:$G$135="Уровень SHA/Chenot (медицина-лайт)")+3*('Реестр оборудования'!$G$2:$G$135="Уровень Lanserhof/CLP (полный медицинский)"))&lt;=3))*(('Реестр оборудования'!$B$2:$B$135="Гидротерапия и SPA")+('Реестр оборудования'!$B$2:$B$135="Криотерапия и термальные зоны"))*IFERROR('Реестр оборудования'!$N$2:$N$135+0,0)*IFERROR('Реестр оборудования'!$J$2:$J$135+0,0))</f>
        <v>1945200</v>
      </c>
      <c r="C21" s="36" t="n">
        <f aca="false">SUMPRODUCT((((1*('Реестр оборудования'!$G$2:$G$135="Уровень Six Senses Place (велнес-плюс)")+2*('Реестр оборудования'!$G$2:$G$135="Уровень SHA/Chenot (медицина-лайт)")+3*('Реестр оборудования'!$G$2:$G$135="Уровень Lanserhof/CLP (полный медицинский)"))&gt;0)*((1*('Реестр оборудования'!$G$2:$G$135="Уровень Six Senses Place (велнес-плюс)")+2*('Реестр оборудования'!$G$2:$G$135="Уровень SHA/Chenot (медицина-лайт)")+3*('Реестр оборудования'!$G$2:$G$135="Уровень Lanserhof/CLP (полный медицинский)"))&lt;=2))*(('Реестр оборудования'!$B$2:$B$135="Гидротерапия и SPA")+('Реестр оборудования'!$B$2:$B$135="Криотерапия и термальные зоны"))*IFERROR('Реестр оборудования'!$N$2:$N$135+0,0)*IFERROR('Реестр оборудования'!$J$2:$J$135+0,0))</f>
        <v>1945200</v>
      </c>
      <c r="D21" s="36" t="n">
        <f aca="false">SUMPRODUCT((((1*('Реестр оборудования'!$G$2:$G$135="Уровень Six Senses Place (велнес-плюс)")+2*('Реестр оборудования'!$G$2:$G$135="Уровень SHA/Chenot (медицина-лайт)")+3*('Реестр оборудования'!$G$2:$G$135="Уровень Lanserhof/CLP (полный медицинский)"))&gt;0)*((1*('Реестр оборудования'!$G$2:$G$135="Уровень Six Senses Place (велнес-плюс)")+2*('Реестр оборудования'!$G$2:$G$135="Уровень SHA/Chenot (медицина-лайт)")+3*('Реестр оборудования'!$G$2:$G$135="Уровень Lanserhof/CLP (полный медицинский)"))&lt;=1))*(('Реестр оборудования'!$B$2:$B$135="Гидротерапия и SPA")+('Реестр оборудования'!$B$2:$B$135="Криотерапия и термальные зоны"))*IFERROR('Реестр оборудования'!$N$2:$N$135+0,0)*IFERROR('Реестр оборудования'!$J$2:$J$135+0,0))</f>
        <v>1945200</v>
      </c>
    </row>
    <row r="22" customFormat="false" ht="15" hidden="false" customHeight="true" outlineLevel="0" collapsed="false">
      <c r="A22" s="6" t="s">
        <v>934</v>
      </c>
      <c r="B22" s="36" t="n">
        <f aca="false">SUMPRODUCT((((1*('Реестр оборудования'!$G$2:$G$135="Уровень Six Senses Place (велнес-плюс)")+2*('Реестр оборудования'!$G$2:$G$135="Уровень SHA/Chenot (медицина-лайт)")+3*('Реестр оборудования'!$G$2:$G$135="Уровень Lanserhof/CLP (полный медицинский)"))&gt;0)*((1*('Реестр оборудования'!$G$2:$G$135="Уровень Six Senses Place (велнес-плюс)")+2*('Реестр оборудования'!$G$2:$G$135="Уровень SHA/Chenot (медицина-лайт)")+3*('Реестр оборудования'!$G$2:$G$135="Уровень Lanserhof/CLP (полный медицинский)"))&lt;=3))*(('Реестр оборудования'!$B$2:$B$135="Движение и реабилитация")+('Реестр оборудования'!$B$2:$B$135="Тренажёрный зал и силовая зона"))*IFERROR('Реестр оборудования'!$N$2:$N$135+0,0)*IFERROR('Реестр оборудования'!$J$2:$J$135+0,0))</f>
        <v>1585000</v>
      </c>
      <c r="C22" s="36" t="n">
        <f aca="false">SUMPRODUCT((((1*('Реестр оборудования'!$G$2:$G$135="Уровень Six Senses Place (велнес-плюс)")+2*('Реестр оборудования'!$G$2:$G$135="Уровень SHA/Chenot (медицина-лайт)")+3*('Реестр оборудования'!$G$2:$G$135="Уровень Lanserhof/CLP (полный медицинский)"))&gt;0)*((1*('Реестр оборудования'!$G$2:$G$135="Уровень Six Senses Place (велнес-плюс)")+2*('Реестр оборудования'!$G$2:$G$135="Уровень SHA/Chenot (медицина-лайт)")+3*('Реестр оборудования'!$G$2:$G$135="Уровень Lanserhof/CLP (полный медицинский)"))&lt;=2))*(('Реестр оборудования'!$B$2:$B$135="Движение и реабилитация")+('Реестр оборудования'!$B$2:$B$135="Тренажёрный зал и силовая зона"))*IFERROR('Реестр оборудования'!$N$2:$N$135+0,0)*IFERROR('Реестр оборудования'!$J$2:$J$135+0,0))</f>
        <v>687000</v>
      </c>
      <c r="D22" s="36" t="n">
        <f aca="false">SUMPRODUCT((((1*('Реестр оборудования'!$G$2:$G$135="Уровень Six Senses Place (велнес-плюс)")+2*('Реестр оборудования'!$G$2:$G$135="Уровень SHA/Chenot (медицина-лайт)")+3*('Реестр оборудования'!$G$2:$G$135="Уровень Lanserhof/CLP (полный медицинский)"))&gt;0)*((1*('Реестр оборудования'!$G$2:$G$135="Уровень Six Senses Place (велнес-плюс)")+2*('Реестр оборудования'!$G$2:$G$135="Уровень SHA/Chenot (медицина-лайт)")+3*('Реестр оборудования'!$G$2:$G$135="Уровень Lanserhof/CLP (полный медицинский)"))&lt;=1))*(('Реестр оборудования'!$B$2:$B$135="Движение и реабилитация")+('Реестр оборудования'!$B$2:$B$135="Тренажёрный зал и силовая зона"))*IFERROR('Реестр оборудования'!$N$2:$N$135+0,0)*IFERROR('Реестр оборудования'!$J$2:$J$135+0,0))</f>
        <v>687000</v>
      </c>
    </row>
    <row r="23" customFormat="false" ht="15" hidden="false" customHeight="true" outlineLevel="0" collapsed="false">
      <c r="A23" s="6" t="s">
        <v>935</v>
      </c>
      <c r="B23" s="36" t="n">
        <f aca="false">SUMPRODUCT((((1*('Реестр оборудования'!$G$2:$G$135="Уровень Six Senses Place (велнес-плюс)")+2*('Реестр оборудования'!$G$2:$G$135="Уровень SHA/Chenot (медицина-лайт)")+3*('Реестр оборудования'!$G$2:$G$135="Уровень Lanserhof/CLP (полный медицинский)"))&gt;0)*((1*('Реестр оборудования'!$G$2:$G$135="Уровень Six Senses Place (велнес-плюс)")+2*('Реестр оборудования'!$G$2:$G$135="Уровень SHA/Chenot (медицина-лайт)")+3*('Реестр оборудования'!$G$2:$G$135="Уровень Lanserhof/CLP (полный медицинский)"))&lt;=3))*(('Реестр оборудования'!$B$2:$B$135="ИТ, МИС, ПО для пациентов"))*IFERROR('Реестр оборудования'!$N$2:$N$135+0,0)*IFERROR('Реестр оборудования'!$J$2:$J$135+0,0))</f>
        <v>1208000</v>
      </c>
      <c r="C23" s="36" t="n">
        <f aca="false">SUMPRODUCT((((1*('Реестр оборудования'!$G$2:$G$135="Уровень Six Senses Place (велнес-плюс)")+2*('Реестр оборудования'!$G$2:$G$135="Уровень SHA/Chenot (медицина-лайт)")+3*('Реестр оборудования'!$G$2:$G$135="Уровень Lanserhof/CLP (полный медицинский)"))&gt;0)*((1*('Реестр оборудования'!$G$2:$G$135="Уровень Six Senses Place (велнес-плюс)")+2*('Реестр оборудования'!$G$2:$G$135="Уровень SHA/Chenot (медицина-лайт)")+3*('Реестр оборудования'!$G$2:$G$135="Уровень Lanserhof/CLP (полный медицинский)"))&lt;=2))*(('Реестр оборудования'!$B$2:$B$135="ИТ, МИС, ПО для пациентов"))*IFERROR('Реестр оборудования'!$N$2:$N$135+0,0)*IFERROR('Реестр оборудования'!$J$2:$J$135+0,0))</f>
        <v>1208000</v>
      </c>
      <c r="D23" s="36" t="n">
        <f aca="false">SUMPRODUCT((((1*('Реестр оборудования'!$G$2:$G$135="Уровень Six Senses Place (велнес-плюс)")+2*('Реестр оборудования'!$G$2:$G$135="Уровень SHA/Chenot (медицина-лайт)")+3*('Реестр оборудования'!$G$2:$G$135="Уровень Lanserhof/CLP (полный медицинский)"))&gt;0)*((1*('Реестр оборудования'!$G$2:$G$135="Уровень Six Senses Place (велнес-плюс)")+2*('Реестр оборудования'!$G$2:$G$135="Уровень SHA/Chenot (медицина-лайт)")+3*('Реестр оборудования'!$G$2:$G$135="Уровень Lanserhof/CLP (полный медицинский)"))&lt;=1))*(('Реестр оборудования'!$B$2:$B$135="ИТ, МИС, ПО для пациентов"))*IFERROR('Реестр оборудования'!$N$2:$N$135+0,0)*IFERROR('Реестр оборудования'!$J$2:$J$135+0,0))</f>
        <v>988000</v>
      </c>
    </row>
    <row r="24" customFormat="false" ht="15" hidden="false" customHeight="true" outlineLevel="0" collapsed="false">
      <c r="A24" s="6" t="s">
        <v>936</v>
      </c>
      <c r="B24" s="36" t="n">
        <f aca="false">SUMPRODUCT((((1*('Реестр оборудования'!$G$2:$G$135="Уровень Six Senses Place (велнес-плюс)")+2*('Реестр оборудования'!$G$2:$G$135="Уровень SHA/Chenot (медицина-лайт)")+3*('Реестр оборудования'!$G$2:$G$135="Уровень Lanserhof/CLP (полный медицинский)"))&gt;0)*((1*('Реестр оборудования'!$G$2:$G$135="Уровень Six Senses Place (велнес-плюс)")+2*('Реестр оборудования'!$G$2:$G$135="Уровень SHA/Chenot (медицина-лайт)")+3*('Реестр оборудования'!$G$2:$G$135="Уровень Lanserhof/CLP (полный медицинский)"))&lt;=3))*(('Реестр оборудования'!$B$2:$B$135="Кухня и F&amp;B"))*IFERROR('Реестр оборудования'!$N$2:$N$135+0,0)*IFERROR('Реестр оборудования'!$J$2:$J$135+0,0))</f>
        <v>1243800</v>
      </c>
      <c r="C24" s="36" t="n">
        <f aca="false">SUMPRODUCT((((1*('Реестр оборудования'!$G$2:$G$135="Уровень Six Senses Place (велнес-плюс)")+2*('Реестр оборудования'!$G$2:$G$135="Уровень SHA/Chenot (медицина-лайт)")+3*('Реестр оборудования'!$G$2:$G$135="Уровень Lanserhof/CLP (полный медицинский)"))&gt;0)*((1*('Реестр оборудования'!$G$2:$G$135="Уровень Six Senses Place (велнес-плюс)")+2*('Реестр оборудования'!$G$2:$G$135="Уровень SHA/Chenot (медицина-лайт)")+3*('Реестр оборудования'!$G$2:$G$135="Уровень Lanserhof/CLP (полный медицинский)"))&lt;=2))*(('Реестр оборудования'!$B$2:$B$135="Кухня и F&amp;B"))*IFERROR('Реестр оборудования'!$N$2:$N$135+0,0)*IFERROR('Реестр оборудования'!$J$2:$J$135+0,0))</f>
        <v>1243800</v>
      </c>
      <c r="D24" s="36" t="n">
        <f aca="false">SUMPRODUCT((((1*('Реестр оборудования'!$G$2:$G$135="Уровень Six Senses Place (велнес-плюс)")+2*('Реестр оборудования'!$G$2:$G$135="Уровень SHA/Chenot (медицина-лайт)")+3*('Реестр оборудования'!$G$2:$G$135="Уровень Lanserhof/CLP (полный медицинский)"))&gt;0)*((1*('Реестр оборудования'!$G$2:$G$135="Уровень Six Senses Place (велнес-плюс)")+2*('Реестр оборудования'!$G$2:$G$135="Уровень SHA/Chenot (медицина-лайт)")+3*('Реестр оборудования'!$G$2:$G$135="Уровень Lanserhof/CLP (полный медицинский)"))&lt;=1))*(('Реестр оборудования'!$B$2:$B$135="Кухня и F&amp;B"))*IFERROR('Реестр оборудования'!$N$2:$N$135+0,0)*IFERROR('Реестр оборудования'!$J$2:$J$135+0,0))</f>
        <v>1243800</v>
      </c>
    </row>
    <row r="25" customFormat="false" ht="15" hidden="false" customHeight="true" outlineLevel="0" collapsed="false">
      <c r="A25" s="6" t="s">
        <v>937</v>
      </c>
      <c r="B25" s="36" t="n">
        <f aca="false">SUMPRODUCT((((1*('Реестр оборудования'!$G$2:$G$135="Уровень Six Senses Place (велнес-плюс)")+2*('Реестр оборудования'!$G$2:$G$135="Уровень SHA/Chenot (медицина-лайт)")+3*('Реестр оборудования'!$G$2:$G$135="Уровень Lanserhof/CLP (полный медицинский)"))&gt;0)*((1*('Реестр оборудования'!$G$2:$G$135="Уровень Six Senses Place (велнес-плюс)")+2*('Реестр оборудования'!$G$2:$G$135="Уровень SHA/Chenot (медицина-лайт)")+3*('Реестр оборудования'!$G$2:$G$135="Уровень Lanserhof/CLP (полный медицинский)"))&lt;=3))*(('Реестр оборудования'!$B$2:$B$135="Медицинская инфраструктура"))*IFERROR('Реестр оборудования'!$N$2:$N$135+0,0)*IFERROR('Реестр оборудования'!$J$2:$J$135+0,0))</f>
        <v>1295000</v>
      </c>
      <c r="C25" s="36" t="n">
        <f aca="false">SUMPRODUCT((((1*('Реестр оборудования'!$G$2:$G$135="Уровень Six Senses Place (велнес-плюс)")+2*('Реестр оборудования'!$G$2:$G$135="Уровень SHA/Chenot (медицина-лайт)")+3*('Реестр оборудования'!$G$2:$G$135="Уровень Lanserhof/CLP (полный медицинский)"))&gt;0)*((1*('Реестр оборудования'!$G$2:$G$135="Уровень Six Senses Place (велнес-плюс)")+2*('Реестр оборудования'!$G$2:$G$135="Уровень SHA/Chenot (медицина-лайт)")+3*('Реестр оборудования'!$G$2:$G$135="Уровень Lanserhof/CLP (полный медицинский)"))&lt;=2))*(('Реестр оборудования'!$B$2:$B$135="Медицинская инфраструктура"))*IFERROR('Реестр оборудования'!$N$2:$N$135+0,0)*IFERROR('Реестр оборудования'!$J$2:$J$135+0,0))</f>
        <v>155000</v>
      </c>
      <c r="D25" s="36" t="n">
        <f aca="false">SUMPRODUCT((((1*('Реестр оборудования'!$G$2:$G$135="Уровень Six Senses Place (велнес-плюс)")+2*('Реестр оборудования'!$G$2:$G$135="Уровень SHA/Chenot (медицина-лайт)")+3*('Реестр оборудования'!$G$2:$G$135="Уровень Lanserhof/CLP (полный медицинский)"))&gt;0)*((1*('Реестр оборудования'!$G$2:$G$135="Уровень Six Senses Place (велнес-плюс)")+2*('Реестр оборудования'!$G$2:$G$135="Уровень SHA/Chenot (медицина-лайт)")+3*('Реестр оборудования'!$G$2:$G$135="Уровень Lanserhof/CLP (полный медицинский)"))&lt;=1))*(('Реестр оборудования'!$B$2:$B$135="Медицинская инфраструктура"))*IFERROR('Реестр оборудования'!$N$2:$N$135+0,0)*IFERROR('Реестр оборудования'!$J$2:$J$135+0,0))</f>
        <v>0</v>
      </c>
    </row>
    <row r="26" customFormat="false" ht="15" hidden="false" customHeight="true" outlineLevel="0" collapsed="false">
      <c r="A26" s="33" t="s">
        <v>938</v>
      </c>
      <c r="B26" s="37" t="n">
        <f aca="false">SUM(B20:B25)</f>
        <v>16015700</v>
      </c>
      <c r="C26" s="37" t="n">
        <f aca="false">SUM(C20:C25)</f>
        <v>7816700</v>
      </c>
      <c r="D26" s="37" t="n">
        <f aca="false">SUM(D20:D25)</f>
        <v>5201200</v>
      </c>
    </row>
    <row r="27" customFormat="false" ht="15" hidden="false" customHeight="true" outlineLevel="0" collapsed="false">
      <c r="A27" s="6" t="s">
        <v>939</v>
      </c>
      <c r="B27" s="38" t="n">
        <f aca="false">B26/$B$3</f>
        <v>177952.222222222</v>
      </c>
      <c r="C27" s="38" t="n">
        <f aca="false">C26/$B$3</f>
        <v>86852.2222222222</v>
      </c>
      <c r="D27" s="38" t="n">
        <f aca="false">D26/$B$3</f>
        <v>57791.1111111111</v>
      </c>
    </row>
    <row r="28" customFormat="false" ht="15" hidden="false" customHeight="true" outlineLevel="0" collapsed="false">
      <c r="A28" s="2"/>
      <c r="B28" s="2"/>
      <c r="C28" s="2"/>
      <c r="D28" s="2"/>
    </row>
    <row r="29" customFormat="false" ht="15" hidden="false" customHeight="true" outlineLevel="0" collapsed="false">
      <c r="A29" s="7" t="s">
        <v>941</v>
      </c>
      <c r="B29" s="2"/>
      <c r="C29" s="2"/>
      <c r="D29" s="2"/>
    </row>
    <row r="30" customFormat="false" ht="15" hidden="false" customHeight="true" outlineLevel="0" collapsed="false">
      <c r="A30" s="30" t="s">
        <v>931</v>
      </c>
      <c r="B30" s="31" t="s">
        <v>30</v>
      </c>
      <c r="C30" s="31" t="s">
        <v>28</v>
      </c>
      <c r="D30" s="31" t="s">
        <v>26</v>
      </c>
    </row>
    <row r="31" customFormat="false" ht="15" hidden="false" customHeight="true" outlineLevel="0" collapsed="false">
      <c r="A31" s="6" t="s">
        <v>932</v>
      </c>
      <c r="B31" s="36" t="n">
        <f aca="false">SUMPRODUCT((((1*('Реестр оборудования'!$G$2:$G$135="Уровень Six Senses Place (велнес-плюс)")+2*('Реестр оборудования'!$G$2:$G$135="Уровень SHA/Chenot (медицина-лайт)")+3*('Реестр оборудования'!$G$2:$G$135="Уровень Lanserhof/CLP (полный медицинский)"))&gt;0)*((1*('Реестр оборудования'!$G$2:$G$135="Уровень Six Senses Place (велнес-плюс)")+2*('Реестр оборудования'!$G$2:$G$135="Уровень SHA/Chenot (медицина-лайт)")+3*('Реестр оборудования'!$G$2:$G$135="Уровень Lanserhof/CLP (полный медицинский)"))&lt;=3))*(('Реестр оборудования'!$B$2:$B$135="Лучевая диагностика")+('Реестр оборудования'!$B$2:$B$135="Лаборатория и биомаркеры")+('Реестр оборудования'!$B$2:$B$135="Кардиология и пульмонология")+('Реестр оборудования'!$B$2:$B$135="Сон и неврология")+('Реестр оборудования'!$B$2:$B$135="Инфузионная терапия")+('Реестр оборудования'!$B$2:$B$135="Эстетика и регенеративные процедуры")+('Реестр оборудования'!$B$2:$B$135="Нутрициология и ЖКТ-диагностика")+('Реестр оборудования'!$B$2:$B$135="Состав тела и функциональная диагностика")+('Реестр оборудования'!$B$2:$B$135="Телемедицина и цифровое здоровье"))*IFERROR('Реестр оборудования'!$N$2:$N$135+0,0)*IFERROR('Реестр оборудования'!$K$2:$K$135+0,0))</f>
        <v>6556200</v>
      </c>
      <c r="C31" s="36" t="n">
        <f aca="false">SUMPRODUCT((((1*('Реестр оборудования'!$G$2:$G$135="Уровень Six Senses Place (велнес-плюс)")+2*('Реестр оборудования'!$G$2:$G$135="Уровень SHA/Chenot (медицина-лайт)")+3*('Реестр оборудования'!$G$2:$G$135="Уровень Lanserhof/CLP (полный медицинский)"))&gt;0)*((1*('Реестр оборудования'!$G$2:$G$135="Уровень Six Senses Place (велнес-плюс)")+2*('Реестр оборудования'!$G$2:$G$135="Уровень SHA/Chenot (медицина-лайт)")+3*('Реестр оборудования'!$G$2:$G$135="Уровень Lanserhof/CLP (полный медицинский)"))&lt;=2))*(('Реестр оборудования'!$B$2:$B$135="Лучевая диагностика")+('Реестр оборудования'!$B$2:$B$135="Лаборатория и биомаркеры")+('Реестр оборудования'!$B$2:$B$135="Кардиология и пульмонология")+('Реестр оборудования'!$B$2:$B$135="Сон и неврология")+('Реестр оборудования'!$B$2:$B$135="Инфузионная терапия")+('Реестр оборудования'!$B$2:$B$135="Эстетика и регенеративные процедуры")+('Реестр оборудования'!$B$2:$B$135="Нутрициология и ЖКТ-диагностика")+('Реестр оборудования'!$B$2:$B$135="Состав тела и функциональная диагностика")+('Реестр оборудования'!$B$2:$B$135="Телемедицина и цифровое здоровье"))*IFERROR('Реестр оборудования'!$N$2:$N$135+0,0)*IFERROR('Реестр оборудования'!$K$2:$K$135+0,0))</f>
        <v>1883200</v>
      </c>
      <c r="D31" s="36" t="n">
        <f aca="false">SUMPRODUCT((((1*('Реестр оборудования'!$G$2:$G$135="Уровень Six Senses Place (велнес-плюс)")+2*('Реестр оборудования'!$G$2:$G$135="Уровень SHA/Chenot (медицина-лайт)")+3*('Реестр оборудования'!$G$2:$G$135="Уровень Lanserhof/CLP (полный медицинский)"))&gt;0)*((1*('Реестр оборудования'!$G$2:$G$135="Уровень Six Senses Place (велнес-плюс)")+2*('Реестр оборудования'!$G$2:$G$135="Уровень SHA/Chenot (медицина-лайт)")+3*('Реестр оборудования'!$G$2:$G$135="Уровень Lanserhof/CLP (полный медицинский)"))&lt;=1))*(('Реестр оборудования'!$B$2:$B$135="Лучевая диагностика")+('Реестр оборудования'!$B$2:$B$135="Лаборатория и биомаркеры")+('Реестр оборудования'!$B$2:$B$135="Кардиология и пульмонология")+('Реестр оборудования'!$B$2:$B$135="Сон и неврология")+('Реестр оборудования'!$B$2:$B$135="Инфузионная терапия")+('Реестр оборудования'!$B$2:$B$135="Эстетика и регенеративные процедуры")+('Реестр оборудования'!$B$2:$B$135="Нутрициология и ЖКТ-диагностика")+('Реестр оборудования'!$B$2:$B$135="Состав тела и функциональная диагностика")+('Реестр оборудования'!$B$2:$B$135="Телемедицина и цифровое здоровье"))*IFERROR('Реестр оборудования'!$N$2:$N$135+0,0)*IFERROR('Реестр оборудования'!$K$2:$K$135+0,0))</f>
        <v>247000</v>
      </c>
    </row>
    <row r="32" customFormat="false" ht="15" hidden="false" customHeight="true" outlineLevel="0" collapsed="false">
      <c r="A32" s="6" t="s">
        <v>933</v>
      </c>
      <c r="B32" s="36" t="n">
        <f aca="false">SUMPRODUCT((((1*('Реестр оборудования'!$G$2:$G$135="Уровень Six Senses Place (велнес-плюс)")+2*('Реестр оборудования'!$G$2:$G$135="Уровень SHA/Chenot (медицина-лайт)")+3*('Реестр оборудования'!$G$2:$G$135="Уровень Lanserhof/CLP (полный медицинский)"))&gt;0)*((1*('Реестр оборудования'!$G$2:$G$135="Уровень Six Senses Place (велнес-плюс)")+2*('Реестр оборудования'!$G$2:$G$135="Уровень SHA/Chenot (медицина-лайт)")+3*('Реестр оборудования'!$G$2:$G$135="Уровень Lanserhof/CLP (полный медицинский)"))&lt;=3))*(('Реестр оборудования'!$B$2:$B$135="Гидротерапия и SPA")+('Реестр оборудования'!$B$2:$B$135="Криотерапия и термальные зоны"))*IFERROR('Реестр оборудования'!$N$2:$N$135+0,0)*IFERROR('Реестр оборудования'!$K$2:$K$135+0,0))</f>
        <v>1528800</v>
      </c>
      <c r="C32" s="36" t="n">
        <f aca="false">SUMPRODUCT((((1*('Реестр оборудования'!$G$2:$G$135="Уровень Six Senses Place (велнес-плюс)")+2*('Реестр оборудования'!$G$2:$G$135="Уровень SHA/Chenot (медицина-лайт)")+3*('Реестр оборудования'!$G$2:$G$135="Уровень Lanserhof/CLP (полный медицинский)"))&gt;0)*((1*('Реестр оборудования'!$G$2:$G$135="Уровень Six Senses Place (велнес-плюс)")+2*('Реестр оборудования'!$G$2:$G$135="Уровень SHA/Chenot (медицина-лайт)")+3*('Реестр оборудования'!$G$2:$G$135="Уровень Lanserhof/CLP (полный медицинский)"))&lt;=2))*(('Реестр оборудования'!$B$2:$B$135="Гидротерапия и SPA")+('Реестр оборудования'!$B$2:$B$135="Криотерапия и термальные зоны"))*IFERROR('Реестр оборудования'!$N$2:$N$135+0,0)*IFERROR('Реестр оборудования'!$K$2:$K$135+0,0))</f>
        <v>1528800</v>
      </c>
      <c r="D32" s="36" t="n">
        <f aca="false">SUMPRODUCT((((1*('Реестр оборудования'!$G$2:$G$135="Уровень Six Senses Place (велнес-плюс)")+2*('Реестр оборудования'!$G$2:$G$135="Уровень SHA/Chenot (медицина-лайт)")+3*('Реестр оборудования'!$G$2:$G$135="Уровень Lanserhof/CLP (полный медицинский)"))&gt;0)*((1*('Реестр оборудования'!$G$2:$G$135="Уровень Six Senses Place (велнес-плюс)")+2*('Реестр оборудования'!$G$2:$G$135="Уровень SHA/Chenot (медицина-лайт)")+3*('Реестр оборудования'!$G$2:$G$135="Уровень Lanserhof/CLP (полный медицинский)"))&lt;=1))*(('Реестр оборудования'!$B$2:$B$135="Гидротерапия и SPA")+('Реестр оборудования'!$B$2:$B$135="Криотерапия и термальные зоны"))*IFERROR('Реестр оборудования'!$N$2:$N$135+0,0)*IFERROR('Реестр оборудования'!$K$2:$K$135+0,0))</f>
        <v>1528800</v>
      </c>
    </row>
    <row r="33" customFormat="false" ht="15" hidden="false" customHeight="true" outlineLevel="0" collapsed="false">
      <c r="A33" s="6" t="s">
        <v>934</v>
      </c>
      <c r="B33" s="36" t="n">
        <f aca="false">SUMPRODUCT((((1*('Реестр оборудования'!$G$2:$G$135="Уровень Six Senses Place (велнес-плюс)")+2*('Реестр оборудования'!$G$2:$G$135="Уровень SHA/Chenot (медицина-лайт)")+3*('Реестр оборудования'!$G$2:$G$135="Уровень Lanserhof/CLP (полный медицинский)"))&gt;0)*((1*('Реестр оборудования'!$G$2:$G$135="Уровень Six Senses Place (велнес-плюс)")+2*('Реестр оборудования'!$G$2:$G$135="Уровень SHA/Chenot (медицина-лайт)")+3*('Реестр оборудования'!$G$2:$G$135="Уровень Lanserhof/CLP (полный медицинский)"))&lt;=3))*(('Реестр оборудования'!$B$2:$B$135="Движение и реабилитация")+('Реестр оборудования'!$B$2:$B$135="Тренажёрный зал и силовая зона"))*IFERROR('Реестр оборудования'!$N$2:$N$135+0,0)*IFERROR('Реестр оборудования'!$K$2:$K$135+0,0))</f>
        <v>1265000</v>
      </c>
      <c r="C33" s="36" t="n">
        <f aca="false">SUMPRODUCT((((1*('Реестр оборудования'!$G$2:$G$135="Уровень Six Senses Place (велнес-плюс)")+2*('Реестр оборудования'!$G$2:$G$135="Уровень SHA/Chenot (медицина-лайт)")+3*('Реестр оборудования'!$G$2:$G$135="Уровень Lanserhof/CLP (полный медицинский)"))&gt;0)*((1*('Реестр оборудования'!$G$2:$G$135="Уровень Six Senses Place (велнес-плюс)")+2*('Реестр оборудования'!$G$2:$G$135="Уровень SHA/Chenot (медицина-лайт)")+3*('Реестр оборудования'!$G$2:$G$135="Уровень Lanserhof/CLP (полный медицинский)"))&lt;=2))*(('Реестр оборудования'!$B$2:$B$135="Движение и реабилитация")+('Реестр оборудования'!$B$2:$B$135="Тренажёрный зал и силовая зона"))*IFERROR('Реестр оборудования'!$N$2:$N$135+0,0)*IFERROR('Реестр оборудования'!$K$2:$K$135+0,0))</f>
        <v>547000</v>
      </c>
      <c r="D33" s="36" t="n">
        <f aca="false">SUMPRODUCT((((1*('Реестр оборудования'!$G$2:$G$135="Уровень Six Senses Place (велнес-плюс)")+2*('Реестр оборудования'!$G$2:$G$135="Уровень SHA/Chenot (медицина-лайт)")+3*('Реестр оборудования'!$G$2:$G$135="Уровень Lanserhof/CLP (полный медицинский)"))&gt;0)*((1*('Реестр оборудования'!$G$2:$G$135="Уровень Six Senses Place (велнес-плюс)")+2*('Реестр оборудования'!$G$2:$G$135="Уровень SHA/Chenot (медицина-лайт)")+3*('Реестр оборудования'!$G$2:$G$135="Уровень Lanserhof/CLP (полный медицинский)"))&lt;=1))*(('Реестр оборудования'!$B$2:$B$135="Движение и реабилитация")+('Реестр оборудования'!$B$2:$B$135="Тренажёрный зал и силовая зона"))*IFERROR('Реестр оборудования'!$N$2:$N$135+0,0)*IFERROR('Реестр оборудования'!$K$2:$K$135+0,0))</f>
        <v>547000</v>
      </c>
    </row>
    <row r="34" customFormat="false" ht="15" hidden="false" customHeight="true" outlineLevel="0" collapsed="false">
      <c r="A34" s="6" t="s">
        <v>935</v>
      </c>
      <c r="B34" s="36" t="n">
        <f aca="false">SUMPRODUCT((((1*('Реестр оборудования'!$G$2:$G$135="Уровень Six Senses Place (велнес-плюс)")+2*('Реестр оборудования'!$G$2:$G$135="Уровень SHA/Chenot (медицина-лайт)")+3*('Реестр оборудования'!$G$2:$G$135="Уровень Lanserhof/CLP (полный медицинский)"))&gt;0)*((1*('Реестр оборудования'!$G$2:$G$135="Уровень Six Senses Place (велнес-плюс)")+2*('Реестр оборудования'!$G$2:$G$135="Уровень SHA/Chenot (медицина-лайт)")+3*('Реестр оборудования'!$G$2:$G$135="Уровень Lanserhof/CLP (полный медицинский)"))&lt;=3))*(('Реестр оборудования'!$B$2:$B$135="ИТ, МИС, ПО для пациентов"))*IFERROR('Реестр оборудования'!$N$2:$N$135+0,0)*IFERROR('Реестр оборудования'!$K$2:$K$135+0,0))</f>
        <v>803000</v>
      </c>
      <c r="C34" s="36" t="n">
        <f aca="false">SUMPRODUCT((((1*('Реестр оборудования'!$G$2:$G$135="Уровень Six Senses Place (велнес-плюс)")+2*('Реестр оборудования'!$G$2:$G$135="Уровень SHA/Chenot (медицина-лайт)")+3*('Реестр оборудования'!$G$2:$G$135="Уровень Lanserhof/CLP (полный медицинский)"))&gt;0)*((1*('Реестр оборудования'!$G$2:$G$135="Уровень Six Senses Place (велнес-плюс)")+2*('Реестр оборудования'!$G$2:$G$135="Уровень SHA/Chenot (медицина-лайт)")+3*('Реестр оборудования'!$G$2:$G$135="Уровень Lanserhof/CLP (полный медицинский)"))&lt;=2))*(('Реестр оборудования'!$B$2:$B$135="ИТ, МИС, ПО для пациентов"))*IFERROR('Реестр оборудования'!$N$2:$N$135+0,0)*IFERROR('Реестр оборудования'!$K$2:$K$135+0,0))</f>
        <v>803000</v>
      </c>
      <c r="D34" s="36" t="n">
        <f aca="false">SUMPRODUCT((((1*('Реестр оборудования'!$G$2:$G$135="Уровень Six Senses Place (велнес-плюс)")+2*('Реестр оборудования'!$G$2:$G$135="Уровень SHA/Chenot (медицина-лайт)")+3*('Реестр оборудования'!$G$2:$G$135="Уровень Lanserhof/CLP (полный медицинский)"))&gt;0)*((1*('Реестр оборудования'!$G$2:$G$135="Уровень Six Senses Place (велнес-плюс)")+2*('Реестр оборудования'!$G$2:$G$135="Уровень SHA/Chenot (медицина-лайт)")+3*('Реестр оборудования'!$G$2:$G$135="Уровень Lanserhof/CLP (полный медицинский)"))&lt;=1))*(('Реестр оборудования'!$B$2:$B$135="ИТ, МИС, ПО для пациентов"))*IFERROR('Реестр оборудования'!$N$2:$N$135+0,0)*IFERROR('Реестр оборудования'!$K$2:$K$135+0,0))</f>
        <v>653000</v>
      </c>
    </row>
    <row r="35" customFormat="false" ht="15" hidden="false" customHeight="true" outlineLevel="0" collapsed="false">
      <c r="A35" s="6" t="s">
        <v>936</v>
      </c>
      <c r="B35" s="36" t="n">
        <f aca="false">SUMPRODUCT((((1*('Реестр оборудования'!$G$2:$G$135="Уровень Six Senses Place (велнес-плюс)")+2*('Реестр оборудования'!$G$2:$G$135="Уровень SHA/Chenot (медицина-лайт)")+3*('Реестр оборудования'!$G$2:$G$135="Уровень Lanserhof/CLP (полный медицинский)"))&gt;0)*((1*('Реестр оборудования'!$G$2:$G$135="Уровень Six Senses Place (велнес-плюс)")+2*('Реестр оборудования'!$G$2:$G$135="Уровень SHA/Chenot (медицина-лайт)")+3*('Реестр оборудования'!$G$2:$G$135="Уровень Lanserhof/CLP (полный медицинский)"))&lt;=3))*(('Реестр оборудования'!$B$2:$B$135="Кухня и F&amp;B"))*IFERROR('Реестр оборудования'!$N$2:$N$135+0,0)*IFERROR('Реестр оборудования'!$K$2:$K$135+0,0))</f>
        <v>823000</v>
      </c>
      <c r="C35" s="36" t="n">
        <f aca="false">SUMPRODUCT((((1*('Реестр оборудования'!$G$2:$G$135="Уровень Six Senses Place (велнес-плюс)")+2*('Реестр оборудования'!$G$2:$G$135="Уровень SHA/Chenot (медицина-лайт)")+3*('Реестр оборудования'!$G$2:$G$135="Уровень Lanserhof/CLP (полный медицинский)"))&gt;0)*((1*('Реестр оборудования'!$G$2:$G$135="Уровень Six Senses Place (велнес-плюс)")+2*('Реестр оборудования'!$G$2:$G$135="Уровень SHA/Chenot (медицина-лайт)")+3*('Реестр оборудования'!$G$2:$G$135="Уровень Lanserhof/CLP (полный медицинский)"))&lt;=2))*(('Реестр оборудования'!$B$2:$B$135="Кухня и F&amp;B"))*IFERROR('Реестр оборудования'!$N$2:$N$135+0,0)*IFERROR('Реестр оборудования'!$K$2:$K$135+0,0))</f>
        <v>823000</v>
      </c>
      <c r="D35" s="36" t="n">
        <f aca="false">SUMPRODUCT((((1*('Реестр оборудования'!$G$2:$G$135="Уровень Six Senses Place (велнес-плюс)")+2*('Реестр оборудования'!$G$2:$G$135="Уровень SHA/Chenot (медицина-лайт)")+3*('Реестр оборудования'!$G$2:$G$135="Уровень Lanserhof/CLP (полный медицинский)"))&gt;0)*((1*('Реестр оборудования'!$G$2:$G$135="Уровень Six Senses Place (велнес-плюс)")+2*('Реестр оборудования'!$G$2:$G$135="Уровень SHA/Chenot (медицина-лайт)")+3*('Реестр оборудования'!$G$2:$G$135="Уровень Lanserhof/CLP (полный медицинский)"))&lt;=1))*(('Реестр оборудования'!$B$2:$B$135="Кухня и F&amp;B"))*IFERROR('Реестр оборудования'!$N$2:$N$135+0,0)*IFERROR('Реестр оборудования'!$K$2:$K$135+0,0))</f>
        <v>823000</v>
      </c>
    </row>
    <row r="36" customFormat="false" ht="15" hidden="false" customHeight="true" outlineLevel="0" collapsed="false">
      <c r="A36" s="6" t="s">
        <v>937</v>
      </c>
      <c r="B36" s="36" t="n">
        <f aca="false">SUMPRODUCT((((1*('Реестр оборудования'!$G$2:$G$135="Уровень Six Senses Place (велнес-плюс)")+2*('Реестр оборудования'!$G$2:$G$135="Уровень SHA/Chenot (медицина-лайт)")+3*('Реестр оборудования'!$G$2:$G$135="Уровень Lanserhof/CLP (полный медицинский)"))&gt;0)*((1*('Реестр оборудования'!$G$2:$G$135="Уровень Six Senses Place (велнес-плюс)")+2*('Реестр оборудования'!$G$2:$G$135="Уровень SHA/Chenot (медицина-лайт)")+3*('Реестр оборудования'!$G$2:$G$135="Уровень Lanserhof/CLP (полный медицинский)"))&lt;=3))*(('Реестр оборудования'!$B$2:$B$135="Медицинская инфраструктура"))*IFERROR('Реестр оборудования'!$N$2:$N$135+0,0)*IFERROR('Реестр оборудования'!$K$2:$K$135+0,0))</f>
        <v>834000</v>
      </c>
      <c r="C36" s="36" t="n">
        <f aca="false">SUMPRODUCT((((1*('Реестр оборудования'!$G$2:$G$135="Уровень Six Senses Place (велнес-плюс)")+2*('Реестр оборудования'!$G$2:$G$135="Уровень SHA/Chenot (медицина-лайт)")+3*('Реестр оборудования'!$G$2:$G$135="Уровень Lanserhof/CLP (полный медицинский)"))&gt;0)*((1*('Реестр оборудования'!$G$2:$G$135="Уровень Six Senses Place (велнес-плюс)")+2*('Реестр оборудования'!$G$2:$G$135="Уровень SHA/Chenot (медицина-лайт)")+3*('Реестр оборудования'!$G$2:$G$135="Уровень Lanserhof/CLP (полный медицинский)"))&lt;=2))*(('Реестр оборудования'!$B$2:$B$135="Медицинская инфраструктура"))*IFERROR('Реестр оборудования'!$N$2:$N$135+0,0)*IFERROR('Реестр оборудования'!$K$2:$K$135+0,0))</f>
        <v>94000</v>
      </c>
      <c r="D36" s="36" t="n">
        <f aca="false">SUMPRODUCT((((1*('Реестр оборудования'!$G$2:$G$135="Уровень Six Senses Place (велнес-плюс)")+2*('Реестр оборудования'!$G$2:$G$135="Уровень SHA/Chenot (медицина-лайт)")+3*('Реестр оборудования'!$G$2:$G$135="Уровень Lanserhof/CLP (полный медицинский)"))&gt;0)*((1*('Реестр оборудования'!$G$2:$G$135="Уровень Six Senses Place (велнес-плюс)")+2*('Реестр оборудования'!$G$2:$G$135="Уровень SHA/Chenot (медицина-лайт)")+3*('Реестр оборудования'!$G$2:$G$135="Уровень Lanserhof/CLP (полный медицинский)"))&lt;=1))*(('Реестр оборудования'!$B$2:$B$135="Медицинская инфраструктура"))*IFERROR('Реестр оборудования'!$N$2:$N$135+0,0)*IFERROR('Реестр оборудования'!$K$2:$K$135+0,0))</f>
        <v>0</v>
      </c>
    </row>
    <row r="37" customFormat="false" ht="15" hidden="false" customHeight="true" outlineLevel="0" collapsed="false">
      <c r="A37" s="33" t="s">
        <v>938</v>
      </c>
      <c r="B37" s="37" t="n">
        <f aca="false">SUM(B31:B36)</f>
        <v>11810000</v>
      </c>
      <c r="C37" s="37" t="n">
        <f aca="false">SUM(C31:C36)</f>
        <v>5679000</v>
      </c>
      <c r="D37" s="37" t="n">
        <f aca="false">SUM(D31:D36)</f>
        <v>3798800</v>
      </c>
    </row>
    <row r="38" customFormat="false" ht="15" hidden="false" customHeight="true" outlineLevel="0" collapsed="false">
      <c r="A38" s="6" t="s">
        <v>939</v>
      </c>
      <c r="B38" s="38" t="n">
        <f aca="false">B37/$B$3</f>
        <v>131222.222222222</v>
      </c>
      <c r="C38" s="38" t="n">
        <f aca="false">C37/$B$3</f>
        <v>63100</v>
      </c>
      <c r="D38" s="38" t="n">
        <f aca="false">D37/$B$3</f>
        <v>42208.8888888889</v>
      </c>
    </row>
    <row r="39" customFormat="false" ht="15" hidden="false" customHeight="true" outlineLevel="0" collapsed="false">
      <c r="A39" s="2"/>
      <c r="B39" s="2"/>
      <c r="C39" s="2"/>
      <c r="D39" s="2"/>
    </row>
    <row r="40" customFormat="false" ht="15" hidden="false" customHeight="true" outlineLevel="0" collapsed="false">
      <c r="A40" s="7" t="s">
        <v>942</v>
      </c>
      <c r="B40" s="2"/>
      <c r="C40" s="2"/>
      <c r="D40" s="2"/>
    </row>
    <row r="41" customFormat="false" ht="15" hidden="false" customHeight="true" outlineLevel="0" collapsed="false">
      <c r="A41" s="30" t="s">
        <v>931</v>
      </c>
      <c r="B41" s="31" t="s">
        <v>30</v>
      </c>
      <c r="C41" s="31" t="s">
        <v>28</v>
      </c>
      <c r="D41" s="31" t="s">
        <v>26</v>
      </c>
    </row>
    <row r="42" customFormat="false" ht="15" hidden="false" customHeight="true" outlineLevel="0" collapsed="false">
      <c r="A42" s="6" t="s">
        <v>932</v>
      </c>
      <c r="B42" s="39" t="n">
        <f aca="false">SUMPRODUCT((((1*('Реестр оборудования'!$G$2:$G$135="Уровень Six Senses Place (велнес-плюс)")+2*('Реестр оборудования'!$G$2:$G$135="Уровень SHA/Chenot (медицина-лайт)")+3*('Реестр оборудования'!$G$2:$G$135="Уровень Lanserhof/CLP (полный медицинский)"))&gt;0)*((1*('Реестр оборудования'!$G$2:$G$135="Уровень Six Senses Place (велнес-плюс)")+2*('Реестр оборудования'!$G$2:$G$135="Уровень SHA/Chenot (медицина-лайт)")+3*('Реестр оборудования'!$G$2:$G$135="Уровень Lanserhof/CLP (полный медицинский)"))&lt;=3))*(('Реестр оборудования'!$B$2:$B$135="Лучевая диагностика")+('Реестр оборудования'!$B$2:$B$135="Лаборатория и биомаркеры")+('Реестр оборудования'!$B$2:$B$135="Кардиология и пульмонология")+('Реестр оборудования'!$B$2:$B$135="Сон и неврология")+('Реестр оборудования'!$B$2:$B$135="Инфузионная терапия")+('Реестр оборудования'!$B$2:$B$135="Эстетика и регенеративные процедуры")+('Реестр оборудования'!$B$2:$B$135="Нутрициология и ЖКТ-диагностика")+('Реестр оборудования'!$B$2:$B$135="Состав тела и функциональная диагностика")+('Реестр оборудования'!$B$2:$B$135="Телемедицина и цифровое здоровье"))*IFERROR('Реестр оборудования'!$N$2:$N$135+0,0)*IFERROR('Реестр оборудования'!$M$2:$M$135+0,0))</f>
        <v>1046550000</v>
      </c>
      <c r="C42" s="39" t="n">
        <f aca="false">SUMPRODUCT((((1*('Реестр оборудования'!$G$2:$G$135="Уровень Six Senses Place (велнес-плюс)")+2*('Реестр оборудования'!$G$2:$G$135="Уровень SHA/Chenot (медицина-лайт)")+3*('Реестр оборудования'!$G$2:$G$135="Уровень Lanserhof/CLP (полный медицинский)"))&gt;0)*((1*('Реестр оборудования'!$G$2:$G$135="Уровень Six Senses Place (велнес-плюс)")+2*('Реестр оборудования'!$G$2:$G$135="Уровень SHA/Chenot (медицина-лайт)")+3*('Реестр оборудования'!$G$2:$G$135="Уровень Lanserhof/CLP (полный медицинский)"))&lt;=2))*(('Реестр оборудования'!$B$2:$B$135="Лучевая диагностика")+('Реестр оборудования'!$B$2:$B$135="Лаборатория и биомаркеры")+('Реестр оборудования'!$B$2:$B$135="Кардиология и пульмонология")+('Реестр оборудования'!$B$2:$B$135="Сон и неврология")+('Реестр оборудования'!$B$2:$B$135="Инфузионная терапия")+('Реестр оборудования'!$B$2:$B$135="Эстетика и регенеративные процедуры")+('Реестр оборудования'!$B$2:$B$135="Нутрициология и ЖКТ-диагностика")+('Реестр оборудования'!$B$2:$B$135="Состав тела и функциональная диагностика")+('Реестр оборудования'!$B$2:$B$135="Телемедицина и цифровое здоровье"))*IFERROR('Реестр оборудования'!$N$2:$N$135+0,0)*IFERROR('Реестр оборудования'!$M$2:$M$135+0,0))</f>
        <v>300450000</v>
      </c>
      <c r="D42" s="39" t="n">
        <f aca="false">SUMPRODUCT((((1*('Реестр оборудования'!$G$2:$G$135="Уровень Six Senses Place (велнес-плюс)")+2*('Реестр оборудования'!$G$2:$G$135="Уровень SHA/Chenot (медицина-лайт)")+3*('Реестр оборудования'!$G$2:$G$135="Уровень Lanserhof/CLP (полный медицинский)"))&gt;0)*((1*('Реестр оборудования'!$G$2:$G$135="Уровень Six Senses Place (велнес-плюс)")+2*('Реестр оборудования'!$G$2:$G$135="Уровень SHA/Chenot (медицина-лайт)")+3*('Реестр оборудования'!$G$2:$G$135="Уровень Lanserhof/CLP (полный медицинский)"))&lt;=1))*(('Реестр оборудования'!$B$2:$B$135="Лучевая диагностика")+('Реестр оборудования'!$B$2:$B$135="Лаборатория и биомаркеры")+('Реестр оборудования'!$B$2:$B$135="Кардиология и пульмонология")+('Реестр оборудования'!$B$2:$B$135="Сон и неврология")+('Реестр оборудования'!$B$2:$B$135="Инфузионная терапия")+('Реестр оборудования'!$B$2:$B$135="Эстетика и регенеративные процедуры")+('Реестр оборудования'!$B$2:$B$135="Нутрициология и ЖКТ-диагностика")+('Реестр оборудования'!$B$2:$B$135="Состав тела и функциональная диагностика")+('Реестр оборудования'!$B$2:$B$135="Телемедицина и цифровое здоровье"))*IFERROR('Реестр оборудования'!$N$2:$N$135+0,0)*IFERROR('Реестр оборудования'!$M$2:$M$135+0,0))</f>
        <v>33700000</v>
      </c>
    </row>
    <row r="43" customFormat="false" ht="15" hidden="false" customHeight="true" outlineLevel="0" collapsed="false">
      <c r="A43" s="6" t="s">
        <v>933</v>
      </c>
      <c r="B43" s="39" t="n">
        <f aca="false">SUMPRODUCT((((1*('Реестр оборудования'!$G$2:$G$135="Уровень Six Senses Place (велнес-плюс)")+2*('Реестр оборудования'!$G$2:$G$135="Уровень SHA/Chenot (медицина-лайт)")+3*('Реестр оборудования'!$G$2:$G$135="Уровень Lanserhof/CLP (полный медицинский)"))&gt;0)*((1*('Реестр оборудования'!$G$2:$G$135="Уровень Six Senses Place (велнес-плюс)")+2*('Реестр оборудования'!$G$2:$G$135="Уровень SHA/Chenot (медицина-лайт)")+3*('Реестр оборудования'!$G$2:$G$135="Уровень Lanserhof/CLP (полный медицинский)"))&lt;=3))*(('Реестр оборудования'!$B$2:$B$135="Гидротерапия и SPA")+('Реестр оборудования'!$B$2:$B$135="Криотерапия и термальные зоны"))*IFERROR('Реестр оборудования'!$N$2:$N$135+0,0)*IFERROR('Реестр оборудования'!$M$2:$M$135+0,0))</f>
        <v>215440000</v>
      </c>
      <c r="C43" s="39" t="n">
        <f aca="false">SUMPRODUCT((((1*('Реестр оборудования'!$G$2:$G$135="Уровень Six Senses Place (велнес-плюс)")+2*('Реестр оборудования'!$G$2:$G$135="Уровень SHA/Chenot (медицина-лайт)")+3*('Реестр оборудования'!$G$2:$G$135="Уровень Lanserhof/CLP (полный медицинский)"))&gt;0)*((1*('Реестр оборудования'!$G$2:$G$135="Уровень Six Senses Place (велнес-плюс)")+2*('Реестр оборудования'!$G$2:$G$135="Уровень SHA/Chenot (медицина-лайт)")+3*('Реестр оборудования'!$G$2:$G$135="Уровень Lanserhof/CLP (полный медицинский)"))&lt;=2))*(('Реестр оборудования'!$B$2:$B$135="Гидротерапия и SPA")+('Реестр оборудования'!$B$2:$B$135="Криотерапия и термальные зоны"))*IFERROR('Реестр оборудования'!$N$2:$N$135+0,0)*IFERROR('Реестр оборудования'!$M$2:$M$135+0,0))</f>
        <v>215440000</v>
      </c>
      <c r="D43" s="39" t="n">
        <f aca="false">SUMPRODUCT((((1*('Реестр оборудования'!$G$2:$G$135="Уровень Six Senses Place (велнес-плюс)")+2*('Реестр оборудования'!$G$2:$G$135="Уровень SHA/Chenot (медицина-лайт)")+3*('Реестр оборудования'!$G$2:$G$135="Уровень Lanserhof/CLP (полный медицинский)"))&gt;0)*((1*('Реестр оборудования'!$G$2:$G$135="Уровень Six Senses Place (велнес-плюс)")+2*('Реестр оборудования'!$G$2:$G$135="Уровень SHA/Chenot (медицина-лайт)")+3*('Реестр оборудования'!$G$2:$G$135="Уровень Lanserhof/CLP (полный медицинский)"))&lt;=1))*(('Реестр оборудования'!$B$2:$B$135="Гидротерапия и SPA")+('Реестр оборудования'!$B$2:$B$135="Криотерапия и термальные зоны"))*IFERROR('Реестр оборудования'!$N$2:$N$135+0,0)*IFERROR('Реестр оборудования'!$M$2:$M$135+0,0))</f>
        <v>215440000</v>
      </c>
    </row>
    <row r="44" customFormat="false" ht="15" hidden="false" customHeight="true" outlineLevel="0" collapsed="false">
      <c r="A44" s="6" t="s">
        <v>934</v>
      </c>
      <c r="B44" s="39" t="n">
        <f aca="false">SUMPRODUCT((((1*('Реестр оборудования'!$G$2:$G$135="Уровень Six Senses Place (велнес-плюс)")+2*('Реестр оборудования'!$G$2:$G$135="Уровень SHA/Chenot (медицина-лайт)")+3*('Реестр оборудования'!$G$2:$G$135="Уровень Lanserhof/CLP (полный медицинский)"))&gt;0)*((1*('Реестр оборудования'!$G$2:$G$135="Уровень Six Senses Place (велнес-плюс)")+2*('Реестр оборудования'!$G$2:$G$135="Уровень SHA/Chenot (медицина-лайт)")+3*('Реестр оборудования'!$G$2:$G$135="Уровень Lanserhof/CLP (полный медицинский)"))&lt;=3))*(('Реестр оборудования'!$B$2:$B$135="Движение и реабилитация")+('Реестр оборудования'!$B$2:$B$135="Тренажёрный зал и силовая зона"))*IFERROR('Реестр оборудования'!$N$2:$N$135+0,0)*IFERROR('Реестр оборудования'!$M$2:$M$135+0,0))</f>
        <v>183670000</v>
      </c>
      <c r="C44" s="39" t="n">
        <f aca="false">SUMPRODUCT((((1*('Реестр оборудования'!$G$2:$G$135="Уровень Six Senses Place (велнес-плюс)")+2*('Реестр оборудования'!$G$2:$G$135="Уровень SHA/Chenot (медицина-лайт)")+3*('Реестр оборудования'!$G$2:$G$135="Уровень Lanserhof/CLP (полный медицинский)"))&gt;0)*((1*('Реестр оборудования'!$G$2:$G$135="Уровень Six Senses Place (велнес-плюс)")+2*('Реестр оборудования'!$G$2:$G$135="Уровень SHA/Chenot (медицина-лайт)")+3*('Реестр оборудования'!$G$2:$G$135="Уровень Lanserhof/CLP (полный медицинский)"))&lt;=2))*(('Реестр оборудования'!$B$2:$B$135="Движение и реабилитация")+('Реестр оборудования'!$B$2:$B$135="Тренажёрный зал и силовая зона"))*IFERROR('Реестр оборудования'!$N$2:$N$135+0,0)*IFERROR('Реестр оборудования'!$M$2:$M$135+0,0))</f>
        <v>80170000</v>
      </c>
      <c r="D44" s="39" t="n">
        <f aca="false">SUMPRODUCT((((1*('Реестр оборудования'!$G$2:$G$135="Уровень Six Senses Place (велнес-плюс)")+2*('Реестр оборудования'!$G$2:$G$135="Уровень SHA/Chenot (медицина-лайт)")+3*('Реестр оборудования'!$G$2:$G$135="Уровень Lanserhof/CLP (полный медицинский)"))&gt;0)*((1*('Реестр оборудования'!$G$2:$G$135="Уровень Six Senses Place (велнес-плюс)")+2*('Реестр оборудования'!$G$2:$G$135="Уровень SHA/Chenot (медицина-лайт)")+3*('Реестр оборудования'!$G$2:$G$135="Уровень Lanserhof/CLP (полный медицинский)"))&lt;=1))*(('Реестр оборудования'!$B$2:$B$135="Движение и реабилитация")+('Реестр оборудования'!$B$2:$B$135="Тренажёрный зал и силовая зона"))*IFERROR('Реестр оборудования'!$N$2:$N$135+0,0)*IFERROR('Реестр оборудования'!$M$2:$M$135+0,0))</f>
        <v>80170000</v>
      </c>
    </row>
    <row r="45" customFormat="false" ht="15" hidden="false" customHeight="true" outlineLevel="0" collapsed="false">
      <c r="A45" s="6" t="s">
        <v>935</v>
      </c>
      <c r="B45" s="39" t="n">
        <f aca="false">SUMPRODUCT((((1*('Реестр оборудования'!$G$2:$G$135="Уровень Six Senses Place (велнес-плюс)")+2*('Реестр оборудования'!$G$2:$G$135="Уровень SHA/Chenot (медицина-лайт)")+3*('Реестр оборудования'!$G$2:$G$135="Уровень Lanserhof/CLP (полный медицинский)"))&gt;0)*((1*('Реестр оборудования'!$G$2:$G$135="Уровень Six Senses Place (велнес-плюс)")+2*('Реестр оборудования'!$G$2:$G$135="Уровень SHA/Chenot (медицина-лайт)")+3*('Реестр оборудования'!$G$2:$G$135="Уровень Lanserhof/CLP (полный медицинский)"))&lt;=3))*(('Реестр оборудования'!$B$2:$B$135="ИТ, МИС, ПО для пациентов"))*IFERROR('Реестр оборудования'!$N$2:$N$135+0,0)*IFERROR('Реестр оборудования'!$M$2:$M$135+0,0))</f>
        <v>104800000</v>
      </c>
      <c r="C45" s="39" t="n">
        <f aca="false">SUMPRODUCT((((1*('Реестр оборудования'!$G$2:$G$135="Уровень Six Senses Place (велнес-плюс)")+2*('Реестр оборудования'!$G$2:$G$135="Уровень SHA/Chenot (медицина-лайт)")+3*('Реестр оборудования'!$G$2:$G$135="Уровень Lanserhof/CLP (полный медицинский)"))&gt;0)*((1*('Реестр оборудования'!$G$2:$G$135="Уровень Six Senses Place (велнес-плюс)")+2*('Реестр оборудования'!$G$2:$G$135="Уровень SHA/Chenot (медицина-лайт)")+3*('Реестр оборудования'!$G$2:$G$135="Уровень Lanserhof/CLP (полный медицинский)"))&lt;=2))*(('Реестр оборудования'!$B$2:$B$135="ИТ, МИС, ПО для пациентов"))*IFERROR('Реестр оборудования'!$N$2:$N$135+0,0)*IFERROR('Реестр оборудования'!$M$2:$M$135+0,0))</f>
        <v>104800000</v>
      </c>
      <c r="D45" s="39" t="n">
        <f aca="false">SUMPRODUCT((((1*('Реестр оборудования'!$G$2:$G$135="Уровень Six Senses Place (велнес-плюс)")+2*('Реестр оборудования'!$G$2:$G$135="Уровень SHA/Chenot (медицина-лайт)")+3*('Реестр оборудования'!$G$2:$G$135="Уровень Lanserhof/CLP (полный медицинский)"))&gt;0)*((1*('Реестр оборудования'!$G$2:$G$135="Уровень Six Senses Place (велнес-плюс)")+2*('Реестр оборудования'!$G$2:$G$135="Уровень SHA/Chenot (медицина-лайт)")+3*('Реестр оборудования'!$G$2:$G$135="Уровень Lanserhof/CLP (полный медицинский)"))&lt;=1))*(('Реестр оборудования'!$B$2:$B$135="ИТ, МИС, ПО для пациентов"))*IFERROR('Реестр оборудования'!$N$2:$N$135+0,0)*IFERROR('Реестр оборудования'!$M$2:$M$135+0,0))</f>
        <v>92800000</v>
      </c>
    </row>
    <row r="46" customFormat="false" ht="15" hidden="false" customHeight="true" outlineLevel="0" collapsed="false">
      <c r="A46" s="6" t="s">
        <v>936</v>
      </c>
      <c r="B46" s="39" t="n">
        <f aca="false">SUMPRODUCT((((1*('Реестр оборудования'!$G$2:$G$135="Уровень Six Senses Place (велнес-плюс)")+2*('Реестр оборудования'!$G$2:$G$135="Уровень SHA/Chenot (медицина-лайт)")+3*('Реестр оборудования'!$G$2:$G$135="Уровень Lanserhof/CLP (полный медицинский)"))&gt;0)*((1*('Реестр оборудования'!$G$2:$G$135="Уровень Six Senses Place (велнес-плюс)")+2*('Реестр оборудования'!$G$2:$G$135="Уровень SHA/Chenot (медицина-лайт)")+3*('Реестр оборудования'!$G$2:$G$135="Уровень Lanserhof/CLP (полный медицинский)"))&lt;=3))*(('Реестр оборудования'!$B$2:$B$135="Кухня и F&amp;B"))*IFERROR('Реестр оборудования'!$N$2:$N$135+0,0)*IFERROR('Реестр оборудования'!$M$2:$M$135+0,0))</f>
        <v>130950000</v>
      </c>
      <c r="C46" s="39" t="n">
        <f aca="false">SUMPRODUCT((((1*('Реестр оборудования'!$G$2:$G$135="Уровень Six Senses Place (велнес-плюс)")+2*('Реестр оборудования'!$G$2:$G$135="Уровень SHA/Chenot (медицина-лайт)")+3*('Реестр оборудования'!$G$2:$G$135="Уровень Lanserhof/CLP (полный медицинский)"))&gt;0)*((1*('Реестр оборудования'!$G$2:$G$135="Уровень Six Senses Place (велнес-плюс)")+2*('Реестр оборудования'!$G$2:$G$135="Уровень SHA/Chenot (медицина-лайт)")+3*('Реестр оборудования'!$G$2:$G$135="Уровень Lanserhof/CLP (полный медицинский)"))&lt;=2))*(('Реестр оборудования'!$B$2:$B$135="Кухня и F&amp;B"))*IFERROR('Реестр оборудования'!$N$2:$N$135+0,0)*IFERROR('Реестр оборудования'!$M$2:$M$135+0,0))</f>
        <v>130950000</v>
      </c>
      <c r="D46" s="39" t="n">
        <f aca="false">SUMPRODUCT((((1*('Реестр оборудования'!$G$2:$G$135="Уровень Six Senses Place (велнес-плюс)")+2*('Реестр оборудования'!$G$2:$G$135="Уровень SHA/Chenot (медицина-лайт)")+3*('Реестр оборудования'!$G$2:$G$135="Уровень Lanserhof/CLP (полный медицинский)"))&gt;0)*((1*('Реестр оборудования'!$G$2:$G$135="Уровень Six Senses Place (велнес-плюс)")+2*('Реестр оборудования'!$G$2:$G$135="Уровень SHA/Chenot (медицина-лайт)")+3*('Реестр оборудования'!$G$2:$G$135="Уровень Lanserhof/CLP (полный медицинский)"))&lt;=1))*(('Реестр оборудования'!$B$2:$B$135="Кухня и F&amp;B"))*IFERROR('Реестр оборудования'!$N$2:$N$135+0,0)*IFERROR('Реестр оборудования'!$M$2:$M$135+0,0))</f>
        <v>130950000</v>
      </c>
    </row>
    <row r="47" customFormat="false" ht="15" hidden="false" customHeight="true" outlineLevel="0" collapsed="false">
      <c r="A47" s="6" t="s">
        <v>937</v>
      </c>
      <c r="B47" s="39" t="n">
        <f aca="false">SUMPRODUCT((((1*('Реестр оборудования'!$G$2:$G$135="Уровень Six Senses Place (велнес-плюс)")+2*('Реестр оборудования'!$G$2:$G$135="Уровень SHA/Chenot (медицина-лайт)")+3*('Реестр оборудования'!$G$2:$G$135="Уровень Lanserhof/CLP (полный медицинский)"))&gt;0)*((1*('Реестр оборудования'!$G$2:$G$135="Уровень Six Senses Place (велнес-плюс)")+2*('Реестр оборудования'!$G$2:$G$135="Уровень SHA/Chenot (медицина-лайт)")+3*('Реестр оборудования'!$G$2:$G$135="Уровень Lanserhof/CLP (полный медицинский)"))&lt;=3))*(('Реестр оборудования'!$B$2:$B$135="Медицинская инфраструктура"))*IFERROR('Реестр оборудования'!$N$2:$N$135+0,0)*IFERROR('Реестр оборудования'!$M$2:$M$135+0,0))</f>
        <v>134000000</v>
      </c>
      <c r="C47" s="39" t="n">
        <f aca="false">SUMPRODUCT((((1*('Реестр оборудования'!$G$2:$G$135="Уровень Six Senses Place (велнес-плюс)")+2*('Реестр оборудования'!$G$2:$G$135="Уровень SHA/Chenot (медицина-лайт)")+3*('Реестр оборудования'!$G$2:$G$135="Уровень Lanserhof/CLP (полный медицинский)"))&gt;0)*((1*('Реестр оборудования'!$G$2:$G$135="Уровень Six Senses Place (велнес-плюс)")+2*('Реестр оборудования'!$G$2:$G$135="Уровень SHA/Chenot (медицина-лайт)")+3*('Реестр оборудования'!$G$2:$G$135="Уровень Lanserhof/CLP (полный медицинский)"))&lt;=2))*(('Реестр оборудования'!$B$2:$B$135="Медицинская инфраструктура"))*IFERROR('Реестр оборудования'!$N$2:$N$135+0,0)*IFERROR('Реестр оборудования'!$M$2:$M$135+0,0))</f>
        <v>16000000</v>
      </c>
      <c r="D47" s="39" t="n">
        <f aca="false">SUMPRODUCT((((1*('Реестр оборудования'!$G$2:$G$135="Уровень Six Senses Place (велнес-плюс)")+2*('Реестр оборудования'!$G$2:$G$135="Уровень SHA/Chenot (медицина-лайт)")+3*('Реестр оборудования'!$G$2:$G$135="Уровень Lanserhof/CLP (полный медицинский)"))&gt;0)*((1*('Реестр оборудования'!$G$2:$G$135="Уровень Six Senses Place (велнес-плюс)")+2*('Реестр оборудования'!$G$2:$G$135="Уровень SHA/Chenot (медицина-лайт)")+3*('Реестр оборудования'!$G$2:$G$135="Уровень Lanserhof/CLP (полный медицинский)"))&lt;=1))*(('Реестр оборудования'!$B$2:$B$135="Медицинская инфраструктура"))*IFERROR('Реестр оборудования'!$N$2:$N$135+0,0)*IFERROR('Реестр оборудования'!$M$2:$M$135+0,0))</f>
        <v>0</v>
      </c>
    </row>
    <row r="48" customFormat="false" ht="15" hidden="false" customHeight="true" outlineLevel="0" collapsed="false">
      <c r="A48" s="33" t="s">
        <v>938</v>
      </c>
      <c r="B48" s="40" t="n">
        <f aca="false">SUM(B42:B47)</f>
        <v>1815410000</v>
      </c>
      <c r="C48" s="40" t="n">
        <f aca="false">SUM(C42:C47)</f>
        <v>847810000</v>
      </c>
      <c r="D48" s="40" t="n">
        <f aca="false">SUM(D42:D47)</f>
        <v>553060000</v>
      </c>
    </row>
    <row r="49" customFormat="false" ht="15" hidden="false" customHeight="true" outlineLevel="0" collapsed="false">
      <c r="A49" s="6" t="s">
        <v>939</v>
      </c>
      <c r="B49" s="41" t="n">
        <f aca="false">B48/$B$3</f>
        <v>20171222.2222222</v>
      </c>
      <c r="C49" s="41" t="n">
        <f aca="false">C48/$B$3</f>
        <v>9420111.11111111</v>
      </c>
      <c r="D49" s="41" t="n">
        <f aca="false">D48/$B$3</f>
        <v>6145111.11111111</v>
      </c>
    </row>
    <row r="50" customFormat="false" ht="15" hidden="false" customHeight="true" outlineLevel="0" collapsed="false">
      <c r="A50" s="2"/>
      <c r="B50" s="2"/>
      <c r="C50" s="2"/>
      <c r="D50" s="2"/>
    </row>
    <row r="51" customFormat="false" ht="15" hidden="false" customHeight="true" outlineLevel="0" collapsed="false">
      <c r="A51" s="7" t="s">
        <v>943</v>
      </c>
      <c r="B51" s="2"/>
      <c r="C51" s="2"/>
      <c r="D51" s="2"/>
    </row>
    <row r="52" customFormat="false" ht="26.25" hidden="false" customHeight="true" outlineLevel="0" collapsed="false">
      <c r="A52" s="5" t="s">
        <v>944</v>
      </c>
      <c r="B52" s="14" t="s">
        <v>945</v>
      </c>
      <c r="C52" s="2"/>
      <c r="D52" s="42" t="s">
        <v>946</v>
      </c>
    </row>
    <row r="53" customFormat="false" ht="39" hidden="false" customHeight="true" outlineLevel="0" collapsed="false">
      <c r="A53" s="5" t="s">
        <v>947</v>
      </c>
      <c r="B53" s="14" t="s">
        <v>948</v>
      </c>
      <c r="C53" s="2"/>
      <c r="D53" s="42" t="s">
        <v>949</v>
      </c>
    </row>
    <row r="54" customFormat="false" ht="26.25" hidden="false" customHeight="true" outlineLevel="0" collapsed="false">
      <c r="A54" s="5" t="s">
        <v>950</v>
      </c>
      <c r="B54" s="14" t="s">
        <v>951</v>
      </c>
      <c r="C54" s="2"/>
      <c r="D54" s="42" t="s">
        <v>952</v>
      </c>
    </row>
    <row r="55" customFormat="false" ht="51.75" hidden="false" customHeight="true" outlineLevel="0" collapsed="false">
      <c r="A55" s="5" t="s">
        <v>953</v>
      </c>
      <c r="B55" s="14" t="s">
        <v>954</v>
      </c>
      <c r="C55" s="2"/>
      <c r="D55" s="42" t="s">
        <v>955</v>
      </c>
    </row>
    <row r="58" customFormat="false" ht="15" hidden="false" customHeight="false" outlineLevel="0" collapsed="false">
      <c r="A58" s="43" t="s">
        <v>956</v>
      </c>
      <c r="B58" s="43"/>
      <c r="C58" s="43"/>
      <c r="D58" s="43"/>
    </row>
    <row r="60" customFormat="false" ht="27.75" hidden="false" customHeight="true" outlineLevel="0" collapsed="false">
      <c r="A60" s="13" t="s">
        <v>957</v>
      </c>
      <c r="B60" s="13" t="s">
        <v>958</v>
      </c>
      <c r="C60" s="13" t="s">
        <v>959</v>
      </c>
      <c r="D60" s="13" t="s">
        <v>960</v>
      </c>
    </row>
    <row r="61" customFormat="false" ht="15" hidden="false" customHeight="false" outlineLevel="0" collapsed="false">
      <c r="A61" s="44" t="s">
        <v>961</v>
      </c>
      <c r="B61" s="45" t="n">
        <v>1061000</v>
      </c>
      <c r="C61" s="45" t="n">
        <v>2953000</v>
      </c>
      <c r="D61" s="45" t="n">
        <v>3883000</v>
      </c>
    </row>
    <row r="62" customFormat="false" ht="15" hidden="false" customHeight="false" outlineLevel="0" collapsed="false">
      <c r="A62" s="46" t="s">
        <v>962</v>
      </c>
      <c r="B62" s="47" t="n">
        <v>97569000</v>
      </c>
      <c r="C62" s="47" t="n">
        <v>271648000</v>
      </c>
      <c r="D62" s="47" t="n">
        <v>357271000</v>
      </c>
    </row>
    <row r="63" customFormat="false" ht="15" hidden="false" customHeight="false" outlineLevel="0" collapsed="false">
      <c r="A63" s="44" t="s">
        <v>963</v>
      </c>
      <c r="B63" s="45" t="n">
        <v>27029100</v>
      </c>
      <c r="C63" s="45" t="n">
        <v>27029100</v>
      </c>
      <c r="D63" s="45" t="n">
        <v>27029100</v>
      </c>
    </row>
    <row r="64" customFormat="false" ht="15" hidden="false" customHeight="false" outlineLevel="0" collapsed="false">
      <c r="A64" s="46" t="s">
        <v>964</v>
      </c>
      <c r="B64" s="47" t="n">
        <v>2486677200</v>
      </c>
      <c r="C64" s="47" t="n">
        <v>2486677200</v>
      </c>
      <c r="D64" s="47" t="n">
        <v>2486677200</v>
      </c>
    </row>
    <row r="65" customFormat="false" ht="15" hidden="false" customHeight="false" outlineLevel="0" collapsed="false">
      <c r="A65" s="44" t="s">
        <v>965</v>
      </c>
      <c r="B65" s="45" t="n">
        <v>14866005</v>
      </c>
      <c r="C65" s="45" t="n">
        <v>14866005</v>
      </c>
      <c r="D65" s="45" t="n">
        <v>14866005</v>
      </c>
    </row>
  </sheetData>
  <mergeCells count="1">
    <mergeCell ref="A58:D5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8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1" width="38"/>
    <col collapsed="false" customWidth="true" hidden="false" outlineLevel="0" max="10" min="2" style="1" width="22"/>
    <col collapsed="false" customWidth="true" hidden="false" outlineLevel="0" max="11" min="11" style="1" width="50"/>
  </cols>
  <sheetData>
    <row r="1" customFormat="false" ht="21.75" hidden="false" customHeight="true" outlineLevel="0" collapsed="false">
      <c r="A1" s="3" t="s">
        <v>966</v>
      </c>
      <c r="B1" s="2"/>
      <c r="C1" s="2"/>
      <c r="D1" s="2"/>
      <c r="E1" s="2"/>
      <c r="F1" s="2"/>
      <c r="G1" s="2"/>
      <c r="H1" s="2"/>
      <c r="I1" s="2"/>
      <c r="J1" s="2"/>
      <c r="K1" s="2"/>
    </row>
    <row r="2" customFormat="false" ht="15" hidden="false" customHeight="true" outlineLevel="0" collapsed="false">
      <c r="A2" s="4" t="s">
        <v>967</v>
      </c>
      <c r="B2" s="2"/>
      <c r="C2" s="2"/>
      <c r="D2" s="2"/>
      <c r="E2" s="2"/>
      <c r="F2" s="2"/>
      <c r="G2" s="2"/>
      <c r="H2" s="2"/>
      <c r="I2" s="2"/>
      <c r="J2" s="2"/>
      <c r="K2" s="2"/>
    </row>
    <row r="3" customFormat="false" ht="15" hidden="false" customHeight="true" outlineLevel="0" collapsed="false">
      <c r="A3" s="2"/>
      <c r="B3" s="2"/>
      <c r="C3" s="2"/>
      <c r="D3" s="2"/>
      <c r="E3" s="2"/>
      <c r="F3" s="2"/>
      <c r="G3" s="2"/>
      <c r="H3" s="2"/>
      <c r="I3" s="2"/>
      <c r="J3" s="2"/>
      <c r="K3" s="2"/>
    </row>
    <row r="4" customFormat="false" ht="15" hidden="false" customHeight="true" outlineLevel="0" collapsed="false">
      <c r="A4" s="7" t="s">
        <v>968</v>
      </c>
      <c r="B4" s="2"/>
      <c r="C4" s="2"/>
      <c r="D4" s="2"/>
      <c r="E4" s="2"/>
      <c r="F4" s="2"/>
      <c r="G4" s="2"/>
      <c r="H4" s="2"/>
      <c r="I4" s="2"/>
      <c r="J4" s="2"/>
      <c r="K4" s="2"/>
    </row>
    <row r="5" customFormat="false" ht="15" hidden="false" customHeight="true" outlineLevel="0" collapsed="false">
      <c r="A5" s="6" t="s">
        <v>969</v>
      </c>
      <c r="B5" s="28" t="n">
        <v>90</v>
      </c>
      <c r="C5" s="2"/>
      <c r="D5" s="2"/>
      <c r="E5" s="2"/>
      <c r="F5" s="2"/>
      <c r="G5" s="2"/>
      <c r="H5" s="2"/>
      <c r="I5" s="2"/>
      <c r="J5" s="2"/>
      <c r="K5" s="2"/>
    </row>
    <row r="6" customFormat="false" ht="15" hidden="false" customHeight="true" outlineLevel="0" collapsed="false">
      <c r="A6" s="6" t="s">
        <v>970</v>
      </c>
      <c r="B6" s="48" t="n">
        <v>0.65</v>
      </c>
      <c r="C6" s="2"/>
      <c r="D6" s="2"/>
      <c r="E6" s="2"/>
      <c r="F6" s="2"/>
      <c r="G6" s="2"/>
      <c r="H6" s="2"/>
      <c r="I6" s="2"/>
      <c r="J6" s="2"/>
      <c r="K6" s="2"/>
    </row>
    <row r="7" customFormat="false" ht="15" hidden="false" customHeight="true" outlineLevel="0" collapsed="false">
      <c r="A7" s="6" t="s">
        <v>971</v>
      </c>
      <c r="B7" s="49" t="n">
        <v>21352</v>
      </c>
      <c r="C7" s="2"/>
      <c r="D7" s="2"/>
      <c r="E7" s="2"/>
      <c r="F7" s="2"/>
      <c r="G7" s="2"/>
      <c r="H7" s="2"/>
      <c r="I7" s="2"/>
      <c r="J7" s="2"/>
      <c r="K7" s="2"/>
    </row>
    <row r="8" customFormat="false" ht="15" hidden="false" customHeight="true" outlineLevel="0" collapsed="false">
      <c r="A8" s="6" t="s">
        <v>972</v>
      </c>
      <c r="B8" s="49" t="n">
        <v>3050</v>
      </c>
      <c r="C8" s="2"/>
      <c r="D8" s="2"/>
      <c r="E8" s="2"/>
      <c r="F8" s="2"/>
      <c r="G8" s="2"/>
      <c r="H8" s="2"/>
      <c r="I8" s="2"/>
      <c r="J8" s="2"/>
      <c r="K8" s="2"/>
    </row>
    <row r="9" customFormat="false" ht="15" hidden="false" customHeight="true" outlineLevel="0" collapsed="false">
      <c r="A9" s="6" t="s">
        <v>928</v>
      </c>
      <c r="B9" s="29" t="n">
        <v>92</v>
      </c>
      <c r="C9" s="2"/>
      <c r="D9" s="2"/>
      <c r="E9" s="2"/>
      <c r="F9" s="2"/>
      <c r="G9" s="2"/>
      <c r="H9" s="2"/>
      <c r="I9" s="2"/>
      <c r="J9" s="2"/>
      <c r="K9" s="2"/>
    </row>
    <row r="10" customFormat="false" ht="15" hidden="false" customHeight="true" outlineLevel="0" collapsed="false">
      <c r="A10" s="6" t="s">
        <v>973</v>
      </c>
      <c r="B10" s="28" t="n">
        <v>320</v>
      </c>
      <c r="C10" s="2"/>
      <c r="D10" s="2"/>
      <c r="E10" s="2"/>
      <c r="F10" s="2"/>
      <c r="G10" s="2"/>
      <c r="H10" s="2"/>
      <c r="I10" s="2"/>
      <c r="J10" s="2"/>
      <c r="K10" s="2"/>
    </row>
    <row r="11" customFormat="false" ht="15" hidden="false" customHeight="true" outlineLevel="0" collapsed="false">
      <c r="A11" s="6" t="s">
        <v>974</v>
      </c>
      <c r="B11" s="28" t="n">
        <v>10</v>
      </c>
      <c r="C11" s="2"/>
      <c r="D11" s="2"/>
      <c r="E11" s="2"/>
      <c r="F11" s="2"/>
      <c r="G11" s="2"/>
      <c r="H11" s="2"/>
      <c r="I11" s="2"/>
      <c r="J11" s="2"/>
      <c r="K11" s="2"/>
    </row>
    <row r="12" customFormat="false" ht="15" hidden="false" customHeight="true" outlineLevel="0" collapsed="false">
      <c r="A12" s="6" t="s">
        <v>975</v>
      </c>
      <c r="B12" s="49" t="n">
        <v>3200</v>
      </c>
      <c r="C12" s="2"/>
      <c r="D12" s="2"/>
      <c r="E12" s="2"/>
      <c r="F12" s="2"/>
      <c r="G12" s="2"/>
      <c r="H12" s="2"/>
      <c r="I12" s="2"/>
      <c r="J12" s="2"/>
      <c r="K12" s="2"/>
    </row>
    <row r="13" customFormat="false" ht="15" hidden="false" customHeight="true" outlineLevel="0" collapsed="false">
      <c r="A13" s="2"/>
      <c r="B13" s="2"/>
      <c r="C13" s="2"/>
      <c r="D13" s="2"/>
      <c r="E13" s="2"/>
      <c r="F13" s="2"/>
      <c r="G13" s="2"/>
      <c r="H13" s="2"/>
      <c r="I13" s="2"/>
      <c r="J13" s="2"/>
      <c r="K13" s="2"/>
    </row>
    <row r="14" customFormat="false" ht="15" hidden="false" customHeight="true" outlineLevel="0" collapsed="false">
      <c r="A14" s="7" t="s">
        <v>976</v>
      </c>
      <c r="B14" s="2"/>
      <c r="C14" s="2"/>
      <c r="D14" s="2"/>
      <c r="E14" s="2"/>
      <c r="F14" s="2"/>
      <c r="G14" s="2"/>
      <c r="H14" s="2"/>
      <c r="I14" s="2"/>
      <c r="J14" s="2"/>
      <c r="K14" s="2"/>
    </row>
    <row r="15" customFormat="false" ht="36" hidden="false" customHeight="true" outlineLevel="0" collapsed="false">
      <c r="A15" s="12" t="s">
        <v>977</v>
      </c>
      <c r="B15" s="12" t="s">
        <v>978</v>
      </c>
      <c r="C15" s="12" t="s">
        <v>979</v>
      </c>
      <c r="D15" s="12" t="s">
        <v>980</v>
      </c>
      <c r="E15" s="12" t="s">
        <v>981</v>
      </c>
      <c r="F15" s="12" t="s">
        <v>982</v>
      </c>
      <c r="G15" s="12" t="s">
        <v>983</v>
      </c>
      <c r="H15" s="12" t="s">
        <v>984</v>
      </c>
      <c r="I15" s="12" t="s">
        <v>985</v>
      </c>
      <c r="J15" s="12" t="s">
        <v>986</v>
      </c>
      <c r="K15" s="12" t="s">
        <v>69</v>
      </c>
    </row>
    <row r="16" customFormat="false" ht="30" hidden="false" customHeight="true" outlineLevel="0" collapsed="false">
      <c r="A16" s="8" t="s">
        <v>987</v>
      </c>
      <c r="B16" s="2" t="s">
        <v>30</v>
      </c>
      <c r="C16" s="17" t="n">
        <v>290000000</v>
      </c>
      <c r="D16" s="17" t="n">
        <v>32200000</v>
      </c>
      <c r="E16" s="17" t="n">
        <v>110000</v>
      </c>
      <c r="F16" s="49" t="n">
        <v>1210</v>
      </c>
      <c r="G16" s="17" t="n">
        <v>133100000</v>
      </c>
      <c r="H16" s="17" t="n">
        <v>100900000</v>
      </c>
      <c r="I16" s="29" t="n">
        <v>2.87</v>
      </c>
      <c r="J16" s="8" t="s">
        <v>988</v>
      </c>
      <c r="K16" s="8" t="s">
        <v>989</v>
      </c>
    </row>
    <row r="17" customFormat="false" ht="30" hidden="false" customHeight="true" outlineLevel="0" collapsed="false">
      <c r="A17" s="8" t="s">
        <v>990</v>
      </c>
      <c r="B17" s="2" t="s">
        <v>30</v>
      </c>
      <c r="C17" s="17" t="n">
        <v>130000000</v>
      </c>
      <c r="D17" s="17" t="n">
        <v>16300000</v>
      </c>
      <c r="E17" s="17" t="n">
        <v>70000</v>
      </c>
      <c r="F17" s="49" t="n">
        <v>810</v>
      </c>
      <c r="G17" s="17" t="n">
        <v>56700000</v>
      </c>
      <c r="H17" s="17" t="n">
        <v>40400000</v>
      </c>
      <c r="I17" s="29" t="n">
        <v>3.22</v>
      </c>
      <c r="J17" s="8" t="s">
        <v>988</v>
      </c>
      <c r="K17" s="8" t="s">
        <v>991</v>
      </c>
    </row>
    <row r="18" customFormat="false" ht="30" hidden="false" customHeight="true" outlineLevel="0" collapsed="false">
      <c r="A18" s="8" t="s">
        <v>992</v>
      </c>
      <c r="B18" s="2" t="s">
        <v>30</v>
      </c>
      <c r="C18" s="17" t="n">
        <v>117000000</v>
      </c>
      <c r="D18" s="17" t="n">
        <v>16660000</v>
      </c>
      <c r="E18" s="17" t="n">
        <v>45000</v>
      </c>
      <c r="F18" s="49" t="n">
        <v>800</v>
      </c>
      <c r="G18" s="17" t="n">
        <v>36000000</v>
      </c>
      <c r="H18" s="17" t="n">
        <v>19340000</v>
      </c>
      <c r="I18" s="29" t="n">
        <v>6.05</v>
      </c>
      <c r="J18" s="8" t="s">
        <v>988</v>
      </c>
      <c r="K18" s="8" t="s">
        <v>993</v>
      </c>
    </row>
    <row r="19" customFormat="false" ht="30" hidden="false" customHeight="true" outlineLevel="0" collapsed="false">
      <c r="A19" s="8" t="s">
        <v>994</v>
      </c>
      <c r="B19" s="2" t="s">
        <v>30</v>
      </c>
      <c r="C19" s="17" t="n">
        <v>13000000</v>
      </c>
      <c r="D19" s="17" t="n">
        <v>2010000</v>
      </c>
      <c r="E19" s="17" t="n">
        <v>12000</v>
      </c>
      <c r="F19" s="49" t="n">
        <v>1375</v>
      </c>
      <c r="G19" s="17" t="n">
        <v>16500000</v>
      </c>
      <c r="H19" s="17" t="n">
        <v>14490000</v>
      </c>
      <c r="I19" s="29" t="n">
        <v>0.9</v>
      </c>
      <c r="J19" s="8" t="s">
        <v>988</v>
      </c>
      <c r="K19" s="8" t="s">
        <v>995</v>
      </c>
    </row>
    <row r="20" customFormat="false" ht="30" hidden="false" customHeight="true" outlineLevel="0" collapsed="false">
      <c r="A20" s="8" t="s">
        <v>996</v>
      </c>
      <c r="B20" s="2" t="s">
        <v>30</v>
      </c>
      <c r="C20" s="17" t="n">
        <v>12500000</v>
      </c>
      <c r="D20" s="17" t="n">
        <v>4950000</v>
      </c>
      <c r="E20" s="17" t="n">
        <v>80000</v>
      </c>
      <c r="F20" s="49" t="n">
        <v>192</v>
      </c>
      <c r="G20" s="17" t="n">
        <v>15360000</v>
      </c>
      <c r="H20" s="17" t="n">
        <v>10410000</v>
      </c>
      <c r="I20" s="29" t="n">
        <v>1.2</v>
      </c>
      <c r="J20" s="8" t="s">
        <v>988</v>
      </c>
      <c r="K20" s="8" t="s">
        <v>997</v>
      </c>
    </row>
    <row r="21" customFormat="false" ht="30" hidden="false" customHeight="true" outlineLevel="0" collapsed="false">
      <c r="A21" s="8" t="s">
        <v>998</v>
      </c>
      <c r="B21" s="2" t="s">
        <v>30</v>
      </c>
      <c r="C21" s="17" t="n">
        <v>9000000</v>
      </c>
      <c r="D21" s="17" t="n">
        <v>4450000</v>
      </c>
      <c r="E21" s="17" t="n">
        <v>25000</v>
      </c>
      <c r="F21" s="49" t="n">
        <v>990</v>
      </c>
      <c r="G21" s="17" t="n">
        <v>24750000</v>
      </c>
      <c r="H21" s="17" t="n">
        <v>20300000</v>
      </c>
      <c r="I21" s="29" t="n">
        <v>0.44</v>
      </c>
      <c r="J21" s="8" t="s">
        <v>988</v>
      </c>
      <c r="K21" s="8" t="s">
        <v>999</v>
      </c>
    </row>
    <row r="22" customFormat="false" ht="30" hidden="false" customHeight="true" outlineLevel="0" collapsed="false">
      <c r="A22" s="8" t="s">
        <v>1000</v>
      </c>
      <c r="B22" s="2" t="s">
        <v>30</v>
      </c>
      <c r="C22" s="17" t="n">
        <v>18000000</v>
      </c>
      <c r="D22" s="17" t="n">
        <v>6040000</v>
      </c>
      <c r="E22" s="17" t="n">
        <v>15000</v>
      </c>
      <c r="F22" s="49" t="n">
        <v>800</v>
      </c>
      <c r="G22" s="17" t="n">
        <v>12000000</v>
      </c>
      <c r="H22" s="17" t="n">
        <v>5960000</v>
      </c>
      <c r="I22" s="29" t="n">
        <v>3.02</v>
      </c>
      <c r="J22" s="8" t="s">
        <v>988</v>
      </c>
      <c r="K22" s="8" t="s">
        <v>1001</v>
      </c>
    </row>
    <row r="23" customFormat="false" ht="30" hidden="false" customHeight="true" outlineLevel="0" collapsed="false">
      <c r="A23" s="8" t="s">
        <v>1002</v>
      </c>
      <c r="B23" s="2" t="s">
        <v>30</v>
      </c>
      <c r="C23" s="17" t="n">
        <v>10400000</v>
      </c>
      <c r="D23" s="17" t="n">
        <v>4840000</v>
      </c>
      <c r="E23" s="17" t="n">
        <v>8000</v>
      </c>
      <c r="F23" s="49" t="n">
        <v>1600</v>
      </c>
      <c r="G23" s="17" t="n">
        <v>12800000</v>
      </c>
      <c r="H23" s="17" t="n">
        <v>15960000</v>
      </c>
      <c r="I23" s="29" t="n">
        <v>0.65</v>
      </c>
      <c r="J23" s="8" t="s">
        <v>988</v>
      </c>
      <c r="K23" s="8" t="s">
        <v>1003</v>
      </c>
    </row>
    <row r="24" customFormat="false" ht="30" hidden="false" customHeight="true" outlineLevel="0" collapsed="false">
      <c r="A24" s="8" t="s">
        <v>714</v>
      </c>
      <c r="B24" s="2" t="s">
        <v>30</v>
      </c>
      <c r="C24" s="17" t="n">
        <v>6200000</v>
      </c>
      <c r="D24" s="17" t="n">
        <v>3020000</v>
      </c>
      <c r="E24" s="17" t="n">
        <v>2500</v>
      </c>
      <c r="F24" s="49" t="n">
        <v>2000</v>
      </c>
      <c r="G24" s="17" t="n">
        <v>5000000</v>
      </c>
      <c r="H24" s="17" t="n">
        <v>5980000</v>
      </c>
      <c r="I24" s="29" t="n">
        <v>1.04</v>
      </c>
      <c r="J24" s="8" t="s">
        <v>988</v>
      </c>
      <c r="K24" s="8" t="s">
        <v>1004</v>
      </c>
    </row>
    <row r="25" customFormat="false" ht="30" hidden="false" customHeight="true" outlineLevel="0" collapsed="false">
      <c r="A25" s="8" t="s">
        <v>1005</v>
      </c>
      <c r="B25" s="2" t="s">
        <v>30</v>
      </c>
      <c r="C25" s="17" t="n">
        <v>2880000</v>
      </c>
      <c r="D25" s="17" t="n">
        <v>7715200</v>
      </c>
      <c r="E25" s="17" t="n">
        <v>22000</v>
      </c>
      <c r="F25" s="49" t="n">
        <v>2880</v>
      </c>
      <c r="G25" s="17" t="n">
        <v>63360000</v>
      </c>
      <c r="H25" s="17" t="n">
        <v>55644800</v>
      </c>
      <c r="I25" s="29" t="n">
        <v>0.05</v>
      </c>
      <c r="J25" s="8" t="s">
        <v>988</v>
      </c>
      <c r="K25" s="8" t="s">
        <v>1006</v>
      </c>
    </row>
    <row r="26" customFormat="false" ht="30" hidden="false" customHeight="true" outlineLevel="0" collapsed="false">
      <c r="A26" s="8" t="s">
        <v>1007</v>
      </c>
      <c r="B26" s="2" t="s">
        <v>30</v>
      </c>
      <c r="C26" s="17" t="n">
        <v>28000000</v>
      </c>
      <c r="D26" s="17" t="n">
        <v>4080000</v>
      </c>
      <c r="E26" s="17" t="n">
        <v>4500</v>
      </c>
      <c r="F26" s="49" t="n">
        <v>2400</v>
      </c>
      <c r="G26" s="17" t="n">
        <v>10800000</v>
      </c>
      <c r="H26" s="17" t="n">
        <v>6720000</v>
      </c>
      <c r="I26" s="29" t="n">
        <v>4.17</v>
      </c>
      <c r="J26" s="8" t="s">
        <v>988</v>
      </c>
      <c r="K26" s="8" t="s">
        <v>1008</v>
      </c>
    </row>
    <row r="27" customFormat="false" ht="30" hidden="false" customHeight="true" outlineLevel="0" collapsed="false">
      <c r="A27" s="8" t="s">
        <v>1009</v>
      </c>
      <c r="B27" s="2" t="s">
        <v>30</v>
      </c>
      <c r="C27" s="17" t="n">
        <v>44000000</v>
      </c>
      <c r="D27" s="17" t="n">
        <v>4800000</v>
      </c>
      <c r="E27" s="17" t="n">
        <v>0</v>
      </c>
      <c r="F27" s="49" t="n">
        <v>0</v>
      </c>
      <c r="G27" s="17" t="n">
        <v>0</v>
      </c>
      <c r="H27" s="17" t="n">
        <v>0</v>
      </c>
      <c r="I27" s="2" t="s">
        <v>1010</v>
      </c>
      <c r="J27" s="8" t="s">
        <v>988</v>
      </c>
      <c r="K27" s="8" t="s">
        <v>1011</v>
      </c>
    </row>
    <row r="28" customFormat="false" ht="30" hidden="false" customHeight="true" outlineLevel="0" collapsed="false">
      <c r="A28" s="8" t="s">
        <v>1012</v>
      </c>
      <c r="B28" s="2" t="s">
        <v>30</v>
      </c>
      <c r="C28" s="17" t="n">
        <v>48000000</v>
      </c>
      <c r="D28" s="17" t="n">
        <v>5580000</v>
      </c>
      <c r="E28" s="17" t="n">
        <v>8500</v>
      </c>
      <c r="F28" s="49" t="n">
        <v>200</v>
      </c>
      <c r="G28" s="17" t="n">
        <v>1700000</v>
      </c>
      <c r="H28" s="17" t="n">
        <v>-3880000</v>
      </c>
      <c r="I28" s="2" t="s">
        <v>1013</v>
      </c>
      <c r="J28" s="8" t="s">
        <v>1014</v>
      </c>
      <c r="K28" s="8" t="s">
        <v>1015</v>
      </c>
    </row>
    <row r="29" customFormat="false" ht="30" hidden="false" customHeight="true" outlineLevel="0" collapsed="false">
      <c r="A29" s="8" t="s">
        <v>1016</v>
      </c>
      <c r="B29" s="2" t="s">
        <v>28</v>
      </c>
      <c r="C29" s="17" t="n">
        <v>5200000</v>
      </c>
      <c r="D29" s="17" t="n">
        <v>4058000</v>
      </c>
      <c r="E29" s="17" t="n">
        <v>0</v>
      </c>
      <c r="F29" s="49" t="n">
        <v>0</v>
      </c>
      <c r="G29" s="17" t="n">
        <v>0</v>
      </c>
      <c r="H29" s="17" t="n">
        <v>0</v>
      </c>
      <c r="I29" s="2" t="s">
        <v>1010</v>
      </c>
      <c r="J29" s="8" t="s">
        <v>1014</v>
      </c>
      <c r="K29" s="8" t="s">
        <v>1017</v>
      </c>
    </row>
    <row r="30" customFormat="false" ht="30" hidden="false" customHeight="true" outlineLevel="0" collapsed="false">
      <c r="A30" s="8" t="s">
        <v>1018</v>
      </c>
      <c r="B30" s="2" t="s">
        <v>26</v>
      </c>
      <c r="C30" s="17" t="n">
        <v>60930000</v>
      </c>
      <c r="D30" s="17" t="n">
        <v>5846500</v>
      </c>
      <c r="E30" s="17" t="n">
        <v>0</v>
      </c>
      <c r="F30" s="49" t="n">
        <v>0</v>
      </c>
      <c r="G30" s="17" t="n">
        <v>0</v>
      </c>
      <c r="H30" s="17" t="n">
        <v>0</v>
      </c>
      <c r="I30" s="2" t="s">
        <v>1010</v>
      </c>
      <c r="J30" s="8" t="s">
        <v>1014</v>
      </c>
      <c r="K30" s="8" t="s">
        <v>1019</v>
      </c>
    </row>
    <row r="31" customFormat="false" ht="30" hidden="false" customHeight="true" outlineLevel="0" collapsed="false">
      <c r="A31" s="8" t="s">
        <v>1020</v>
      </c>
      <c r="B31" s="2" t="s">
        <v>28</v>
      </c>
      <c r="C31" s="17" t="n">
        <v>17700000</v>
      </c>
      <c r="D31" s="17" t="n">
        <v>4185000</v>
      </c>
      <c r="E31" s="17" t="n">
        <v>15000</v>
      </c>
      <c r="F31" s="49" t="n">
        <v>600</v>
      </c>
      <c r="G31" s="17" t="n">
        <v>9000000</v>
      </c>
      <c r="H31" s="17" t="n">
        <v>4815000</v>
      </c>
      <c r="I31" s="29" t="n">
        <v>3.68</v>
      </c>
      <c r="J31" s="8" t="s">
        <v>1021</v>
      </c>
      <c r="K31" s="8" t="s">
        <v>1022</v>
      </c>
    </row>
    <row r="32" customFormat="false" ht="30" hidden="false" customHeight="true" outlineLevel="0" collapsed="false">
      <c r="A32" s="8" t="s">
        <v>1023</v>
      </c>
      <c r="B32" s="2" t="s">
        <v>28</v>
      </c>
      <c r="C32" s="17" t="n">
        <v>35000000</v>
      </c>
      <c r="D32" s="17" t="n">
        <v>4250000</v>
      </c>
      <c r="E32" s="17" t="n">
        <v>11000</v>
      </c>
      <c r="F32" s="49" t="n">
        <v>800</v>
      </c>
      <c r="G32" s="17" t="n">
        <v>8800000</v>
      </c>
      <c r="H32" s="17" t="n">
        <v>4550000</v>
      </c>
      <c r="I32" s="29" t="n">
        <v>7.69</v>
      </c>
      <c r="J32" s="8" t="s">
        <v>1024</v>
      </c>
      <c r="K32" s="8" t="s">
        <v>1025</v>
      </c>
    </row>
    <row r="33" customFormat="false" ht="30" hidden="false" customHeight="true" outlineLevel="0" collapsed="false">
      <c r="A33" s="8" t="s">
        <v>1026</v>
      </c>
      <c r="B33" s="2" t="s">
        <v>26</v>
      </c>
      <c r="C33" s="17" t="n">
        <v>130950000</v>
      </c>
      <c r="D33" s="17" t="n">
        <v>7857000</v>
      </c>
      <c r="E33" s="17" t="n">
        <v>0</v>
      </c>
      <c r="F33" s="49" t="n">
        <v>0</v>
      </c>
      <c r="G33" s="17" t="n">
        <v>0</v>
      </c>
      <c r="H33" s="17" t="n">
        <v>0</v>
      </c>
      <c r="I33" s="2" t="s">
        <v>1027</v>
      </c>
      <c r="J33" s="8" t="s">
        <v>1024</v>
      </c>
      <c r="K33" s="8" t="s">
        <v>1028</v>
      </c>
    </row>
    <row r="34" customFormat="false" ht="30" hidden="false" customHeight="true" outlineLevel="0" collapsed="false">
      <c r="A34" s="8" t="s">
        <v>1029</v>
      </c>
      <c r="B34" s="2" t="s">
        <v>30</v>
      </c>
      <c r="C34" s="17" t="n">
        <v>12000000</v>
      </c>
      <c r="D34" s="17" t="n">
        <v>6900000</v>
      </c>
      <c r="E34" s="17" t="n">
        <v>0</v>
      </c>
      <c r="F34" s="49" t="n">
        <v>0</v>
      </c>
      <c r="G34" s="17" t="n">
        <v>0</v>
      </c>
      <c r="H34" s="17" t="n">
        <v>0</v>
      </c>
      <c r="I34" s="2" t="s">
        <v>1027</v>
      </c>
      <c r="J34" s="8" t="s">
        <v>1024</v>
      </c>
      <c r="K34" s="8" t="s">
        <v>1030</v>
      </c>
    </row>
    <row r="35" customFormat="false" ht="30" hidden="false" customHeight="true" outlineLevel="0" collapsed="false">
      <c r="A35" s="8" t="s">
        <v>1031</v>
      </c>
      <c r="B35" s="2" t="s">
        <v>26</v>
      </c>
      <c r="C35" s="17" t="n">
        <v>15500000</v>
      </c>
      <c r="D35" s="17" t="n">
        <v>5800000</v>
      </c>
      <c r="E35" s="17" t="n">
        <v>0</v>
      </c>
      <c r="F35" s="49" t="n">
        <v>0</v>
      </c>
      <c r="G35" s="17" t="n">
        <v>0</v>
      </c>
      <c r="H35" s="17" t="n">
        <v>0</v>
      </c>
      <c r="I35" s="2" t="s">
        <v>1027</v>
      </c>
      <c r="J35" s="8" t="s">
        <v>1024</v>
      </c>
      <c r="K35" s="8" t="s">
        <v>1032</v>
      </c>
    </row>
    <row r="36" customFormat="false" ht="15" hidden="false" customHeight="true" outlineLevel="0" collapsed="false">
      <c r="A36" s="2"/>
      <c r="B36" s="2"/>
      <c r="C36" s="2"/>
      <c r="D36" s="2"/>
      <c r="E36" s="2"/>
      <c r="F36" s="2"/>
      <c r="G36" s="2"/>
      <c r="H36" s="2"/>
      <c r="I36" s="2"/>
      <c r="J36" s="2"/>
      <c r="K36" s="2"/>
    </row>
    <row r="37" customFormat="false" ht="15" hidden="false" customHeight="true" outlineLevel="0" collapsed="false">
      <c r="A37" s="7" t="s">
        <v>1033</v>
      </c>
      <c r="B37" s="2"/>
      <c r="C37" s="2"/>
      <c r="D37" s="2"/>
      <c r="E37" s="2"/>
      <c r="F37" s="2"/>
      <c r="G37" s="2"/>
      <c r="H37" s="2"/>
      <c r="I37" s="2"/>
      <c r="J37" s="2"/>
      <c r="K37" s="2"/>
    </row>
    <row r="38" customFormat="false" ht="36" hidden="false" customHeight="true" outlineLevel="0" collapsed="false">
      <c r="A38" s="12" t="s">
        <v>1034</v>
      </c>
      <c r="B38" s="12" t="s">
        <v>1035</v>
      </c>
      <c r="C38" s="12" t="s">
        <v>1036</v>
      </c>
      <c r="D38" s="12" t="s">
        <v>1037</v>
      </c>
      <c r="E38" s="12" t="s">
        <v>1038</v>
      </c>
      <c r="F38" s="12" t="s">
        <v>1039</v>
      </c>
      <c r="G38" s="12" t="s">
        <v>69</v>
      </c>
      <c r="H38" s="2"/>
      <c r="I38" s="2"/>
      <c r="J38" s="2"/>
      <c r="K38" s="2"/>
    </row>
    <row r="39" customFormat="false" ht="30" hidden="false" customHeight="true" outlineLevel="0" collapsed="false">
      <c r="A39" s="8" t="s">
        <v>1040</v>
      </c>
      <c r="B39" s="15" t="n">
        <v>2200</v>
      </c>
      <c r="C39" s="15" t="n">
        <v>1800</v>
      </c>
      <c r="D39" s="15" t="n">
        <v>2500</v>
      </c>
      <c r="E39" s="17" t="n">
        <v>111000</v>
      </c>
      <c r="F39" s="15" t="n">
        <v>1207</v>
      </c>
      <c r="G39" s="8" t="s">
        <v>1041</v>
      </c>
      <c r="H39" s="2"/>
      <c r="I39" s="2"/>
      <c r="J39" s="2"/>
      <c r="K39" s="2"/>
    </row>
    <row r="40" customFormat="false" ht="30" hidden="false" customHeight="true" outlineLevel="0" collapsed="false">
      <c r="A40" s="8" t="s">
        <v>1042</v>
      </c>
      <c r="B40" s="15" t="n">
        <v>200</v>
      </c>
      <c r="C40" s="15" t="n">
        <v>180</v>
      </c>
      <c r="D40" s="15" t="n">
        <v>250</v>
      </c>
      <c r="E40" s="17" t="n">
        <v>10000</v>
      </c>
      <c r="F40" s="15" t="n">
        <v>109</v>
      </c>
      <c r="G40" s="8" t="s">
        <v>1043</v>
      </c>
      <c r="H40" s="2"/>
      <c r="I40" s="2"/>
      <c r="J40" s="2"/>
      <c r="K40" s="2"/>
    </row>
    <row r="41" customFormat="false" ht="30" hidden="false" customHeight="true" outlineLevel="0" collapsed="false">
      <c r="A41" s="8" t="s">
        <v>1044</v>
      </c>
      <c r="B41" s="15" t="n">
        <v>400</v>
      </c>
      <c r="C41" s="15" t="n">
        <v>350</v>
      </c>
      <c r="D41" s="15" t="n">
        <v>500</v>
      </c>
      <c r="E41" s="17" t="n">
        <v>20000</v>
      </c>
      <c r="F41" s="15" t="n">
        <v>217</v>
      </c>
      <c r="G41" s="8" t="s">
        <v>1045</v>
      </c>
      <c r="H41" s="2"/>
      <c r="I41" s="2"/>
      <c r="J41" s="2"/>
      <c r="K41" s="2"/>
    </row>
    <row r="42" customFormat="false" ht="30" hidden="false" customHeight="true" outlineLevel="0" collapsed="false">
      <c r="A42" s="8" t="s">
        <v>1046</v>
      </c>
      <c r="B42" s="15" t="n">
        <v>1500</v>
      </c>
      <c r="C42" s="15" t="n">
        <v>1300</v>
      </c>
      <c r="D42" s="15" t="n">
        <v>1800</v>
      </c>
      <c r="E42" s="17" t="n">
        <v>76000</v>
      </c>
      <c r="F42" s="15" t="n">
        <v>826</v>
      </c>
      <c r="G42" s="8" t="s">
        <v>1047</v>
      </c>
      <c r="H42" s="2"/>
      <c r="I42" s="2"/>
      <c r="J42" s="2"/>
      <c r="K42" s="2"/>
    </row>
    <row r="43" customFormat="false" ht="30" hidden="false" customHeight="true" outlineLevel="0" collapsed="false">
      <c r="A43" s="8" t="s">
        <v>1048</v>
      </c>
      <c r="B43" s="15" t="n">
        <v>4046</v>
      </c>
      <c r="C43" s="15" t="n">
        <v>3825</v>
      </c>
      <c r="D43" s="15" t="n">
        <v>8500</v>
      </c>
      <c r="E43" s="17" t="n">
        <v>223000</v>
      </c>
      <c r="F43" s="15" t="n">
        <v>2424</v>
      </c>
      <c r="G43" s="8" t="s">
        <v>1049</v>
      </c>
      <c r="H43" s="2"/>
      <c r="I43" s="2"/>
      <c r="J43" s="2"/>
      <c r="K43" s="2"/>
    </row>
    <row r="44" customFormat="false" ht="30" hidden="false" customHeight="true" outlineLevel="0" collapsed="false">
      <c r="A44" s="8" t="s">
        <v>1050</v>
      </c>
      <c r="B44" s="15" t="n">
        <v>8053</v>
      </c>
      <c r="C44" s="15" t="n">
        <v>7500</v>
      </c>
      <c r="D44" s="15" t="n">
        <v>21300</v>
      </c>
      <c r="E44" s="17" t="n">
        <v>407000</v>
      </c>
      <c r="F44" s="15" t="n">
        <v>4424</v>
      </c>
      <c r="G44" s="8" t="s">
        <v>1051</v>
      </c>
      <c r="H44" s="2"/>
      <c r="I44" s="2"/>
      <c r="J44" s="2"/>
      <c r="K44" s="2"/>
    </row>
    <row r="45" customFormat="false" ht="30" hidden="false" customHeight="true" outlineLevel="0" collapsed="false">
      <c r="A45" s="8" t="s">
        <v>1052</v>
      </c>
      <c r="B45" s="15" t="n">
        <v>600</v>
      </c>
      <c r="C45" s="15" t="n">
        <v>500</v>
      </c>
      <c r="D45" s="15" t="n">
        <v>800</v>
      </c>
      <c r="E45" s="17" t="n">
        <v>33000</v>
      </c>
      <c r="F45" s="15" t="n">
        <v>359</v>
      </c>
      <c r="G45" s="8" t="s">
        <v>1053</v>
      </c>
      <c r="H45" s="2"/>
      <c r="I45" s="2"/>
      <c r="J45" s="2"/>
      <c r="K45" s="2"/>
    </row>
    <row r="46" customFormat="false" ht="30" hidden="false" customHeight="true" outlineLevel="0" collapsed="false">
      <c r="A46" s="8" t="s">
        <v>1054</v>
      </c>
      <c r="B46" s="15" t="n">
        <v>450</v>
      </c>
      <c r="C46" s="15" t="n">
        <v>400</v>
      </c>
      <c r="D46" s="15" t="n">
        <v>600</v>
      </c>
      <c r="E46" s="17" t="n">
        <v>23000</v>
      </c>
      <c r="F46" s="15" t="n">
        <v>250</v>
      </c>
      <c r="G46" s="8" t="s">
        <v>1055</v>
      </c>
      <c r="H46" s="2"/>
      <c r="I46" s="2"/>
      <c r="J46" s="2"/>
      <c r="K46" s="2"/>
    </row>
    <row r="47" customFormat="false" ht="30" hidden="false" customHeight="true" outlineLevel="0" collapsed="false">
      <c r="A47" s="8" t="s">
        <v>1056</v>
      </c>
      <c r="B47" s="15" t="n">
        <v>5000</v>
      </c>
      <c r="C47" s="15" t="n">
        <v>4000</v>
      </c>
      <c r="D47" s="15" t="n">
        <v>7000</v>
      </c>
      <c r="E47" s="17" t="n">
        <v>253000</v>
      </c>
      <c r="F47" s="15" t="n">
        <v>2750</v>
      </c>
      <c r="G47" s="8" t="s">
        <v>1057</v>
      </c>
      <c r="H47" s="2"/>
      <c r="I47" s="2"/>
      <c r="J47" s="2"/>
      <c r="K47" s="2"/>
    </row>
    <row r="48" customFormat="false" ht="15" hidden="false" customHeight="true" outlineLevel="0" collapsed="false">
      <c r="A48" s="2"/>
      <c r="B48" s="2"/>
      <c r="C48" s="2"/>
      <c r="D48" s="2"/>
      <c r="E48" s="2"/>
      <c r="F48" s="2"/>
      <c r="G48" s="2"/>
      <c r="H48" s="2"/>
      <c r="I48" s="2"/>
      <c r="J48" s="2"/>
      <c r="K48" s="2"/>
    </row>
    <row r="49" customFormat="false" ht="15" hidden="false" customHeight="true" outlineLevel="0" collapsed="false">
      <c r="A49" s="7" t="s">
        <v>1058</v>
      </c>
      <c r="B49" s="2"/>
      <c r="C49" s="2"/>
      <c r="D49" s="2"/>
      <c r="E49" s="2"/>
      <c r="F49" s="2"/>
      <c r="G49" s="2"/>
      <c r="H49" s="2"/>
      <c r="I49" s="2"/>
      <c r="J49" s="2"/>
      <c r="K49" s="2"/>
    </row>
    <row r="50" customFormat="false" ht="36" hidden="false" customHeight="true" outlineLevel="0" collapsed="false">
      <c r="A50" s="12" t="s">
        <v>1059</v>
      </c>
      <c r="B50" s="12" t="s">
        <v>1060</v>
      </c>
      <c r="C50" s="12" t="s">
        <v>1061</v>
      </c>
      <c r="D50" s="12" t="s">
        <v>1062</v>
      </c>
      <c r="E50" s="12" t="s">
        <v>1063</v>
      </c>
      <c r="F50" s="12" t="s">
        <v>66</v>
      </c>
      <c r="G50" s="2"/>
      <c r="H50" s="2"/>
      <c r="I50" s="2"/>
      <c r="J50" s="2"/>
      <c r="K50" s="2"/>
    </row>
    <row r="51" customFormat="false" ht="36" hidden="false" customHeight="true" outlineLevel="0" collapsed="false">
      <c r="A51" s="2" t="s">
        <v>1064</v>
      </c>
      <c r="B51" s="8" t="s">
        <v>1065</v>
      </c>
      <c r="C51" s="15" t="n">
        <v>8053</v>
      </c>
      <c r="D51" s="15" t="n">
        <v>8175</v>
      </c>
      <c r="E51" s="8" t="s">
        <v>1066</v>
      </c>
      <c r="F51" s="8" t="s">
        <v>1067</v>
      </c>
      <c r="G51" s="2"/>
      <c r="H51" s="2"/>
      <c r="I51" s="2"/>
      <c r="J51" s="2"/>
      <c r="K51" s="2"/>
    </row>
    <row r="52" customFormat="false" ht="36" hidden="false" customHeight="true" outlineLevel="0" collapsed="false">
      <c r="A52" s="2" t="s">
        <v>1068</v>
      </c>
      <c r="B52" s="8" t="s">
        <v>1069</v>
      </c>
      <c r="C52" s="15" t="n">
        <v>12520</v>
      </c>
      <c r="D52" s="2"/>
      <c r="E52" s="8" t="s">
        <v>1070</v>
      </c>
      <c r="F52" s="8" t="s">
        <v>1071</v>
      </c>
      <c r="G52" s="2"/>
      <c r="H52" s="2"/>
      <c r="I52" s="2"/>
      <c r="J52" s="2"/>
      <c r="K52" s="2"/>
    </row>
    <row r="53" customFormat="false" ht="36" hidden="false" customHeight="true" outlineLevel="0" collapsed="false">
      <c r="A53" s="2" t="s">
        <v>1072</v>
      </c>
      <c r="B53" s="8" t="s">
        <v>1073</v>
      </c>
      <c r="C53" s="2"/>
      <c r="D53" s="2"/>
      <c r="E53" s="8" t="s">
        <v>1074</v>
      </c>
      <c r="F53" s="8" t="s">
        <v>1075</v>
      </c>
      <c r="G53" s="2"/>
      <c r="H53" s="2"/>
      <c r="I53" s="2"/>
      <c r="J53" s="2"/>
      <c r="K53" s="2"/>
    </row>
    <row r="54" customFormat="false" ht="36" hidden="false" customHeight="true" outlineLevel="0" collapsed="false">
      <c r="A54" s="2" t="s">
        <v>1072</v>
      </c>
      <c r="B54" s="8" t="s">
        <v>1076</v>
      </c>
      <c r="C54" s="2"/>
      <c r="D54" s="2"/>
      <c r="E54" s="8" t="s">
        <v>1077</v>
      </c>
      <c r="F54" s="8" t="s">
        <v>1078</v>
      </c>
      <c r="G54" s="2"/>
      <c r="H54" s="2"/>
      <c r="I54" s="2"/>
      <c r="J54" s="2"/>
      <c r="K54" s="2"/>
    </row>
    <row r="55" customFormat="false" ht="36" hidden="false" customHeight="true" outlineLevel="0" collapsed="false">
      <c r="A55" s="2" t="s">
        <v>1079</v>
      </c>
      <c r="B55" s="8" t="s">
        <v>1080</v>
      </c>
      <c r="C55" s="2"/>
      <c r="D55" s="2"/>
      <c r="E55" s="8" t="s">
        <v>1081</v>
      </c>
      <c r="F55" s="8" t="s">
        <v>1082</v>
      </c>
      <c r="G55" s="2"/>
      <c r="H55" s="2"/>
      <c r="I55" s="2"/>
      <c r="J55" s="2"/>
      <c r="K55" s="2"/>
    </row>
    <row r="56" customFormat="false" ht="36" hidden="false" customHeight="true" outlineLevel="0" collapsed="false">
      <c r="A56" s="2" t="s">
        <v>1083</v>
      </c>
      <c r="B56" s="8" t="s">
        <v>1084</v>
      </c>
      <c r="C56" s="2"/>
      <c r="D56" s="2"/>
      <c r="E56" s="8" t="s">
        <v>1085</v>
      </c>
      <c r="F56" s="8" t="s">
        <v>1086</v>
      </c>
      <c r="G56" s="2"/>
      <c r="H56" s="2"/>
      <c r="I56" s="2"/>
      <c r="J56" s="2"/>
      <c r="K56" s="2"/>
    </row>
    <row r="57" customFormat="false" ht="36" hidden="false" customHeight="true" outlineLevel="0" collapsed="false">
      <c r="A57" s="2" t="s">
        <v>1087</v>
      </c>
      <c r="B57" s="8" t="s">
        <v>1088</v>
      </c>
      <c r="C57" s="2"/>
      <c r="D57" s="2"/>
      <c r="E57" s="8" t="s">
        <v>1089</v>
      </c>
      <c r="F57" s="8" t="s">
        <v>1090</v>
      </c>
      <c r="G57" s="2"/>
      <c r="H57" s="2"/>
      <c r="I57" s="2"/>
      <c r="J57" s="2"/>
      <c r="K57" s="2"/>
    </row>
    <row r="58" customFormat="false" ht="36" hidden="false" customHeight="true" outlineLevel="0" collapsed="false">
      <c r="A58" s="2" t="s">
        <v>1091</v>
      </c>
      <c r="B58" s="8" t="s">
        <v>1092</v>
      </c>
      <c r="C58" s="2"/>
      <c r="D58" s="2"/>
      <c r="E58" s="8" t="s">
        <v>1093</v>
      </c>
      <c r="F58" s="8" t="s">
        <v>1094</v>
      </c>
      <c r="G58" s="2"/>
      <c r="H58" s="2"/>
      <c r="I58" s="2"/>
      <c r="J58" s="2"/>
      <c r="K58" s="2"/>
    </row>
    <row r="59" customFormat="false" ht="15" hidden="false" customHeight="true" outlineLevel="0" collapsed="false">
      <c r="A59" s="2"/>
      <c r="B59" s="2"/>
      <c r="C59" s="2"/>
      <c r="D59" s="2"/>
      <c r="E59" s="2"/>
      <c r="F59" s="2"/>
      <c r="G59" s="2"/>
      <c r="H59" s="2"/>
      <c r="I59" s="2"/>
      <c r="J59" s="2"/>
      <c r="K59" s="2"/>
    </row>
    <row r="60" customFormat="false" ht="15" hidden="false" customHeight="true" outlineLevel="0" collapsed="false">
      <c r="A60" s="7" t="s">
        <v>1095</v>
      </c>
      <c r="B60" s="2"/>
      <c r="C60" s="2"/>
      <c r="D60" s="2"/>
      <c r="E60" s="2"/>
      <c r="F60" s="2"/>
      <c r="G60" s="2"/>
      <c r="H60" s="2"/>
      <c r="I60" s="2"/>
      <c r="J60" s="2"/>
      <c r="K60" s="2"/>
    </row>
    <row r="61" customFormat="false" ht="15" hidden="false" customHeight="true" outlineLevel="0" collapsed="false">
      <c r="A61" s="12" t="s">
        <v>1096</v>
      </c>
      <c r="B61" s="12" t="s">
        <v>1097</v>
      </c>
      <c r="C61" s="12" t="s">
        <v>1098</v>
      </c>
      <c r="D61" s="12" t="s">
        <v>69</v>
      </c>
      <c r="E61" s="2"/>
      <c r="F61" s="2"/>
      <c r="G61" s="2"/>
      <c r="H61" s="2"/>
      <c r="I61" s="2"/>
      <c r="J61" s="2"/>
      <c r="K61" s="2"/>
    </row>
    <row r="62" customFormat="false" ht="26.25" hidden="false" customHeight="true" outlineLevel="0" collapsed="false">
      <c r="A62" s="2" t="s">
        <v>1099</v>
      </c>
      <c r="B62" s="48" t="n">
        <v>0.3</v>
      </c>
      <c r="C62" s="15" t="n">
        <v>4500</v>
      </c>
      <c r="D62" s="8" t="s">
        <v>1100</v>
      </c>
      <c r="E62" s="2"/>
      <c r="F62" s="2"/>
      <c r="G62" s="2"/>
      <c r="H62" s="2"/>
      <c r="I62" s="2"/>
      <c r="J62" s="2"/>
      <c r="K62" s="2"/>
    </row>
    <row r="63" customFormat="false" ht="39" hidden="false" customHeight="true" outlineLevel="0" collapsed="false">
      <c r="A63" s="2" t="s">
        <v>1101</v>
      </c>
      <c r="B63" s="48" t="n">
        <v>0.25</v>
      </c>
      <c r="C63" s="15" t="n">
        <v>3750</v>
      </c>
      <c r="D63" s="8" t="s">
        <v>1102</v>
      </c>
      <c r="E63" s="2"/>
      <c r="F63" s="2"/>
      <c r="G63" s="2"/>
      <c r="H63" s="2"/>
      <c r="I63" s="2"/>
      <c r="J63" s="2"/>
      <c r="K63" s="2"/>
    </row>
    <row r="64" customFormat="false" ht="39" hidden="false" customHeight="true" outlineLevel="0" collapsed="false">
      <c r="A64" s="2" t="s">
        <v>1103</v>
      </c>
      <c r="B64" s="48" t="n">
        <v>0.15</v>
      </c>
      <c r="C64" s="15" t="n">
        <v>2250</v>
      </c>
      <c r="D64" s="8" t="s">
        <v>1104</v>
      </c>
      <c r="E64" s="2"/>
      <c r="F64" s="2"/>
      <c r="G64" s="2"/>
      <c r="H64" s="2"/>
      <c r="I64" s="2"/>
      <c r="J64" s="2"/>
      <c r="K64" s="2"/>
    </row>
    <row r="65" customFormat="false" ht="26.25" hidden="false" customHeight="true" outlineLevel="0" collapsed="false">
      <c r="A65" s="2" t="s">
        <v>1105</v>
      </c>
      <c r="B65" s="48" t="n">
        <v>0.12</v>
      </c>
      <c r="C65" s="15" t="n">
        <v>1800</v>
      </c>
      <c r="D65" s="8" t="s">
        <v>1106</v>
      </c>
      <c r="E65" s="2"/>
      <c r="F65" s="2"/>
      <c r="G65" s="2"/>
      <c r="H65" s="2"/>
      <c r="I65" s="2"/>
      <c r="J65" s="2"/>
      <c r="K65" s="2"/>
    </row>
    <row r="66" customFormat="false" ht="39" hidden="false" customHeight="true" outlineLevel="0" collapsed="false">
      <c r="A66" s="2" t="s">
        <v>1107</v>
      </c>
      <c r="B66" s="48" t="n">
        <v>0.13</v>
      </c>
      <c r="C66" s="15" t="n">
        <v>1950</v>
      </c>
      <c r="D66" s="8" t="s">
        <v>1108</v>
      </c>
      <c r="E66" s="2"/>
      <c r="F66" s="2"/>
      <c r="G66" s="2"/>
      <c r="H66" s="2"/>
      <c r="I66" s="2"/>
      <c r="J66" s="2"/>
      <c r="K66" s="2"/>
    </row>
    <row r="67" customFormat="false" ht="26.25" hidden="false" customHeight="true" outlineLevel="0" collapsed="false">
      <c r="A67" s="2" t="s">
        <v>1109</v>
      </c>
      <c r="B67" s="48" t="n">
        <v>0.05</v>
      </c>
      <c r="C67" s="15" t="n">
        <v>750</v>
      </c>
      <c r="D67" s="8" t="s">
        <v>1110</v>
      </c>
      <c r="E67" s="2"/>
      <c r="F67" s="2"/>
      <c r="G67" s="2"/>
      <c r="H67" s="2"/>
      <c r="I67" s="2"/>
      <c r="J67" s="2"/>
      <c r="K67" s="2"/>
    </row>
    <row r="68" customFormat="false" ht="15" hidden="false" customHeight="true" outlineLevel="0" collapsed="false">
      <c r="A68" s="33" t="s">
        <v>1111</v>
      </c>
      <c r="B68" s="50" t="n">
        <f aca="false">SUM(B62:B67)</f>
        <v>1</v>
      </c>
      <c r="C68" s="34" t="n">
        <f aca="false">SUM(C62:C67)</f>
        <v>15000</v>
      </c>
      <c r="D68" s="2"/>
      <c r="E68" s="2"/>
      <c r="F68" s="2"/>
      <c r="G68" s="2"/>
      <c r="H68" s="2"/>
      <c r="I68" s="2"/>
      <c r="J68" s="2"/>
      <c r="K68" s="2"/>
    </row>
    <row r="69" customFormat="false" ht="15" hidden="false" customHeight="true" outlineLevel="0" collapsed="false">
      <c r="A69" s="2"/>
      <c r="B69" s="2"/>
      <c r="C69" s="2"/>
      <c r="D69" s="2"/>
      <c r="E69" s="2"/>
      <c r="F69" s="2"/>
      <c r="G69" s="2"/>
      <c r="H69" s="2"/>
      <c r="I69" s="2"/>
      <c r="J69" s="2"/>
      <c r="K69" s="2"/>
    </row>
    <row r="70" customFormat="false" ht="15" hidden="false" customHeight="true" outlineLevel="0" collapsed="false">
      <c r="A70" s="7" t="s">
        <v>1112</v>
      </c>
      <c r="B70" s="2"/>
      <c r="C70" s="2"/>
      <c r="D70" s="2"/>
      <c r="E70" s="2"/>
      <c r="F70" s="2"/>
      <c r="G70" s="2"/>
      <c r="H70" s="2"/>
      <c r="I70" s="2"/>
      <c r="J70" s="2"/>
      <c r="K70" s="2"/>
    </row>
    <row r="71" customFormat="false" ht="60" hidden="false" customHeight="true" outlineLevel="0" collapsed="false">
      <c r="A71" s="5" t="s">
        <v>1113</v>
      </c>
      <c r="B71" s="8" t="s">
        <v>1114</v>
      </c>
      <c r="C71" s="2"/>
      <c r="D71" s="2"/>
      <c r="E71" s="2"/>
      <c r="F71" s="2"/>
      <c r="G71" s="2"/>
      <c r="H71" s="2"/>
      <c r="I71" s="2"/>
      <c r="J71" s="2"/>
      <c r="K71" s="2"/>
    </row>
    <row r="72" customFormat="false" ht="15" hidden="false" customHeight="true" outlineLevel="0" collapsed="false">
      <c r="A72" s="6" t="s">
        <v>1115</v>
      </c>
      <c r="B72" s="15" t="n">
        <v>250</v>
      </c>
      <c r="C72" s="2"/>
      <c r="D72" s="2"/>
      <c r="E72" s="2"/>
      <c r="F72" s="2"/>
      <c r="G72" s="2"/>
      <c r="H72" s="2"/>
      <c r="I72" s="2"/>
      <c r="J72" s="2"/>
      <c r="K72" s="2"/>
    </row>
    <row r="73" customFormat="false" ht="15" hidden="false" customHeight="true" outlineLevel="0" collapsed="false">
      <c r="A73" s="6" t="s">
        <v>1116</v>
      </c>
      <c r="B73" s="17" t="n">
        <v>23000</v>
      </c>
      <c r="C73" s="2"/>
      <c r="D73" s="2"/>
      <c r="E73" s="2"/>
      <c r="F73" s="2"/>
      <c r="G73" s="2"/>
      <c r="H73" s="2"/>
      <c r="I73" s="2"/>
      <c r="J73" s="2"/>
      <c r="K73" s="2"/>
    </row>
    <row r="74" customFormat="false" ht="15" hidden="false" customHeight="true" outlineLevel="0" collapsed="false">
      <c r="A74" s="6" t="s">
        <v>971</v>
      </c>
      <c r="B74" s="49" t="n">
        <v>21352</v>
      </c>
      <c r="C74" s="2"/>
      <c r="D74" s="2"/>
      <c r="E74" s="2"/>
      <c r="F74" s="2"/>
      <c r="G74" s="2"/>
      <c r="H74" s="2"/>
      <c r="I74" s="2"/>
      <c r="J74" s="2"/>
      <c r="K74" s="2"/>
    </row>
    <row r="75" customFormat="false" ht="15" hidden="false" customHeight="true" outlineLevel="0" collapsed="false">
      <c r="A75" s="6" t="s">
        <v>1117</v>
      </c>
      <c r="B75" s="17" t="n">
        <v>491096000</v>
      </c>
      <c r="C75" s="2"/>
      <c r="D75" s="2"/>
      <c r="E75" s="2"/>
      <c r="F75" s="2"/>
      <c r="G75" s="2"/>
      <c r="H75" s="2"/>
      <c r="I75" s="2"/>
      <c r="J75" s="2"/>
      <c r="K75" s="2"/>
    </row>
    <row r="76" customFormat="false" ht="15" hidden="false" customHeight="true" outlineLevel="0" collapsed="false">
      <c r="A76" s="6" t="s">
        <v>1118</v>
      </c>
      <c r="B76" s="15" t="n">
        <v>5338000</v>
      </c>
      <c r="C76" s="2"/>
      <c r="D76" s="2"/>
      <c r="E76" s="2"/>
      <c r="F76" s="2"/>
      <c r="G76" s="2"/>
      <c r="H76" s="2"/>
      <c r="I76" s="2"/>
      <c r="J76" s="2"/>
      <c r="K76" s="2"/>
    </row>
    <row r="77" customFormat="false" ht="60" hidden="false" customHeight="true" outlineLevel="0" collapsed="false">
      <c r="A77" s="5" t="s">
        <v>69</v>
      </c>
      <c r="B77" s="8" t="s">
        <v>1119</v>
      </c>
      <c r="C77" s="2"/>
      <c r="D77" s="2"/>
      <c r="E77" s="2"/>
      <c r="F77" s="2"/>
      <c r="G77" s="2"/>
      <c r="H77" s="2"/>
      <c r="I77" s="2"/>
      <c r="J77" s="2"/>
      <c r="K77" s="2"/>
    </row>
    <row r="78" customFormat="false" ht="15" hidden="false" customHeight="true" outlineLevel="0" collapsed="false">
      <c r="A78" s="2"/>
      <c r="B78" s="2"/>
      <c r="C78" s="2"/>
      <c r="D78" s="2"/>
      <c r="E78" s="2"/>
      <c r="F78" s="2"/>
      <c r="G78" s="2"/>
      <c r="H78" s="2"/>
      <c r="I78" s="2"/>
      <c r="J78" s="2"/>
      <c r="K78" s="2"/>
    </row>
    <row r="79" customFormat="false" ht="15" hidden="false" customHeight="true" outlineLevel="0" collapsed="false">
      <c r="A79" s="7" t="s">
        <v>1120</v>
      </c>
      <c r="B79" s="2"/>
      <c r="C79" s="2"/>
      <c r="D79" s="2"/>
      <c r="E79" s="2"/>
      <c r="F79" s="2"/>
      <c r="G79" s="2"/>
      <c r="H79" s="2"/>
      <c r="I79" s="2"/>
      <c r="J79" s="2"/>
      <c r="K79" s="2"/>
    </row>
    <row r="80" customFormat="false" ht="60" hidden="false" customHeight="true" outlineLevel="0" collapsed="false">
      <c r="A80" s="5" t="s">
        <v>1121</v>
      </c>
      <c r="B80" s="8" t="s">
        <v>1122</v>
      </c>
      <c r="C80" s="2"/>
      <c r="D80" s="2"/>
      <c r="E80" s="2"/>
      <c r="F80" s="2"/>
      <c r="G80" s="2"/>
      <c r="H80" s="2"/>
      <c r="I80" s="2"/>
      <c r="J80" s="2"/>
      <c r="K80" s="2"/>
    </row>
    <row r="81" customFormat="false" ht="60" hidden="false" customHeight="true" outlineLevel="0" collapsed="false">
      <c r="A81" s="5" t="s">
        <v>1123</v>
      </c>
      <c r="B81" s="8" t="s">
        <v>1124</v>
      </c>
      <c r="C81" s="2"/>
      <c r="D81" s="2"/>
      <c r="E81" s="2"/>
      <c r="F81" s="2"/>
      <c r="G81" s="2"/>
      <c r="H81" s="2"/>
      <c r="I81" s="2"/>
      <c r="J81" s="2"/>
      <c r="K81" s="2"/>
    </row>
    <row r="82" customFormat="false" ht="60" hidden="false" customHeight="true" outlineLevel="0" collapsed="false">
      <c r="A82" s="5" t="s">
        <v>1125</v>
      </c>
      <c r="B82" s="8" t="s">
        <v>1126</v>
      </c>
      <c r="C82" s="2"/>
      <c r="D82" s="2"/>
      <c r="E82" s="2"/>
      <c r="F82" s="2"/>
      <c r="G82" s="2"/>
      <c r="H82" s="2"/>
      <c r="I82" s="2"/>
      <c r="J82" s="2"/>
      <c r="K82" s="2"/>
    </row>
    <row r="83" customFormat="false" ht="60" hidden="false" customHeight="true" outlineLevel="0" collapsed="false">
      <c r="A83" s="5" t="s">
        <v>1127</v>
      </c>
      <c r="B83" s="8" t="s">
        <v>1128</v>
      </c>
      <c r="C83" s="2"/>
      <c r="D83" s="2"/>
      <c r="E83" s="2"/>
      <c r="F83" s="2"/>
      <c r="G83" s="2"/>
      <c r="H83" s="2"/>
      <c r="I83" s="2"/>
      <c r="J83" s="2"/>
      <c r="K83"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1" width="34"/>
    <col collapsed="false" customWidth="true" hidden="false" outlineLevel="0" max="2" min="2" style="1" width="110"/>
  </cols>
  <sheetData>
    <row r="1" customFormat="false" ht="21.75" hidden="false" customHeight="true" outlineLevel="0" collapsed="false">
      <c r="A1" s="3" t="s">
        <v>1129</v>
      </c>
      <c r="B1" s="2"/>
    </row>
    <row r="2" customFormat="false" ht="15" hidden="false" customHeight="true" outlineLevel="0" collapsed="false">
      <c r="A2" s="4" t="s">
        <v>1130</v>
      </c>
      <c r="B2" s="2"/>
    </row>
    <row r="3" customFormat="false" ht="15" hidden="false" customHeight="true" outlineLevel="0" collapsed="false">
      <c r="A3" s="2"/>
      <c r="B3" s="2"/>
    </row>
    <row r="4" customFormat="false" ht="15" hidden="false" customHeight="true" outlineLevel="0" collapsed="false">
      <c r="A4" s="51" t="s">
        <v>1131</v>
      </c>
      <c r="B4" s="52"/>
    </row>
    <row r="5" customFormat="false" ht="87.75" hidden="false" customHeight="true" outlineLevel="0" collapsed="false">
      <c r="A5" s="53" t="s">
        <v>1132</v>
      </c>
      <c r="B5" s="8" t="s">
        <v>1133</v>
      </c>
    </row>
    <row r="6" customFormat="false" ht="39.75" hidden="false" customHeight="true" outlineLevel="0" collapsed="false">
      <c r="A6" s="53" t="s">
        <v>1134</v>
      </c>
      <c r="B6" s="8" t="s">
        <v>1135</v>
      </c>
    </row>
    <row r="7" customFormat="false" ht="39.75" hidden="false" customHeight="true" outlineLevel="0" collapsed="false">
      <c r="A7" s="53" t="s">
        <v>1136</v>
      </c>
      <c r="B7" s="8" t="s">
        <v>1137</v>
      </c>
    </row>
    <row r="8" customFormat="false" ht="69.75" hidden="false" customHeight="true" outlineLevel="0" collapsed="false">
      <c r="A8" s="53" t="s">
        <v>1138</v>
      </c>
      <c r="B8" s="8" t="s">
        <v>1139</v>
      </c>
    </row>
    <row r="9" customFormat="false" ht="61.5" hidden="false" customHeight="true" outlineLevel="0" collapsed="false">
      <c r="A9" s="53" t="s">
        <v>1140</v>
      </c>
      <c r="B9" s="8" t="s">
        <v>1141</v>
      </c>
    </row>
    <row r="10" customFormat="false" ht="39.75" hidden="false" customHeight="true" outlineLevel="0" collapsed="false">
      <c r="A10" s="53" t="s">
        <v>1142</v>
      </c>
      <c r="B10" s="8" t="s">
        <v>1143</v>
      </c>
    </row>
    <row r="11" customFormat="false" ht="15" hidden="false" customHeight="true" outlineLevel="0" collapsed="false">
      <c r="A11" s="2"/>
      <c r="B11" s="2"/>
    </row>
    <row r="12" customFormat="false" ht="15" hidden="false" customHeight="true" outlineLevel="0" collapsed="false">
      <c r="A12" s="51" t="s">
        <v>1144</v>
      </c>
      <c r="B12" s="52"/>
    </row>
    <row r="13" customFormat="false" ht="54" hidden="false" customHeight="true" outlineLevel="0" collapsed="false">
      <c r="A13" s="53" t="s">
        <v>1145</v>
      </c>
      <c r="B13" s="8" t="s">
        <v>1146</v>
      </c>
    </row>
    <row r="14" customFormat="false" ht="61.5" hidden="false" customHeight="true" outlineLevel="0" collapsed="false">
      <c r="A14" s="53" t="s">
        <v>1147</v>
      </c>
      <c r="B14" s="8" t="s">
        <v>1148</v>
      </c>
    </row>
    <row r="15" customFormat="false" ht="57" hidden="false" customHeight="true" outlineLevel="0" collapsed="false">
      <c r="A15" s="53" t="s">
        <v>1149</v>
      </c>
      <c r="B15" s="8" t="s">
        <v>1150</v>
      </c>
    </row>
    <row r="16" customFormat="false" ht="39.75" hidden="false" customHeight="true" outlineLevel="0" collapsed="false">
      <c r="A16" s="53" t="s">
        <v>1151</v>
      </c>
      <c r="B16" s="8" t="s">
        <v>1152</v>
      </c>
    </row>
    <row r="17" customFormat="false" ht="45" hidden="false" customHeight="true" outlineLevel="0" collapsed="false">
      <c r="A17" s="53" t="s">
        <v>1140</v>
      </c>
      <c r="B17" s="8" t="s">
        <v>1153</v>
      </c>
    </row>
    <row r="18" customFormat="false" ht="15" hidden="false" customHeight="true" outlineLevel="0" collapsed="false">
      <c r="A18" s="2"/>
      <c r="B18" s="2"/>
    </row>
    <row r="19" customFormat="false" ht="15" hidden="false" customHeight="true" outlineLevel="0" collapsed="false">
      <c r="A19" s="51" t="s">
        <v>1154</v>
      </c>
      <c r="B19" s="52"/>
    </row>
    <row r="20" customFormat="false" ht="81.75" hidden="false" customHeight="true" outlineLevel="0" collapsed="false">
      <c r="A20" s="53" t="s">
        <v>1155</v>
      </c>
      <c r="B20" s="8" t="s">
        <v>1156</v>
      </c>
    </row>
    <row r="21" customFormat="false" ht="48.75" hidden="false" customHeight="true" outlineLevel="0" collapsed="false">
      <c r="A21" s="53" t="s">
        <v>1157</v>
      </c>
      <c r="B21" s="8" t="s">
        <v>1158</v>
      </c>
    </row>
    <row r="22" customFormat="false" ht="39.75" hidden="false" customHeight="true" outlineLevel="0" collapsed="false">
      <c r="A22" s="53" t="s">
        <v>1151</v>
      </c>
      <c r="B22" s="8" t="s">
        <v>1159</v>
      </c>
    </row>
    <row r="23" customFormat="false" ht="54.75" hidden="false" customHeight="true" outlineLevel="0" collapsed="false">
      <c r="A23" s="53" t="s">
        <v>1140</v>
      </c>
      <c r="B23" s="8" t="s">
        <v>1160</v>
      </c>
    </row>
    <row r="24" customFormat="false" ht="15" hidden="false" customHeight="true" outlineLevel="0" collapsed="false">
      <c r="A24" s="2"/>
      <c r="B24" s="2"/>
    </row>
    <row r="25" customFormat="false" ht="15" hidden="false" customHeight="true" outlineLevel="0" collapsed="false">
      <c r="A25" s="51" t="s">
        <v>1161</v>
      </c>
      <c r="B25" s="52"/>
    </row>
    <row r="26" customFormat="false" ht="61.5" hidden="false" customHeight="true" outlineLevel="0" collapsed="false">
      <c r="A26" s="53" t="s">
        <v>1162</v>
      </c>
      <c r="B26" s="8" t="s">
        <v>1163</v>
      </c>
    </row>
    <row r="27" customFormat="false" ht="54" hidden="false" customHeight="true" outlineLevel="0" collapsed="false">
      <c r="A27" s="53" t="s">
        <v>1164</v>
      </c>
      <c r="B27" s="8" t="s">
        <v>1165</v>
      </c>
    </row>
    <row r="28" customFormat="false" ht="64.5" hidden="false" customHeight="true" outlineLevel="0" collapsed="false">
      <c r="A28" s="53" t="s">
        <v>1166</v>
      </c>
      <c r="B28" s="8" t="s">
        <v>1167</v>
      </c>
    </row>
    <row r="29" customFormat="false" ht="114" hidden="false" customHeight="true" outlineLevel="0" collapsed="false">
      <c r="A29" s="53" t="s">
        <v>1168</v>
      </c>
      <c r="B29" s="8" t="s">
        <v>1169</v>
      </c>
    </row>
    <row r="30" customFormat="false" ht="87" hidden="false" customHeight="true" outlineLevel="0" collapsed="false">
      <c r="A30" s="53" t="s">
        <v>1170</v>
      </c>
      <c r="B30" s="8" t="s">
        <v>1171</v>
      </c>
    </row>
    <row r="31" customFormat="false" ht="84" hidden="false" customHeight="true" outlineLevel="0" collapsed="false">
      <c r="A31" s="53" t="s">
        <v>1172</v>
      </c>
      <c r="B31" s="8" t="s">
        <v>1173</v>
      </c>
    </row>
    <row r="32" customFormat="false" ht="52.5" hidden="false" customHeight="true" outlineLevel="0" collapsed="false">
      <c r="A32" s="53" t="s">
        <v>1174</v>
      </c>
      <c r="B32" s="8" t="s">
        <v>1175</v>
      </c>
    </row>
    <row r="33" customFormat="false" ht="162.75" hidden="false" customHeight="true" outlineLevel="0" collapsed="false">
      <c r="A33" s="53" t="s">
        <v>1176</v>
      </c>
      <c r="B33" s="8" t="s">
        <v>1177</v>
      </c>
    </row>
    <row r="34" customFormat="false" ht="15" hidden="false" customHeight="true" outlineLevel="0" collapsed="false">
      <c r="A34" s="2"/>
      <c r="B34" s="2"/>
    </row>
    <row r="35" customFormat="false" ht="15" hidden="false" customHeight="true" outlineLevel="0" collapsed="false">
      <c r="A35" s="7" t="s">
        <v>1178</v>
      </c>
      <c r="B35" s="2"/>
    </row>
    <row r="36" customFormat="false" ht="259.5" hidden="false" customHeight="true" outlineLevel="0" collapsed="false">
      <c r="A36" s="53" t="s">
        <v>1179</v>
      </c>
      <c r="B36" s="8" t="s">
        <v>1180</v>
      </c>
    </row>
    <row r="37" customFormat="false" ht="15" hidden="false" customHeight="true" outlineLevel="0" collapsed="false">
      <c r="A37" s="54" t="s">
        <v>1181</v>
      </c>
      <c r="B37" s="55"/>
    </row>
    <row r="38" customFormat="false" ht="58.5" hidden="false" customHeight="true" outlineLevel="0" collapsed="false">
      <c r="A38" s="53" t="s">
        <v>1182</v>
      </c>
      <c r="B38" s="8" t="s">
        <v>1183</v>
      </c>
    </row>
    <row r="39" customFormat="false" ht="84" hidden="false" customHeight="true" outlineLevel="0" collapsed="false">
      <c r="A39" s="53" t="s">
        <v>1184</v>
      </c>
      <c r="B39" s="8" t="s">
        <v>1185</v>
      </c>
    </row>
    <row r="40" customFormat="false" ht="78" hidden="false" customHeight="true" outlineLevel="0" collapsed="false">
      <c r="A40" s="53" t="s">
        <v>1186</v>
      </c>
      <c r="B40" s="8" t="s">
        <v>1187</v>
      </c>
    </row>
    <row r="41" customFormat="false" ht="81.75" hidden="false" customHeight="true" outlineLevel="0" collapsed="false">
      <c r="A41" s="53" t="s">
        <v>1188</v>
      </c>
      <c r="B41" s="8" t="s">
        <v>1189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7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1" width="44"/>
    <col collapsed="false" customWidth="true" hidden="false" outlineLevel="0" max="2" min="2" style="1" width="22"/>
    <col collapsed="false" customWidth="true" hidden="false" outlineLevel="0" max="4" min="3" style="1" width="60"/>
    <col collapsed="false" customWidth="true" hidden="false" outlineLevel="0" max="5" min="5" style="1" width="14"/>
  </cols>
  <sheetData>
    <row r="1" customFormat="false" ht="21.75" hidden="false" customHeight="true" outlineLevel="0" collapsed="false">
      <c r="A1" s="3" t="s">
        <v>1190</v>
      </c>
      <c r="B1" s="2"/>
      <c r="C1" s="2"/>
      <c r="D1" s="2"/>
      <c r="E1" s="2"/>
    </row>
    <row r="2" customFormat="false" ht="15" hidden="false" customHeight="true" outlineLevel="0" collapsed="false">
      <c r="A2" s="4" t="s">
        <v>1191</v>
      </c>
      <c r="B2" s="2"/>
      <c r="C2" s="2"/>
      <c r="D2" s="2"/>
      <c r="E2" s="2"/>
    </row>
    <row r="3" customFormat="false" ht="15" hidden="false" customHeight="true" outlineLevel="0" collapsed="false">
      <c r="A3" s="2"/>
      <c r="B3" s="2"/>
      <c r="C3" s="2"/>
      <c r="D3" s="2"/>
      <c r="E3" s="2"/>
    </row>
    <row r="4" customFormat="false" ht="36" hidden="false" customHeight="true" outlineLevel="0" collapsed="false">
      <c r="A4" s="12" t="s">
        <v>1192</v>
      </c>
      <c r="B4" s="12" t="s">
        <v>1193</v>
      </c>
      <c r="C4" s="12" t="s">
        <v>1194</v>
      </c>
      <c r="D4" s="12" t="s">
        <v>1195</v>
      </c>
      <c r="E4" s="12" t="s">
        <v>1196</v>
      </c>
    </row>
    <row r="5" customFormat="false" ht="30" hidden="false" customHeight="true" outlineLevel="0" collapsed="false">
      <c r="A5" s="8" t="s">
        <v>1197</v>
      </c>
      <c r="B5" s="8" t="s">
        <v>1198</v>
      </c>
      <c r="C5" s="8" t="s">
        <v>1199</v>
      </c>
      <c r="D5" s="56" t="s">
        <v>1200</v>
      </c>
      <c r="E5" s="2" t="s">
        <v>3</v>
      </c>
    </row>
    <row r="6" customFormat="false" ht="30" hidden="false" customHeight="true" outlineLevel="0" collapsed="false">
      <c r="A6" s="8" t="s">
        <v>1201</v>
      </c>
      <c r="B6" s="8" t="s">
        <v>1198</v>
      </c>
      <c r="C6" s="8" t="s">
        <v>1202</v>
      </c>
      <c r="D6" s="56" t="s">
        <v>1203</v>
      </c>
      <c r="E6" s="2" t="s">
        <v>3</v>
      </c>
    </row>
    <row r="7" customFormat="false" ht="30" hidden="false" customHeight="true" outlineLevel="0" collapsed="false">
      <c r="A7" s="8" t="s">
        <v>1204</v>
      </c>
      <c r="B7" s="8" t="s">
        <v>1205</v>
      </c>
      <c r="C7" s="8" t="s">
        <v>1206</v>
      </c>
      <c r="D7" s="56" t="s">
        <v>1207</v>
      </c>
      <c r="E7" s="2" t="s">
        <v>3</v>
      </c>
    </row>
    <row r="8" customFormat="false" ht="30" hidden="false" customHeight="true" outlineLevel="0" collapsed="false">
      <c r="A8" s="8" t="s">
        <v>1208</v>
      </c>
      <c r="B8" s="8" t="s">
        <v>1198</v>
      </c>
      <c r="C8" s="8" t="s">
        <v>1209</v>
      </c>
      <c r="D8" s="56" t="s">
        <v>1210</v>
      </c>
      <c r="E8" s="2" t="s">
        <v>3</v>
      </c>
    </row>
    <row r="9" customFormat="false" ht="30" hidden="false" customHeight="true" outlineLevel="0" collapsed="false">
      <c r="A9" s="8" t="s">
        <v>1211</v>
      </c>
      <c r="B9" s="8" t="s">
        <v>1205</v>
      </c>
      <c r="C9" s="8" t="s">
        <v>1212</v>
      </c>
      <c r="D9" s="56" t="s">
        <v>1213</v>
      </c>
      <c r="E9" s="2" t="s">
        <v>3</v>
      </c>
    </row>
    <row r="10" customFormat="false" ht="30" hidden="false" customHeight="true" outlineLevel="0" collapsed="false">
      <c r="A10" s="8" t="s">
        <v>1214</v>
      </c>
      <c r="B10" s="8" t="s">
        <v>1198</v>
      </c>
      <c r="C10" s="8" t="s">
        <v>1215</v>
      </c>
      <c r="D10" s="56" t="s">
        <v>1216</v>
      </c>
      <c r="E10" s="2" t="s">
        <v>3</v>
      </c>
    </row>
    <row r="11" customFormat="false" ht="30" hidden="false" customHeight="true" outlineLevel="0" collapsed="false">
      <c r="A11" s="8" t="s">
        <v>1217</v>
      </c>
      <c r="B11" s="8" t="s">
        <v>1205</v>
      </c>
      <c r="C11" s="8" t="s">
        <v>1218</v>
      </c>
      <c r="D11" s="56" t="s">
        <v>1219</v>
      </c>
      <c r="E11" s="2" t="s">
        <v>3</v>
      </c>
    </row>
    <row r="12" customFormat="false" ht="30" hidden="false" customHeight="true" outlineLevel="0" collapsed="false">
      <c r="A12" s="8" t="s">
        <v>1220</v>
      </c>
      <c r="B12" s="8" t="s">
        <v>1198</v>
      </c>
      <c r="C12" s="8" t="s">
        <v>1221</v>
      </c>
      <c r="D12" s="56" t="s">
        <v>1222</v>
      </c>
      <c r="E12" s="2" t="s">
        <v>3</v>
      </c>
    </row>
    <row r="13" customFormat="false" ht="30" hidden="false" customHeight="true" outlineLevel="0" collapsed="false">
      <c r="A13" s="8" t="s">
        <v>1223</v>
      </c>
      <c r="B13" s="8" t="s">
        <v>1224</v>
      </c>
      <c r="C13" s="8" t="s">
        <v>1225</v>
      </c>
      <c r="D13" s="56" t="s">
        <v>1226</v>
      </c>
      <c r="E13" s="2" t="s">
        <v>3</v>
      </c>
    </row>
    <row r="14" customFormat="false" ht="30" hidden="false" customHeight="true" outlineLevel="0" collapsed="false">
      <c r="A14" s="8" t="s">
        <v>1227</v>
      </c>
      <c r="B14" s="8" t="s">
        <v>1224</v>
      </c>
      <c r="C14" s="8" t="s">
        <v>1228</v>
      </c>
      <c r="D14" s="56" t="s">
        <v>1229</v>
      </c>
      <c r="E14" s="2" t="s">
        <v>3</v>
      </c>
    </row>
    <row r="15" customFormat="false" ht="30" hidden="false" customHeight="true" outlineLevel="0" collapsed="false">
      <c r="A15" s="8" t="s">
        <v>1230</v>
      </c>
      <c r="B15" s="8" t="s">
        <v>1224</v>
      </c>
      <c r="C15" s="8" t="s">
        <v>1231</v>
      </c>
      <c r="D15" s="56" t="s">
        <v>1232</v>
      </c>
      <c r="E15" s="2" t="s">
        <v>3</v>
      </c>
    </row>
    <row r="16" customFormat="false" ht="30" hidden="false" customHeight="true" outlineLevel="0" collapsed="false">
      <c r="A16" s="8" t="s">
        <v>1233</v>
      </c>
      <c r="B16" s="8" t="s">
        <v>1198</v>
      </c>
      <c r="C16" s="8" t="s">
        <v>1234</v>
      </c>
      <c r="D16" s="56" t="s">
        <v>1235</v>
      </c>
      <c r="E16" s="2" t="s">
        <v>3</v>
      </c>
    </row>
    <row r="17" customFormat="false" ht="30" hidden="false" customHeight="true" outlineLevel="0" collapsed="false">
      <c r="A17" s="8" t="s">
        <v>1236</v>
      </c>
      <c r="B17" s="8" t="s">
        <v>1224</v>
      </c>
      <c r="C17" s="8" t="s">
        <v>1237</v>
      </c>
      <c r="D17" s="56" t="s">
        <v>1238</v>
      </c>
      <c r="E17" s="2" t="s">
        <v>3</v>
      </c>
    </row>
    <row r="18" customFormat="false" ht="30" hidden="false" customHeight="true" outlineLevel="0" collapsed="false">
      <c r="A18" s="8" t="s">
        <v>1239</v>
      </c>
      <c r="B18" s="8" t="s">
        <v>1224</v>
      </c>
      <c r="C18" s="8" t="s">
        <v>1240</v>
      </c>
      <c r="D18" s="56" t="s">
        <v>1241</v>
      </c>
      <c r="E18" s="2" t="s">
        <v>3</v>
      </c>
    </row>
    <row r="19" customFormat="false" ht="30" hidden="false" customHeight="true" outlineLevel="0" collapsed="false">
      <c r="A19" s="8" t="s">
        <v>1242</v>
      </c>
      <c r="B19" s="8" t="s">
        <v>1224</v>
      </c>
      <c r="C19" s="8" t="s">
        <v>1243</v>
      </c>
      <c r="D19" s="56" t="s">
        <v>1244</v>
      </c>
      <c r="E19" s="2" t="s">
        <v>3</v>
      </c>
    </row>
    <row r="20" customFormat="false" ht="30" hidden="false" customHeight="true" outlineLevel="0" collapsed="false">
      <c r="A20" s="8" t="s">
        <v>1245</v>
      </c>
      <c r="B20" s="8" t="s">
        <v>1246</v>
      </c>
      <c r="C20" s="8" t="s">
        <v>1247</v>
      </c>
      <c r="D20" s="56" t="s">
        <v>1248</v>
      </c>
      <c r="E20" s="2" t="s">
        <v>3</v>
      </c>
    </row>
    <row r="21" customFormat="false" ht="30" hidden="false" customHeight="true" outlineLevel="0" collapsed="false">
      <c r="A21" s="8" t="s">
        <v>1249</v>
      </c>
      <c r="B21" s="8" t="s">
        <v>1198</v>
      </c>
      <c r="C21" s="8" t="s">
        <v>1250</v>
      </c>
      <c r="D21" s="56" t="s">
        <v>1251</v>
      </c>
      <c r="E21" s="2" t="s">
        <v>3</v>
      </c>
    </row>
    <row r="22" customFormat="false" ht="30" hidden="false" customHeight="true" outlineLevel="0" collapsed="false">
      <c r="A22" s="8" t="s">
        <v>1252</v>
      </c>
      <c r="B22" s="8" t="s">
        <v>1198</v>
      </c>
      <c r="C22" s="8" t="s">
        <v>1253</v>
      </c>
      <c r="D22" s="56" t="s">
        <v>1254</v>
      </c>
      <c r="E22" s="2" t="s">
        <v>3</v>
      </c>
    </row>
    <row r="23" customFormat="false" ht="30" hidden="false" customHeight="true" outlineLevel="0" collapsed="false">
      <c r="A23" s="8" t="s">
        <v>1255</v>
      </c>
      <c r="B23" s="8" t="s">
        <v>1198</v>
      </c>
      <c r="C23" s="8" t="s">
        <v>1256</v>
      </c>
      <c r="D23" s="56" t="s">
        <v>1257</v>
      </c>
      <c r="E23" s="2" t="s">
        <v>3</v>
      </c>
    </row>
    <row r="24" customFormat="false" ht="30" hidden="false" customHeight="true" outlineLevel="0" collapsed="false">
      <c r="A24" s="8" t="s">
        <v>1258</v>
      </c>
      <c r="B24" s="8" t="s">
        <v>1198</v>
      </c>
      <c r="C24" s="8" t="s">
        <v>1259</v>
      </c>
      <c r="D24" s="56" t="s">
        <v>1260</v>
      </c>
      <c r="E24" s="2" t="s">
        <v>3</v>
      </c>
    </row>
    <row r="25" customFormat="false" ht="30" hidden="false" customHeight="true" outlineLevel="0" collapsed="false">
      <c r="A25" s="8" t="s">
        <v>1261</v>
      </c>
      <c r="B25" s="8" t="s">
        <v>1262</v>
      </c>
      <c r="C25" s="8" t="s">
        <v>1263</v>
      </c>
      <c r="D25" s="56" t="s">
        <v>1264</v>
      </c>
      <c r="E25" s="2" t="s">
        <v>3</v>
      </c>
    </row>
    <row r="26" customFormat="false" ht="30" hidden="false" customHeight="true" outlineLevel="0" collapsed="false">
      <c r="A26" s="8" t="s">
        <v>1265</v>
      </c>
      <c r="B26" s="8" t="s">
        <v>1266</v>
      </c>
      <c r="C26" s="8" t="s">
        <v>1267</v>
      </c>
      <c r="D26" s="56" t="s">
        <v>1268</v>
      </c>
      <c r="E26" s="2" t="s">
        <v>3</v>
      </c>
    </row>
    <row r="27" customFormat="false" ht="30" hidden="false" customHeight="true" outlineLevel="0" collapsed="false">
      <c r="A27" s="8" t="s">
        <v>1269</v>
      </c>
      <c r="B27" s="8" t="s">
        <v>1270</v>
      </c>
      <c r="C27" s="8" t="s">
        <v>1271</v>
      </c>
      <c r="D27" s="56" t="s">
        <v>1272</v>
      </c>
      <c r="E27" s="2" t="s">
        <v>3</v>
      </c>
    </row>
    <row r="28" customFormat="false" ht="30" hidden="false" customHeight="true" outlineLevel="0" collapsed="false">
      <c r="A28" s="8" t="s">
        <v>1273</v>
      </c>
      <c r="B28" s="8" t="s">
        <v>1266</v>
      </c>
      <c r="C28" s="8" t="s">
        <v>1274</v>
      </c>
      <c r="D28" s="56" t="s">
        <v>1275</v>
      </c>
      <c r="E28" s="2" t="s">
        <v>3</v>
      </c>
    </row>
    <row r="29" customFormat="false" ht="30" hidden="false" customHeight="true" outlineLevel="0" collapsed="false">
      <c r="A29" s="8" t="s">
        <v>1276</v>
      </c>
      <c r="B29" s="8" t="s">
        <v>1277</v>
      </c>
      <c r="C29" s="8" t="s">
        <v>1278</v>
      </c>
      <c r="D29" s="56" t="s">
        <v>1279</v>
      </c>
      <c r="E29" s="2" t="s">
        <v>3</v>
      </c>
    </row>
    <row r="30" customFormat="false" ht="30" hidden="false" customHeight="true" outlineLevel="0" collapsed="false">
      <c r="A30" s="8" t="s">
        <v>1280</v>
      </c>
      <c r="B30" s="8" t="s">
        <v>1281</v>
      </c>
      <c r="C30" s="8" t="s">
        <v>1282</v>
      </c>
      <c r="D30" s="56" t="s">
        <v>1283</v>
      </c>
      <c r="E30" s="2" t="s">
        <v>3</v>
      </c>
    </row>
    <row r="31" customFormat="false" ht="30" hidden="false" customHeight="true" outlineLevel="0" collapsed="false">
      <c r="A31" s="8" t="s">
        <v>1284</v>
      </c>
      <c r="B31" s="8" t="s">
        <v>1281</v>
      </c>
      <c r="C31" s="8" t="s">
        <v>1285</v>
      </c>
      <c r="D31" s="56" t="s">
        <v>1286</v>
      </c>
      <c r="E31" s="2" t="s">
        <v>3</v>
      </c>
    </row>
    <row r="32" customFormat="false" ht="30" hidden="false" customHeight="true" outlineLevel="0" collapsed="false">
      <c r="A32" s="8" t="s">
        <v>1287</v>
      </c>
      <c r="B32" s="8" t="s">
        <v>1288</v>
      </c>
      <c r="C32" s="8" t="s">
        <v>1289</v>
      </c>
      <c r="D32" s="56" t="s">
        <v>1290</v>
      </c>
      <c r="E32" s="2" t="s">
        <v>3</v>
      </c>
    </row>
    <row r="33" customFormat="false" ht="30" hidden="false" customHeight="true" outlineLevel="0" collapsed="false">
      <c r="A33" s="8" t="s">
        <v>1291</v>
      </c>
      <c r="B33" s="8" t="s">
        <v>1288</v>
      </c>
      <c r="C33" s="8" t="s">
        <v>1292</v>
      </c>
      <c r="D33" s="56" t="s">
        <v>1293</v>
      </c>
      <c r="E33" s="2" t="s">
        <v>3</v>
      </c>
    </row>
    <row r="34" customFormat="false" ht="30" hidden="false" customHeight="true" outlineLevel="0" collapsed="false">
      <c r="A34" s="8" t="s">
        <v>1294</v>
      </c>
      <c r="B34" s="8" t="s">
        <v>1295</v>
      </c>
      <c r="C34" s="8" t="s">
        <v>1296</v>
      </c>
      <c r="D34" s="56" t="s">
        <v>1297</v>
      </c>
      <c r="E34" s="2" t="s">
        <v>3</v>
      </c>
    </row>
    <row r="35" customFormat="false" ht="30" hidden="false" customHeight="true" outlineLevel="0" collapsed="false">
      <c r="A35" s="8" t="s">
        <v>1298</v>
      </c>
      <c r="B35" s="8" t="s">
        <v>1288</v>
      </c>
      <c r="C35" s="8" t="s">
        <v>1299</v>
      </c>
      <c r="D35" s="56" t="s">
        <v>1300</v>
      </c>
      <c r="E35" s="2" t="s">
        <v>3</v>
      </c>
    </row>
    <row r="36" customFormat="false" ht="30" hidden="false" customHeight="true" outlineLevel="0" collapsed="false">
      <c r="A36" s="8" t="s">
        <v>1301</v>
      </c>
      <c r="B36" s="8" t="s">
        <v>1288</v>
      </c>
      <c r="C36" s="8" t="s">
        <v>1302</v>
      </c>
      <c r="D36" s="56" t="s">
        <v>1303</v>
      </c>
      <c r="E36" s="2" t="s">
        <v>3</v>
      </c>
    </row>
    <row r="37" customFormat="false" ht="30" hidden="false" customHeight="true" outlineLevel="0" collapsed="false">
      <c r="A37" s="8" t="s">
        <v>1304</v>
      </c>
      <c r="B37" s="8" t="s">
        <v>1305</v>
      </c>
      <c r="C37" s="8" t="s">
        <v>1306</v>
      </c>
      <c r="D37" s="56" t="s">
        <v>1307</v>
      </c>
      <c r="E37" s="2" t="s">
        <v>3</v>
      </c>
    </row>
    <row r="38" customFormat="false" ht="30" hidden="false" customHeight="true" outlineLevel="0" collapsed="false">
      <c r="A38" s="8" t="s">
        <v>1308</v>
      </c>
      <c r="B38" s="8" t="s">
        <v>1305</v>
      </c>
      <c r="C38" s="8" t="s">
        <v>1309</v>
      </c>
      <c r="D38" s="56" t="s">
        <v>1310</v>
      </c>
      <c r="E38" s="2" t="s">
        <v>3</v>
      </c>
    </row>
    <row r="39" customFormat="false" ht="30" hidden="false" customHeight="true" outlineLevel="0" collapsed="false">
      <c r="A39" s="8" t="s">
        <v>1311</v>
      </c>
      <c r="B39" s="8" t="s">
        <v>1305</v>
      </c>
      <c r="C39" s="8" t="s">
        <v>1312</v>
      </c>
      <c r="D39" s="56" t="s">
        <v>1313</v>
      </c>
      <c r="E39" s="2" t="s">
        <v>3</v>
      </c>
    </row>
    <row r="40" customFormat="false" ht="30" hidden="false" customHeight="true" outlineLevel="0" collapsed="false">
      <c r="A40" s="8" t="s">
        <v>1314</v>
      </c>
      <c r="B40" s="8" t="s">
        <v>1305</v>
      </c>
      <c r="C40" s="8" t="s">
        <v>1315</v>
      </c>
      <c r="D40" s="56" t="s">
        <v>1316</v>
      </c>
      <c r="E40" s="2" t="s">
        <v>3</v>
      </c>
    </row>
    <row r="41" customFormat="false" ht="30" hidden="false" customHeight="true" outlineLevel="0" collapsed="false">
      <c r="A41" s="8" t="s">
        <v>1317</v>
      </c>
      <c r="B41" s="8" t="s">
        <v>1318</v>
      </c>
      <c r="C41" s="8" t="s">
        <v>1319</v>
      </c>
      <c r="D41" s="56" t="s">
        <v>1320</v>
      </c>
      <c r="E41" s="2" t="s">
        <v>3</v>
      </c>
    </row>
    <row r="42" customFormat="false" ht="30" hidden="false" customHeight="true" outlineLevel="0" collapsed="false">
      <c r="A42" s="8" t="s">
        <v>1321</v>
      </c>
      <c r="B42" s="8" t="s">
        <v>1318</v>
      </c>
      <c r="C42" s="8" t="s">
        <v>1322</v>
      </c>
      <c r="D42" s="56" t="s">
        <v>1323</v>
      </c>
      <c r="E42" s="2" t="s">
        <v>3</v>
      </c>
    </row>
    <row r="43" customFormat="false" ht="30" hidden="false" customHeight="true" outlineLevel="0" collapsed="false">
      <c r="A43" s="8" t="s">
        <v>1324</v>
      </c>
      <c r="B43" s="8" t="s">
        <v>1318</v>
      </c>
      <c r="C43" s="8" t="s">
        <v>1325</v>
      </c>
      <c r="D43" s="56" t="s">
        <v>1326</v>
      </c>
      <c r="E43" s="2" t="s">
        <v>3</v>
      </c>
    </row>
    <row r="44" customFormat="false" ht="30" hidden="false" customHeight="true" outlineLevel="0" collapsed="false">
      <c r="A44" s="8" t="s">
        <v>1327</v>
      </c>
      <c r="B44" s="8" t="s">
        <v>1328</v>
      </c>
      <c r="C44" s="8" t="s">
        <v>1329</v>
      </c>
      <c r="D44" s="56" t="s">
        <v>1330</v>
      </c>
      <c r="E44" s="2" t="s">
        <v>3</v>
      </c>
    </row>
    <row r="45" customFormat="false" ht="30" hidden="false" customHeight="true" outlineLevel="0" collapsed="false">
      <c r="A45" s="8" t="s">
        <v>1331</v>
      </c>
      <c r="B45" s="8" t="s">
        <v>1332</v>
      </c>
      <c r="C45" s="8" t="s">
        <v>1333</v>
      </c>
      <c r="D45" s="56" t="s">
        <v>1334</v>
      </c>
      <c r="E45" s="2" t="s">
        <v>3</v>
      </c>
    </row>
    <row r="46" customFormat="false" ht="30" hidden="false" customHeight="true" outlineLevel="0" collapsed="false">
      <c r="A46" s="8" t="s">
        <v>1335</v>
      </c>
      <c r="B46" s="8" t="s">
        <v>1332</v>
      </c>
      <c r="C46" s="8" t="s">
        <v>1336</v>
      </c>
      <c r="D46" s="56" t="s">
        <v>1337</v>
      </c>
      <c r="E46" s="2" t="s">
        <v>3</v>
      </c>
    </row>
    <row r="47" customFormat="false" ht="30" hidden="false" customHeight="true" outlineLevel="0" collapsed="false">
      <c r="A47" s="8" t="s">
        <v>1338</v>
      </c>
      <c r="B47" s="8" t="s">
        <v>1305</v>
      </c>
      <c r="C47" s="8" t="s">
        <v>1339</v>
      </c>
      <c r="D47" s="56" t="s">
        <v>1340</v>
      </c>
      <c r="E47" s="2" t="s">
        <v>3</v>
      </c>
    </row>
    <row r="48" customFormat="false" ht="30" hidden="false" customHeight="true" outlineLevel="0" collapsed="false">
      <c r="A48" s="8" t="s">
        <v>1341</v>
      </c>
      <c r="B48" s="8" t="s">
        <v>1262</v>
      </c>
      <c r="C48" s="8" t="s">
        <v>1342</v>
      </c>
      <c r="D48" s="56" t="s">
        <v>1343</v>
      </c>
      <c r="E48" s="2" t="s">
        <v>3</v>
      </c>
    </row>
    <row r="49" customFormat="false" ht="30" hidden="false" customHeight="true" outlineLevel="0" collapsed="false">
      <c r="A49" s="8" t="s">
        <v>1344</v>
      </c>
      <c r="B49" s="8" t="s">
        <v>1345</v>
      </c>
      <c r="C49" s="8" t="s">
        <v>1346</v>
      </c>
      <c r="D49" s="56" t="s">
        <v>1347</v>
      </c>
      <c r="E49" s="2" t="s">
        <v>3</v>
      </c>
    </row>
    <row r="50" customFormat="false" ht="30" hidden="false" customHeight="true" outlineLevel="0" collapsed="false">
      <c r="A50" s="8" t="s">
        <v>1348</v>
      </c>
      <c r="B50" s="8" t="s">
        <v>1295</v>
      </c>
      <c r="C50" s="8" t="s">
        <v>1349</v>
      </c>
      <c r="D50" s="56" t="s">
        <v>1350</v>
      </c>
      <c r="E50" s="2" t="s">
        <v>3</v>
      </c>
    </row>
    <row r="51" customFormat="false" ht="30" hidden="false" customHeight="true" outlineLevel="0" collapsed="false">
      <c r="A51" s="8" t="s">
        <v>1351</v>
      </c>
      <c r="B51" s="8" t="s">
        <v>1352</v>
      </c>
      <c r="C51" s="8" t="s">
        <v>1353</v>
      </c>
      <c r="D51" s="56" t="s">
        <v>1354</v>
      </c>
      <c r="E51" s="2" t="s">
        <v>3</v>
      </c>
    </row>
    <row r="52" customFormat="false" ht="30" hidden="false" customHeight="true" outlineLevel="0" collapsed="false">
      <c r="A52" s="8" t="s">
        <v>1355</v>
      </c>
      <c r="B52" s="8" t="s">
        <v>1356</v>
      </c>
      <c r="C52" s="8" t="s">
        <v>1357</v>
      </c>
      <c r="D52" s="56" t="s">
        <v>1358</v>
      </c>
      <c r="E52" s="2" t="s">
        <v>3</v>
      </c>
    </row>
    <row r="53" customFormat="false" ht="30" hidden="false" customHeight="true" outlineLevel="0" collapsed="false">
      <c r="A53" s="8" t="s">
        <v>1359</v>
      </c>
      <c r="B53" s="8" t="s">
        <v>1360</v>
      </c>
      <c r="C53" s="8" t="s">
        <v>1361</v>
      </c>
      <c r="D53" s="56" t="s">
        <v>1362</v>
      </c>
      <c r="E53" s="2" t="s">
        <v>3</v>
      </c>
    </row>
    <row r="54" customFormat="false" ht="30" hidden="false" customHeight="true" outlineLevel="0" collapsed="false">
      <c r="A54" s="8" t="s">
        <v>1363</v>
      </c>
      <c r="B54" s="8" t="s">
        <v>1318</v>
      </c>
      <c r="C54" s="8" t="s">
        <v>1364</v>
      </c>
      <c r="D54" s="56" t="s">
        <v>1365</v>
      </c>
      <c r="E54" s="2" t="s">
        <v>3</v>
      </c>
    </row>
    <row r="55" customFormat="false" ht="30" hidden="false" customHeight="true" outlineLevel="0" collapsed="false">
      <c r="A55" s="8" t="s">
        <v>1366</v>
      </c>
      <c r="B55" s="8" t="s">
        <v>1318</v>
      </c>
      <c r="C55" s="8" t="s">
        <v>1367</v>
      </c>
      <c r="D55" s="56" t="s">
        <v>1368</v>
      </c>
      <c r="E55" s="2" t="s">
        <v>3</v>
      </c>
    </row>
    <row r="56" customFormat="false" ht="30" hidden="false" customHeight="true" outlineLevel="0" collapsed="false">
      <c r="A56" s="8" t="s">
        <v>1369</v>
      </c>
      <c r="B56" s="8" t="s">
        <v>1246</v>
      </c>
      <c r="C56" s="8" t="s">
        <v>1370</v>
      </c>
      <c r="D56" s="56" t="s">
        <v>1371</v>
      </c>
      <c r="E56" s="2" t="s">
        <v>3</v>
      </c>
    </row>
    <row r="57" customFormat="false" ht="30" hidden="false" customHeight="true" outlineLevel="0" collapsed="false">
      <c r="A57" s="8" t="s">
        <v>1372</v>
      </c>
      <c r="B57" s="8" t="s">
        <v>1262</v>
      </c>
      <c r="C57" s="8" t="s">
        <v>1373</v>
      </c>
      <c r="D57" s="56" t="s">
        <v>1374</v>
      </c>
      <c r="E57" s="2" t="s">
        <v>3</v>
      </c>
    </row>
    <row r="58" customFormat="false" ht="30" hidden="false" customHeight="true" outlineLevel="0" collapsed="false">
      <c r="A58" s="8" t="s">
        <v>1375</v>
      </c>
      <c r="B58" s="8" t="s">
        <v>1376</v>
      </c>
      <c r="C58" s="8" t="s">
        <v>1377</v>
      </c>
      <c r="D58" s="56" t="s">
        <v>1378</v>
      </c>
      <c r="E58" s="2" t="s">
        <v>3</v>
      </c>
    </row>
    <row r="59" customFormat="false" ht="30" hidden="false" customHeight="true" outlineLevel="0" collapsed="false">
      <c r="A59" s="8" t="s">
        <v>1379</v>
      </c>
      <c r="B59" s="8" t="s">
        <v>1380</v>
      </c>
      <c r="C59" s="8" t="s">
        <v>1381</v>
      </c>
      <c r="D59" s="56" t="s">
        <v>1382</v>
      </c>
      <c r="E59" s="2" t="s">
        <v>3</v>
      </c>
    </row>
    <row r="60" customFormat="false" ht="30" hidden="false" customHeight="true" outlineLevel="0" collapsed="false">
      <c r="A60" s="8" t="s">
        <v>1383</v>
      </c>
      <c r="B60" s="8" t="s">
        <v>1246</v>
      </c>
      <c r="C60" s="8" t="s">
        <v>1384</v>
      </c>
      <c r="D60" s="56" t="s">
        <v>1385</v>
      </c>
      <c r="E60" s="2" t="s">
        <v>3</v>
      </c>
    </row>
    <row r="61" customFormat="false" ht="15" hidden="false" customHeight="true" outlineLevel="0" collapsed="false">
      <c r="A61" s="2"/>
      <c r="B61" s="2"/>
      <c r="C61" s="2"/>
      <c r="D61" s="2"/>
      <c r="E61" s="2"/>
    </row>
    <row r="62" customFormat="false" ht="15" hidden="false" customHeight="true" outlineLevel="0" collapsed="false">
      <c r="A62" s="2"/>
      <c r="B62" s="2"/>
      <c r="C62" s="2"/>
      <c r="D62" s="2"/>
      <c r="E62" s="2"/>
    </row>
    <row r="63" customFormat="false" ht="15" hidden="false" customHeight="true" outlineLevel="0" collapsed="false">
      <c r="A63" s="7" t="s">
        <v>1386</v>
      </c>
      <c r="B63" s="2"/>
      <c r="C63" s="2"/>
      <c r="D63" s="2"/>
      <c r="E63" s="2"/>
    </row>
    <row r="64" customFormat="false" ht="99.75" hidden="false" customHeight="true" outlineLevel="0" collapsed="false">
      <c r="A64" s="53" t="s">
        <v>1387</v>
      </c>
      <c r="B64" s="2"/>
      <c r="C64" s="8" t="s">
        <v>1388</v>
      </c>
      <c r="D64" s="2"/>
      <c r="E64" s="2"/>
    </row>
    <row r="65" customFormat="false" ht="99.75" hidden="false" customHeight="true" outlineLevel="0" collapsed="false">
      <c r="A65" s="53" t="s">
        <v>1389</v>
      </c>
      <c r="B65" s="2"/>
      <c r="C65" s="8" t="s">
        <v>1390</v>
      </c>
      <c r="D65" s="2"/>
      <c r="E65" s="2"/>
    </row>
    <row r="66" customFormat="false" ht="99.75" hidden="false" customHeight="true" outlineLevel="0" collapsed="false">
      <c r="A66" s="53" t="s">
        <v>1391</v>
      </c>
      <c r="B66" s="2"/>
      <c r="C66" s="8" t="s">
        <v>1392</v>
      </c>
      <c r="D66" s="2"/>
      <c r="E66" s="2"/>
    </row>
    <row r="67" customFormat="false" ht="99.75" hidden="false" customHeight="true" outlineLevel="0" collapsed="false">
      <c r="A67" s="53" t="s">
        <v>1393</v>
      </c>
      <c r="B67" s="2"/>
      <c r="C67" s="8" t="s">
        <v>1394</v>
      </c>
      <c r="D67" s="2"/>
      <c r="E67" s="2"/>
    </row>
    <row r="68" customFormat="false" ht="15" hidden="false" customHeight="true" outlineLevel="0" collapsed="false">
      <c r="A68" s="2"/>
      <c r="B68" s="2"/>
      <c r="C68" s="2"/>
      <c r="D68" s="2"/>
      <c r="E68" s="2"/>
    </row>
    <row r="69" customFormat="false" ht="15" hidden="false" customHeight="true" outlineLevel="0" collapsed="false">
      <c r="A69" s="7" t="s">
        <v>1395</v>
      </c>
      <c r="B69" s="2"/>
      <c r="C69" s="2"/>
      <c r="D69" s="2"/>
      <c r="E69" s="2"/>
    </row>
    <row r="70" customFormat="false" ht="90" hidden="false" customHeight="true" outlineLevel="0" collapsed="false">
      <c r="A70" s="53" t="s">
        <v>1396</v>
      </c>
      <c r="B70" s="2"/>
      <c r="C70" s="8" t="s">
        <v>1397</v>
      </c>
      <c r="D70" s="2"/>
      <c r="E70" s="2"/>
    </row>
    <row r="71" customFormat="false" ht="90" hidden="false" customHeight="true" outlineLevel="0" collapsed="false">
      <c r="A71" s="53" t="s">
        <v>1398</v>
      </c>
      <c r="B71" s="2"/>
      <c r="C71" s="8" t="s">
        <v>1399</v>
      </c>
      <c r="D71" s="2"/>
      <c r="E71" s="2"/>
    </row>
    <row r="72" customFormat="false" ht="90" hidden="false" customHeight="true" outlineLevel="0" collapsed="false">
      <c r="A72" s="53" t="s">
        <v>1400</v>
      </c>
      <c r="B72" s="2"/>
      <c r="C72" s="8" t="s">
        <v>1401</v>
      </c>
      <c r="D72" s="2"/>
      <c r="E72" s="2"/>
    </row>
    <row r="73" customFormat="false" ht="90" hidden="false" customHeight="true" outlineLevel="0" collapsed="false">
      <c r="A73" s="53" t="s">
        <v>1402</v>
      </c>
      <c r="B73" s="2"/>
      <c r="C73" s="8" t="s">
        <v>1403</v>
      </c>
      <c r="D73" s="2"/>
      <c r="E73" s="2"/>
    </row>
    <row r="74" customFormat="false" ht="90" hidden="false" customHeight="true" outlineLevel="0" collapsed="false">
      <c r="A74" s="53" t="s">
        <v>1404</v>
      </c>
      <c r="B74" s="2"/>
      <c r="C74" s="8" t="s">
        <v>1405</v>
      </c>
      <c r="D74" s="2"/>
      <c r="E74" s="2"/>
    </row>
  </sheetData>
  <hyperlinks>
    <hyperlink ref="D5" r:id="rId1" display="https://lanserhof.com/en/lanserhof-tegernsee/treatments/package-longevity-tegernsee/"/>
    <hyperlink ref="D6" r:id="rId2" display="https://lanserhof.com/en/lanserhof-lans/treatments/package-longevity-lans/"/>
    <hyperlink ref="D7" r:id="rId3" display="https://www.serenityways.com/clinics/lanserhof-tegernsee"/>
    <hyperlink ref="D8" r:id="rId4" display="https://shawellness.com/en/advanced-longevity/"/>
    <hyperlink ref="D9" r:id="rId5" display="https://www.serenityways.com/clinics/sha-spain"/>
    <hyperlink ref="D10" r:id="rId6" display="https://www.cliniquelaprairie.com/programs/master-detox/"/>
    <hyperlink ref="D11" r:id="rId7" display="https://swissmedexpert.com/clinic-la-prairie"/>
    <hyperlink ref="D12" r:id="rId8" display="https://www.chenot.com/chenot-palace/weggis/programmes/"/>
    <hyperlink ref="D13" r:id="rId9" display="https://www.chenot.com/wp-content/uploads/2024/05/Chenot-Palace-Weggis-Brochure-EN.pdf"/>
    <hyperlink ref="D14" r:id="rId10" display="https://www.vivamayr.com/en/downloads/"/>
    <hyperlink ref="D15" r:id="rId11" display="https://www.vivamayr.com/app/uploads/2025/01/VIVAMAYR_MW_Preisliste_E_inkl.-Programme_15.01.2024.pdf"/>
    <hyperlink ref="D16" r:id="rId12" display="https://www.buchinger-wilhelmi.com/en/buchinger-wilhelmi-lake-constance/arrangements-packages/"/>
    <hyperlink ref="D17" r:id="rId13" display="https://www.buchinger-wilhelmi.com/wp-content/uploads/2024/11/What-we-offer-2025_web_V1.3.pdf"/>
    <hyperlink ref="D18" r:id="rId14" display="https://www.buchinger-wilhelmi.com/wp-content/uploads/2024/11/What-we-offer-2025_web_V1.0.pdf"/>
    <hyperlink ref="D19" r:id="rId15" display="https://www.sixsenses.com/en/wellness-spa/personalized-wellness/longevity/"/>
    <hyperlink ref="D20" r:id="rId16" display="https://www.hotel-online.com/news/six-senses-2025-wellness-forecast"/>
    <hyperlink ref="D21" r:id="rId17" display="https://anova-irm.com/en/diagnostics/diagnostic-work-up"/>
    <hyperlink ref="D22" r:id="rId18" display="https://www.radiologie-dr-jung.de/en/mri-cost-overview/"/>
    <hyperlink ref="D23" r:id="rId19" display="https://prenuvo.com/pricing"/>
    <hyperlink ref="D24" r:id="rId20" display="https://www.ezra.com/pricing"/>
    <hyperlink ref="D25" r:id="rId21" display="https://www.sleepfoundation.org/sleep-studies/how-much-does-a-sleep-study-cost"/>
    <hyperlink ref="D26" r:id="rId22" display="https://shop.trudiagnostic.com/products/truage-complete-epigenetic-collection"/>
    <hyperlink ref="D27" r:id="rId23" display="https://www.longevityadvice.com/best-biological-age-tests/"/>
    <hyperlink ref="D28" r:id="rId24" display="https://www.viome.com/"/>
    <hyperlink ref="D29" r:id="rId25" display="https://www.innerbody.com/viome-review"/>
    <hyperlink ref="D30" r:id="rId26" display="https://www.hvs.com/article/9999-HVS-US-Hotel-Development-Cost-Survey-2024"/>
    <hyperlink ref="D31" r:id="rId27" display="https://www.hvs.com/article/10219-hvs-us-hotel-development-cost-survey-2025"/>
    <hyperlink ref="D32" r:id="rId28" display="https://www.cushmanwakefield.com/en/insights/hotel-investor-compass"/>
    <hyperlink ref="D33" r:id="rId29" display="https://www.cushmanwakefield.com/en/spain/news/2024/05/hotel-investor-campass-2024"/>
    <hyperlink ref="D34" r:id="rId30" display="https://www.statista.com/statistics/1380696/hotel-construction-costs-european-cities/"/>
    <hyperlink ref="D35" r:id="rId31" display="https://globalwellnessinstitute.org/wp-content/uploads/2024/05/GWI-Wellness-Real-Estate-2024.pdf"/>
    <hyperlink ref="D36" r:id="rId32" display="https://globalwellnessinstitute.org/press-room/press-releases/build-well-to-live-well-2025/"/>
    <hyperlink ref="D37" r:id="rId33" display="https://www.federalregister.gov/documents/2024/04/29/2024-09076/amendment-to-existing-controls-on-russia-and-belarus-under-the-export-administration-regulations-ear"/>
    <hyperlink ref="D38" r:id="rId34" display="https://www.bis.gov/media/961"/>
    <hyperlink ref="D39" r:id="rId35" display="https://finance.ec.europa.eu/system/files/2023-02/faqs-sanctions-russia-medical_en.pdf"/>
    <hyperlink ref="D40" r:id="rId36" display="https://eur-lex.europa.eu/eli/reg/2014/833/oj/eng"/>
    <hyperlink ref="D41" r:id="rId37" display="https://brace-lf.com/en/analytics/pharmaceutical-and-medical-law/parallel-import-russia-medicines-medical-devices"/>
    <hyperlink ref="D42" r:id="rId38" display="https://www.morganlewis.com/pubs/2022/04/update-russia-legalizes-parallel-import-of-certain-goods"/>
    <hyperlink ref="D43" r:id="rId39" display="https://denuo.legal/en/insights/news/240711/"/>
    <hyperlink ref="D44" r:id="rId40" display="https://www.trade.gov/country-commercial-guides/russia-medical-equipment"/>
    <hyperlink ref="D45" r:id="rId41" display="https://securiti.ai/russian-federal-law-no-152-fz/"/>
    <hyperlink ref="D46" r:id="rId42" display="https://konsugroup.com/en/news/new-requirements-personal-data-protection-russia-2025-07/"/>
    <hyperlink ref="D47" r:id="rId43" display="https://www.wto.org/english/res_e/statis_e/daily_update_e/tariff_profiles/RU_E.pdf"/>
    <hyperlink ref="D48" r:id="rId44" display="https://www.tonlexing.com/customs-clearance-in-russia/"/>
    <hyperlink ref="D49" r:id="rId45" display="https://www.mindray.com/en/media-center/blogs/unlimited-potentials-mindray-s-story-in-russia"/>
    <hyperlink ref="D50" r:id="rId46" display="https://tadviser.com/index.php/Article:Medical_Equipment_(Russian_Market)"/>
    <hyperlink ref="D51" r:id="rId47" display="https://schmidt-export.com/news/new-rules-registration-medical-devices-starting-march-1-2025-russia"/>
    <hyperlink ref="D52" r:id="rId48" display="https://www.focus-economics.com/country-indicator/russia/exchange-rate/"/>
    <hyperlink ref="D53" r:id="rId49" display="https://asiatimes.com/2024/12/ruble-volatility-exposes-russias-emerging-economic-crisis/"/>
    <hyperlink ref="D54" r:id="rId50" display="https://www.cooley.com/news/insight/2024/2024-05-06-new-license-exception-authorizes-exports-of-previously-restricted-medical-devices-and-related-items"/>
    <hyperlink ref="D55" r:id="rId51" display="https://www.curtis.com/our-firm/news/the-eu-adopts-its-14th-sanctions-package-against-russia"/>
    <hyperlink ref="D56" r:id="rId52" display="https://www.hospitalitynet.org/news/4125285.html"/>
    <hyperlink ref="D57" r:id="rId53" display="https://www.bodyspec.com/blog/post/how_much_does_a_dexa_scan_cost_in_major_cities"/>
    <hyperlink ref="D58" r:id="rId54" display="https://www.blockimaging.com/ge-and-hologic-bone-densitometer-price-cost-guide"/>
    <hyperlink ref="D59" r:id="rId55" display="https://www.healingholidays.com/accommodation/germany/lanserhof-tegernsee"/>
    <hyperlink ref="D60" r:id="rId56" display="https://globetrender.com/2025/12/02/four-new-six-senses-resorts-2026/"/>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6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4" topLeftCell="A15"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0" width="38"/>
    <col collapsed="false" customWidth="true" hidden="false" outlineLevel="0" max="2" min="2" style="0" width="32"/>
    <col collapsed="false" customWidth="true" hidden="false" outlineLevel="0" max="3" min="3" style="0" width="36"/>
    <col collapsed="false" customWidth="true" hidden="false" outlineLevel="0" max="4" min="4" style="0" width="28"/>
    <col collapsed="false" customWidth="true" hidden="false" outlineLevel="0" max="5" min="5" style="0" width="36"/>
    <col collapsed="false" customWidth="true" hidden="false" outlineLevel="0" max="6" min="6" style="0" width="12"/>
    <col collapsed="false" customWidth="true" hidden="false" outlineLevel="0" max="7" min="7" style="0" width="38"/>
    <col collapsed="false" customWidth="true" hidden="false" outlineLevel="0" max="8" min="8" style="0" width="12"/>
    <col collapsed="false" customWidth="true" hidden="false" outlineLevel="0" max="9" min="9" style="0" width="32"/>
  </cols>
  <sheetData>
    <row r="1" customFormat="false" ht="17.35" hidden="false" customHeight="false" outlineLevel="0" collapsed="false">
      <c r="A1" s="57" t="s">
        <v>1406</v>
      </c>
      <c r="B1" s="57"/>
      <c r="C1" s="57"/>
      <c r="D1" s="57"/>
      <c r="E1" s="57"/>
      <c r="F1" s="57"/>
    </row>
    <row r="3" customFormat="false" ht="31.5" hidden="false" customHeight="true" outlineLevel="0" collapsed="false">
      <c r="A3" s="13" t="s">
        <v>1060</v>
      </c>
      <c r="B3" s="13" t="s">
        <v>1407</v>
      </c>
      <c r="C3" s="13" t="s">
        <v>1408</v>
      </c>
      <c r="D3" s="13" t="s">
        <v>1409</v>
      </c>
      <c r="E3" s="13" t="s">
        <v>1410</v>
      </c>
      <c r="F3" s="13" t="s">
        <v>1411</v>
      </c>
    </row>
    <row r="4" customFormat="false" ht="389.55" hidden="false" customHeight="false" outlineLevel="0" collapsed="false">
      <c r="A4" s="58" t="s">
        <v>1412</v>
      </c>
      <c r="B4" s="59" t="n">
        <v>1850</v>
      </c>
      <c r="C4" s="59" t="n">
        <v>2050</v>
      </c>
      <c r="D4" s="59" t="n">
        <v>188600</v>
      </c>
      <c r="E4" s="58" t="s">
        <v>1413</v>
      </c>
      <c r="F4" s="58" t="s">
        <v>1414</v>
      </c>
    </row>
    <row r="5" customFormat="false" ht="88.8" hidden="false" customHeight="false" outlineLevel="0" collapsed="false">
      <c r="A5" s="25" t="s">
        <v>1415</v>
      </c>
      <c r="B5" s="60" t="n">
        <v>580</v>
      </c>
      <c r="C5" s="60" t="n">
        <v>620</v>
      </c>
      <c r="D5" s="60" t="n">
        <v>57040</v>
      </c>
      <c r="E5" s="25" t="s">
        <v>1416</v>
      </c>
      <c r="F5" s="25" t="s">
        <v>1417</v>
      </c>
    </row>
    <row r="6" customFormat="false" ht="147" hidden="false" customHeight="false" outlineLevel="0" collapsed="false">
      <c r="A6" s="58" t="s">
        <v>1418</v>
      </c>
      <c r="B6" s="59" t="n">
        <v>480</v>
      </c>
      <c r="C6" s="59" t="n">
        <v>620</v>
      </c>
      <c r="D6" s="59" t="n">
        <v>57040</v>
      </c>
      <c r="E6" s="58" t="s">
        <v>1419</v>
      </c>
      <c r="F6" s="58" t="s">
        <v>1420</v>
      </c>
    </row>
    <row r="7" customFormat="false" ht="166.4" hidden="false" customHeight="false" outlineLevel="0" collapsed="false">
      <c r="A7" s="25" t="s">
        <v>1421</v>
      </c>
      <c r="B7" s="60" t="n">
        <v>420</v>
      </c>
      <c r="C7" s="60" t="n">
        <v>350</v>
      </c>
      <c r="D7" s="60" t="n">
        <v>32200</v>
      </c>
      <c r="E7" s="25" t="s">
        <v>1422</v>
      </c>
      <c r="F7" s="25" t="s">
        <v>1423</v>
      </c>
    </row>
    <row r="8" customFormat="false" ht="156.7" hidden="false" customHeight="false" outlineLevel="0" collapsed="false">
      <c r="A8" s="58" t="s">
        <v>1424</v>
      </c>
      <c r="B8" s="59" t="n">
        <v>480</v>
      </c>
      <c r="C8" s="59" t="n">
        <v>380</v>
      </c>
      <c r="D8" s="59" t="n">
        <v>34960</v>
      </c>
      <c r="E8" s="58" t="s">
        <v>1425</v>
      </c>
      <c r="F8" s="58" t="s">
        <v>1426</v>
      </c>
    </row>
    <row r="9" customFormat="false" ht="214.9" hidden="false" customHeight="false" outlineLevel="0" collapsed="false">
      <c r="A9" s="25" t="s">
        <v>1427</v>
      </c>
      <c r="B9" s="60" t="n">
        <v>3800</v>
      </c>
      <c r="C9" s="60" t="n">
        <v>4500</v>
      </c>
      <c r="D9" s="60" t="n">
        <v>414000</v>
      </c>
      <c r="E9" s="25" t="s">
        <v>1428</v>
      </c>
      <c r="F9" s="25" t="s">
        <v>1429</v>
      </c>
    </row>
    <row r="12" customFormat="false" ht="17.35" hidden="false" customHeight="false" outlineLevel="0" collapsed="false">
      <c r="A12" s="57" t="s">
        <v>1430</v>
      </c>
      <c r="B12" s="57"/>
      <c r="C12" s="57"/>
      <c r="D12" s="57"/>
      <c r="E12" s="57"/>
      <c r="F12" s="57"/>
      <c r="G12" s="57"/>
      <c r="H12" s="57"/>
      <c r="I12" s="57"/>
    </row>
    <row r="14" customFormat="false" ht="31.5" hidden="false" customHeight="true" outlineLevel="0" collapsed="false">
      <c r="A14" s="13" t="s">
        <v>1431</v>
      </c>
      <c r="B14" s="13" t="s">
        <v>1432</v>
      </c>
      <c r="C14" s="13" t="s">
        <v>1433</v>
      </c>
      <c r="D14" s="13" t="s">
        <v>1434</v>
      </c>
      <c r="E14" s="13" t="s">
        <v>1407</v>
      </c>
      <c r="F14" s="13" t="s">
        <v>1435</v>
      </c>
      <c r="G14" s="13" t="s">
        <v>1436</v>
      </c>
      <c r="H14" s="13" t="s">
        <v>1437</v>
      </c>
      <c r="I14" s="13" t="s">
        <v>1438</v>
      </c>
    </row>
    <row r="15" customFormat="false" ht="49.95" hidden="false" customHeight="false" outlineLevel="0" collapsed="false">
      <c r="A15" s="58" t="s">
        <v>1439</v>
      </c>
      <c r="B15" s="58" t="s">
        <v>1440</v>
      </c>
      <c r="C15" s="58" t="s">
        <v>1441</v>
      </c>
      <c r="D15" s="58" t="s">
        <v>1442</v>
      </c>
      <c r="E15" s="59" t="n">
        <v>460</v>
      </c>
      <c r="F15" s="59" t="n">
        <v>43240</v>
      </c>
      <c r="G15" s="58" t="s">
        <v>1443</v>
      </c>
      <c r="H15" s="58" t="s">
        <v>1444</v>
      </c>
      <c r="I15" s="58" t="s">
        <v>1445</v>
      </c>
    </row>
    <row r="16" customFormat="false" ht="69.4" hidden="false" customHeight="false" outlineLevel="0" collapsed="false">
      <c r="A16" s="25" t="s">
        <v>1446</v>
      </c>
      <c r="B16" s="25" t="s">
        <v>1447</v>
      </c>
      <c r="C16" s="25" t="s">
        <v>1448</v>
      </c>
      <c r="D16" s="25" t="s">
        <v>1449</v>
      </c>
      <c r="E16" s="60" t="n">
        <v>0</v>
      </c>
      <c r="F16" s="60" t="n">
        <v>0</v>
      </c>
      <c r="G16" s="25" t="s">
        <v>1450</v>
      </c>
      <c r="H16" s="25" t="s">
        <v>1451</v>
      </c>
      <c r="I16" s="25" t="s">
        <v>1452</v>
      </c>
    </row>
    <row r="17" customFormat="false" ht="59.7" hidden="false" customHeight="false" outlineLevel="0" collapsed="false">
      <c r="A17" s="58" t="s">
        <v>1453</v>
      </c>
      <c r="B17" s="58" t="s">
        <v>1454</v>
      </c>
      <c r="C17" s="58" t="s">
        <v>1455</v>
      </c>
      <c r="D17" s="58" t="s">
        <v>1456</v>
      </c>
      <c r="E17" s="59" t="n">
        <v>0</v>
      </c>
      <c r="F17" s="59" t="n">
        <v>0</v>
      </c>
      <c r="G17" s="58" t="s">
        <v>1457</v>
      </c>
      <c r="H17" s="58" t="s">
        <v>1458</v>
      </c>
      <c r="I17" s="58" t="s">
        <v>1459</v>
      </c>
    </row>
    <row r="18" customFormat="false" ht="49.95" hidden="false" customHeight="false" outlineLevel="0" collapsed="false">
      <c r="A18" s="25" t="s">
        <v>1460</v>
      </c>
      <c r="B18" s="25" t="s">
        <v>1461</v>
      </c>
      <c r="C18" s="25" t="s">
        <v>1462</v>
      </c>
      <c r="D18" s="25" t="s">
        <v>1463</v>
      </c>
      <c r="E18" s="60" t="n">
        <v>0</v>
      </c>
      <c r="F18" s="60" t="n">
        <v>0</v>
      </c>
      <c r="G18" s="25" t="s">
        <v>1464</v>
      </c>
      <c r="H18" s="25" t="s">
        <v>1465</v>
      </c>
      <c r="I18" s="25" t="s">
        <v>1466</v>
      </c>
    </row>
    <row r="19" customFormat="false" ht="40.25" hidden="false" customHeight="false" outlineLevel="0" collapsed="false">
      <c r="A19" s="58" t="s">
        <v>1467</v>
      </c>
      <c r="B19" s="58" t="s">
        <v>1468</v>
      </c>
      <c r="C19" s="58" t="s">
        <v>1469</v>
      </c>
      <c r="D19" s="58" t="s">
        <v>1470</v>
      </c>
      <c r="E19" s="59" t="n">
        <v>295</v>
      </c>
      <c r="F19" s="59" t="n">
        <v>23000</v>
      </c>
      <c r="G19" s="58" t="s">
        <v>1471</v>
      </c>
      <c r="H19" s="58" t="s">
        <v>1472</v>
      </c>
      <c r="I19" s="58" t="s">
        <v>1473</v>
      </c>
    </row>
    <row r="20" customFormat="false" ht="49.95" hidden="false" customHeight="false" outlineLevel="0" collapsed="false">
      <c r="A20" s="25" t="s">
        <v>1474</v>
      </c>
      <c r="B20" s="25" t="s">
        <v>1475</v>
      </c>
      <c r="C20" s="25" t="s">
        <v>1476</v>
      </c>
      <c r="D20" s="25" t="s">
        <v>1477</v>
      </c>
      <c r="E20" s="60" t="n">
        <v>399</v>
      </c>
      <c r="F20" s="60" t="n">
        <v>41400</v>
      </c>
      <c r="G20" s="25" t="s">
        <v>1478</v>
      </c>
      <c r="H20" s="25" t="s">
        <v>1479</v>
      </c>
      <c r="I20" s="25" t="s">
        <v>1480</v>
      </c>
    </row>
    <row r="21" customFormat="false" ht="59.7" hidden="false" customHeight="false" outlineLevel="0" collapsed="false">
      <c r="A21" s="58" t="s">
        <v>1481</v>
      </c>
      <c r="B21" s="58" t="s">
        <v>1482</v>
      </c>
      <c r="C21" s="58" t="s">
        <v>1483</v>
      </c>
      <c r="D21" s="58" t="s">
        <v>1484</v>
      </c>
      <c r="E21" s="59" t="n">
        <v>230</v>
      </c>
      <c r="F21" s="59" t="n">
        <v>20240</v>
      </c>
      <c r="G21" s="58" t="s">
        <v>1485</v>
      </c>
      <c r="H21" s="58" t="s">
        <v>1486</v>
      </c>
      <c r="I21" s="58" t="s">
        <v>1487</v>
      </c>
    </row>
    <row r="22" customFormat="false" ht="69.4" hidden="false" customHeight="false" outlineLevel="0" collapsed="false">
      <c r="A22" s="25" t="s">
        <v>1488</v>
      </c>
      <c r="B22" s="25" t="s">
        <v>1489</v>
      </c>
      <c r="C22" s="25" t="s">
        <v>1490</v>
      </c>
      <c r="D22" s="25" t="s">
        <v>1491</v>
      </c>
      <c r="E22" s="60" t="n">
        <v>450</v>
      </c>
      <c r="F22" s="60" t="n">
        <v>55200</v>
      </c>
      <c r="G22" s="25" t="s">
        <v>1492</v>
      </c>
      <c r="H22" s="25" t="s">
        <v>1493</v>
      </c>
      <c r="I22" s="25" t="s">
        <v>1494</v>
      </c>
    </row>
    <row r="23" customFormat="false" ht="30.55" hidden="false" customHeight="false" outlineLevel="0" collapsed="false">
      <c r="A23" s="58" t="s">
        <v>1495</v>
      </c>
      <c r="B23" s="58" t="s">
        <v>1496</v>
      </c>
      <c r="C23" s="58" t="s">
        <v>1497</v>
      </c>
      <c r="D23" s="58" t="s">
        <v>1498</v>
      </c>
      <c r="E23" s="59" t="n">
        <v>0</v>
      </c>
      <c r="F23" s="59" t="n">
        <v>0</v>
      </c>
      <c r="G23" s="58" t="s">
        <v>1499</v>
      </c>
      <c r="H23" s="58" t="s">
        <v>1500</v>
      </c>
      <c r="I23" s="58" t="s">
        <v>1501</v>
      </c>
    </row>
    <row r="24" customFormat="false" ht="20.85" hidden="false" customHeight="false" outlineLevel="0" collapsed="false">
      <c r="A24" s="25" t="s">
        <v>1502</v>
      </c>
      <c r="B24" s="25" t="s">
        <v>1503</v>
      </c>
      <c r="C24" s="25" t="s">
        <v>1504</v>
      </c>
      <c r="D24" s="25" t="s">
        <v>1505</v>
      </c>
      <c r="E24" s="60" t="n">
        <v>9</v>
      </c>
      <c r="F24" s="60" t="n">
        <v>750</v>
      </c>
      <c r="G24" s="25" t="s">
        <v>1506</v>
      </c>
      <c r="H24" s="25" t="s">
        <v>102</v>
      </c>
      <c r="I24" s="25" t="s">
        <v>1507</v>
      </c>
    </row>
    <row r="25" customFormat="false" ht="20.85" hidden="false" customHeight="false" outlineLevel="0" collapsed="false">
      <c r="A25" s="58" t="s">
        <v>1508</v>
      </c>
      <c r="B25" s="58" t="s">
        <v>1509</v>
      </c>
      <c r="C25" s="58" t="s">
        <v>1510</v>
      </c>
      <c r="D25" s="58" t="s">
        <v>1511</v>
      </c>
      <c r="E25" s="59" t="n">
        <v>30</v>
      </c>
      <c r="F25" s="59" t="n">
        <v>2200</v>
      </c>
      <c r="G25" s="58" t="s">
        <v>1512</v>
      </c>
      <c r="H25" s="58" t="s">
        <v>102</v>
      </c>
      <c r="I25" s="58" t="s">
        <v>1513</v>
      </c>
    </row>
    <row r="26" customFormat="false" ht="20.85" hidden="false" customHeight="false" outlineLevel="0" collapsed="false">
      <c r="A26" s="25" t="s">
        <v>1514</v>
      </c>
      <c r="B26" s="25" t="s">
        <v>1515</v>
      </c>
      <c r="C26" s="25" t="s">
        <v>1516</v>
      </c>
      <c r="D26" s="25" t="s">
        <v>1517</v>
      </c>
      <c r="E26" s="60" t="n">
        <v>35</v>
      </c>
      <c r="F26" s="60" t="n">
        <v>2400</v>
      </c>
      <c r="G26" s="25" t="s">
        <v>1518</v>
      </c>
      <c r="H26" s="25" t="s">
        <v>88</v>
      </c>
      <c r="I26" s="25" t="s">
        <v>1519</v>
      </c>
    </row>
    <row r="27" customFormat="false" ht="20.85" hidden="false" customHeight="false" outlineLevel="0" collapsed="false">
      <c r="A27" s="58" t="s">
        <v>1520</v>
      </c>
      <c r="B27" s="58" t="s">
        <v>1521</v>
      </c>
      <c r="C27" s="58" t="s">
        <v>1522</v>
      </c>
      <c r="D27" s="58" t="s">
        <v>1523</v>
      </c>
      <c r="E27" s="59" t="n">
        <v>35</v>
      </c>
      <c r="F27" s="59" t="n">
        <v>2600</v>
      </c>
      <c r="G27" s="58" t="s">
        <v>1524</v>
      </c>
      <c r="H27" s="58" t="s">
        <v>88</v>
      </c>
      <c r="I27" s="58" t="s">
        <v>1519</v>
      </c>
    </row>
    <row r="28" customFormat="false" ht="20.85" hidden="false" customHeight="false" outlineLevel="0" collapsed="false">
      <c r="A28" s="25" t="s">
        <v>1525</v>
      </c>
      <c r="B28" s="25" t="s">
        <v>1526</v>
      </c>
      <c r="C28" s="25" t="s">
        <v>1527</v>
      </c>
      <c r="D28" s="25" t="s">
        <v>1528</v>
      </c>
      <c r="E28" s="60" t="n">
        <v>8</v>
      </c>
      <c r="F28" s="60" t="n">
        <v>600</v>
      </c>
      <c r="G28" s="25" t="s">
        <v>1529</v>
      </c>
      <c r="H28" s="25" t="s">
        <v>102</v>
      </c>
      <c r="I28" s="25" t="s">
        <v>1530</v>
      </c>
    </row>
    <row r="29" customFormat="false" ht="20.85" hidden="false" customHeight="false" outlineLevel="0" collapsed="false">
      <c r="A29" s="58" t="s">
        <v>1531</v>
      </c>
      <c r="B29" s="58" t="s">
        <v>1532</v>
      </c>
      <c r="C29" s="58" t="s">
        <v>1533</v>
      </c>
      <c r="D29" s="58" t="s">
        <v>1534</v>
      </c>
      <c r="E29" s="59" t="n">
        <v>4</v>
      </c>
      <c r="F29" s="59" t="n">
        <v>350</v>
      </c>
      <c r="G29" s="58" t="s">
        <v>1535</v>
      </c>
      <c r="H29" s="58" t="s">
        <v>102</v>
      </c>
      <c r="I29" s="58" t="s">
        <v>1536</v>
      </c>
    </row>
    <row r="30" customFormat="false" ht="20.85" hidden="false" customHeight="false" outlineLevel="0" collapsed="false">
      <c r="A30" s="25" t="s">
        <v>1537</v>
      </c>
      <c r="B30" s="25" t="s">
        <v>1538</v>
      </c>
      <c r="C30" s="25" t="s">
        <v>1539</v>
      </c>
      <c r="D30" s="25" t="s">
        <v>1540</v>
      </c>
      <c r="E30" s="60" t="n">
        <v>12</v>
      </c>
      <c r="F30" s="60" t="n">
        <v>950</v>
      </c>
      <c r="G30" s="25" t="s">
        <v>1541</v>
      </c>
      <c r="H30" s="25" t="s">
        <v>102</v>
      </c>
      <c r="I30" s="25" t="s">
        <v>1542</v>
      </c>
    </row>
    <row r="31" customFormat="false" ht="20.85" hidden="false" customHeight="false" outlineLevel="0" collapsed="false">
      <c r="A31" s="58" t="s">
        <v>1543</v>
      </c>
      <c r="B31" s="58" t="s">
        <v>1544</v>
      </c>
      <c r="C31" s="58" t="s">
        <v>1545</v>
      </c>
      <c r="D31" s="58" t="s">
        <v>1546</v>
      </c>
      <c r="E31" s="59" t="n">
        <v>0</v>
      </c>
      <c r="F31" s="59" t="n">
        <v>0</v>
      </c>
      <c r="G31" s="58" t="s">
        <v>1547</v>
      </c>
      <c r="H31" s="58" t="s">
        <v>102</v>
      </c>
      <c r="I31" s="58" t="s">
        <v>1536</v>
      </c>
    </row>
    <row r="32" customFormat="false" ht="15" hidden="false" customHeight="false" outlineLevel="0" collapsed="false">
      <c r="A32" s="25" t="s">
        <v>1548</v>
      </c>
      <c r="B32" s="25" t="s">
        <v>1549</v>
      </c>
      <c r="C32" s="25" t="s">
        <v>1550</v>
      </c>
      <c r="D32" s="25" t="s">
        <v>1540</v>
      </c>
      <c r="E32" s="60" t="n">
        <v>9</v>
      </c>
      <c r="F32" s="60" t="n">
        <v>800</v>
      </c>
      <c r="G32" s="25" t="s">
        <v>1551</v>
      </c>
      <c r="H32" s="25" t="s">
        <v>102</v>
      </c>
      <c r="I32" s="25" t="s">
        <v>1536</v>
      </c>
    </row>
    <row r="33" customFormat="false" ht="30.55" hidden="false" customHeight="false" outlineLevel="0" collapsed="false">
      <c r="A33" s="58" t="s">
        <v>1552</v>
      </c>
      <c r="B33" s="58" t="s">
        <v>1553</v>
      </c>
      <c r="C33" s="58" t="s">
        <v>1554</v>
      </c>
      <c r="D33" s="58" t="s">
        <v>1555</v>
      </c>
      <c r="E33" s="59" t="n">
        <v>45</v>
      </c>
      <c r="F33" s="59" t="n">
        <v>3700</v>
      </c>
      <c r="G33" s="58" t="s">
        <v>1556</v>
      </c>
      <c r="H33" s="58" t="s">
        <v>102</v>
      </c>
      <c r="I33" s="58" t="s">
        <v>1557</v>
      </c>
    </row>
    <row r="34" customFormat="false" ht="40.25" hidden="false" customHeight="false" outlineLevel="0" collapsed="false">
      <c r="A34" s="25" t="s">
        <v>1558</v>
      </c>
      <c r="B34" s="25" t="s">
        <v>1559</v>
      </c>
      <c r="C34" s="25" t="s">
        <v>1560</v>
      </c>
      <c r="D34" s="25" t="s">
        <v>1561</v>
      </c>
      <c r="E34" s="60" t="n">
        <v>75</v>
      </c>
      <c r="F34" s="60" t="n">
        <v>7400</v>
      </c>
      <c r="G34" s="25" t="s">
        <v>1562</v>
      </c>
      <c r="H34" s="25" t="s">
        <v>102</v>
      </c>
      <c r="I34" s="25" t="s">
        <v>1563</v>
      </c>
    </row>
    <row r="35" customFormat="false" ht="20.85" hidden="false" customHeight="false" outlineLevel="0" collapsed="false">
      <c r="A35" s="58" t="s">
        <v>1564</v>
      </c>
      <c r="B35" s="58" t="s">
        <v>1565</v>
      </c>
      <c r="C35" s="58" t="s">
        <v>1504</v>
      </c>
      <c r="D35" s="58" t="s">
        <v>1540</v>
      </c>
      <c r="E35" s="59" t="n">
        <v>18</v>
      </c>
      <c r="F35" s="59" t="n">
        <v>1500</v>
      </c>
      <c r="G35" s="58" t="s">
        <v>1566</v>
      </c>
      <c r="H35" s="58" t="s">
        <v>102</v>
      </c>
      <c r="I35" s="58" t="s">
        <v>1567</v>
      </c>
    </row>
    <row r="36" customFormat="false" ht="40.25" hidden="false" customHeight="false" outlineLevel="0" collapsed="false">
      <c r="A36" s="25" t="s">
        <v>1568</v>
      </c>
      <c r="B36" s="25" t="s">
        <v>1569</v>
      </c>
      <c r="C36" s="25" t="s">
        <v>1570</v>
      </c>
      <c r="D36" s="25" t="s">
        <v>1571</v>
      </c>
      <c r="E36" s="60" t="n">
        <v>130</v>
      </c>
      <c r="F36" s="60" t="n">
        <v>18400</v>
      </c>
      <c r="G36" s="25" t="s">
        <v>1572</v>
      </c>
      <c r="H36" s="25" t="s">
        <v>1573</v>
      </c>
      <c r="I36" s="25" t="s">
        <v>1574</v>
      </c>
    </row>
    <row r="37" customFormat="false" ht="20.85" hidden="false" customHeight="false" outlineLevel="0" collapsed="false">
      <c r="A37" s="58" t="s">
        <v>1575</v>
      </c>
      <c r="B37" s="58" t="s">
        <v>1576</v>
      </c>
      <c r="C37" s="58" t="s">
        <v>1504</v>
      </c>
      <c r="D37" s="58" t="s">
        <v>1540</v>
      </c>
      <c r="E37" s="59" t="n">
        <v>22</v>
      </c>
      <c r="F37" s="59" t="n">
        <v>1900</v>
      </c>
      <c r="G37" s="58" t="s">
        <v>1577</v>
      </c>
      <c r="H37" s="58" t="s">
        <v>102</v>
      </c>
      <c r="I37" s="58" t="s">
        <v>1578</v>
      </c>
    </row>
    <row r="38" customFormat="false" ht="20.85" hidden="false" customHeight="false" outlineLevel="0" collapsed="false">
      <c r="A38" s="25" t="s">
        <v>1579</v>
      </c>
      <c r="B38" s="25" t="s">
        <v>1580</v>
      </c>
      <c r="C38" s="25" t="s">
        <v>1581</v>
      </c>
      <c r="D38" s="25" t="s">
        <v>1582</v>
      </c>
      <c r="E38" s="60" t="n">
        <v>35</v>
      </c>
      <c r="F38" s="60" t="n">
        <v>3200</v>
      </c>
      <c r="G38" s="25" t="s">
        <v>1583</v>
      </c>
      <c r="H38" s="25" t="s">
        <v>88</v>
      </c>
      <c r="I38" s="25" t="s">
        <v>1574</v>
      </c>
    </row>
    <row r="39" customFormat="false" ht="30.55" hidden="false" customHeight="false" outlineLevel="0" collapsed="false">
      <c r="A39" s="58" t="s">
        <v>1584</v>
      </c>
      <c r="B39" s="58" t="s">
        <v>1585</v>
      </c>
      <c r="C39" s="58" t="s">
        <v>1586</v>
      </c>
      <c r="D39" s="58" t="s">
        <v>1587</v>
      </c>
      <c r="E39" s="59" t="n">
        <v>50</v>
      </c>
      <c r="F39" s="59" t="n">
        <v>4500</v>
      </c>
      <c r="G39" s="58" t="s">
        <v>1588</v>
      </c>
      <c r="H39" s="58" t="s">
        <v>88</v>
      </c>
      <c r="I39" s="58" t="s">
        <v>1589</v>
      </c>
    </row>
    <row r="40" customFormat="false" ht="20.85" hidden="false" customHeight="false" outlineLevel="0" collapsed="false">
      <c r="A40" s="25" t="s">
        <v>1590</v>
      </c>
      <c r="B40" s="25" t="s">
        <v>1591</v>
      </c>
      <c r="C40" s="25" t="s">
        <v>1592</v>
      </c>
      <c r="D40" s="25" t="s">
        <v>1540</v>
      </c>
      <c r="E40" s="60" t="n">
        <v>11</v>
      </c>
      <c r="F40" s="60" t="n">
        <v>850</v>
      </c>
      <c r="G40" s="25" t="s">
        <v>1593</v>
      </c>
      <c r="H40" s="25" t="s">
        <v>102</v>
      </c>
      <c r="I40" s="25" t="s">
        <v>1567</v>
      </c>
    </row>
    <row r="41" customFormat="false" ht="20.85" hidden="false" customHeight="false" outlineLevel="0" collapsed="false">
      <c r="A41" s="58" t="s">
        <v>1594</v>
      </c>
      <c r="B41" s="58" t="s">
        <v>1595</v>
      </c>
      <c r="C41" s="58" t="s">
        <v>1596</v>
      </c>
      <c r="D41" s="58" t="s">
        <v>1597</v>
      </c>
      <c r="E41" s="59" t="n">
        <v>0</v>
      </c>
      <c r="F41" s="59" t="n">
        <v>0</v>
      </c>
      <c r="G41" s="58" t="s">
        <v>1547</v>
      </c>
      <c r="H41" s="58" t="s">
        <v>102</v>
      </c>
      <c r="I41" s="58" t="s">
        <v>1567</v>
      </c>
    </row>
    <row r="42" customFormat="false" ht="20.85" hidden="false" customHeight="false" outlineLevel="0" collapsed="false">
      <c r="A42" s="25" t="s">
        <v>1598</v>
      </c>
      <c r="B42" s="25" t="s">
        <v>1599</v>
      </c>
      <c r="C42" s="25" t="s">
        <v>1539</v>
      </c>
      <c r="D42" s="25" t="s">
        <v>1600</v>
      </c>
      <c r="E42" s="60" t="n">
        <v>15</v>
      </c>
      <c r="F42" s="60" t="n">
        <v>1100</v>
      </c>
      <c r="G42" s="25" t="s">
        <v>1601</v>
      </c>
      <c r="H42" s="25" t="s">
        <v>102</v>
      </c>
      <c r="I42" s="25" t="s">
        <v>1567</v>
      </c>
    </row>
    <row r="43" customFormat="false" ht="20.85" hidden="false" customHeight="false" outlineLevel="0" collapsed="false">
      <c r="A43" s="58" t="s">
        <v>1602</v>
      </c>
      <c r="B43" s="58" t="s">
        <v>1603</v>
      </c>
      <c r="C43" s="58" t="s">
        <v>1604</v>
      </c>
      <c r="D43" s="58" t="s">
        <v>1540</v>
      </c>
      <c r="E43" s="59" t="n">
        <v>13</v>
      </c>
      <c r="F43" s="59" t="n">
        <v>950</v>
      </c>
      <c r="G43" s="58" t="s">
        <v>1605</v>
      </c>
      <c r="H43" s="58" t="s">
        <v>102</v>
      </c>
      <c r="I43" s="58" t="s">
        <v>1606</v>
      </c>
    </row>
    <row r="44" customFormat="false" ht="15" hidden="false" customHeight="false" outlineLevel="0" collapsed="false">
      <c r="A44" s="25" t="s">
        <v>1607</v>
      </c>
      <c r="B44" s="25" t="s">
        <v>1608</v>
      </c>
      <c r="C44" s="25" t="s">
        <v>1539</v>
      </c>
      <c r="D44" s="25" t="s">
        <v>1600</v>
      </c>
      <c r="E44" s="60" t="n">
        <v>12</v>
      </c>
      <c r="F44" s="60" t="n">
        <v>900</v>
      </c>
      <c r="G44" s="25" t="s">
        <v>1609</v>
      </c>
      <c r="H44" s="25" t="s">
        <v>102</v>
      </c>
      <c r="I44" s="25" t="s">
        <v>1610</v>
      </c>
    </row>
    <row r="45" customFormat="false" ht="20.85" hidden="false" customHeight="false" outlineLevel="0" collapsed="false">
      <c r="A45" s="58" t="s">
        <v>1611</v>
      </c>
      <c r="B45" s="58" t="s">
        <v>1612</v>
      </c>
      <c r="C45" s="58" t="s">
        <v>1539</v>
      </c>
      <c r="D45" s="58" t="s">
        <v>1600</v>
      </c>
      <c r="E45" s="59" t="n">
        <v>14</v>
      </c>
      <c r="F45" s="59" t="n">
        <v>1000</v>
      </c>
      <c r="G45" s="58" t="s">
        <v>1613</v>
      </c>
      <c r="H45" s="58" t="s">
        <v>88</v>
      </c>
      <c r="I45" s="58" t="s">
        <v>1567</v>
      </c>
    </row>
    <row r="46" customFormat="false" ht="30.55" hidden="false" customHeight="false" outlineLevel="0" collapsed="false">
      <c r="A46" s="25" t="s">
        <v>1614</v>
      </c>
      <c r="B46" s="25" t="s">
        <v>1615</v>
      </c>
      <c r="C46" s="25" t="s">
        <v>1616</v>
      </c>
      <c r="D46" s="25" t="s">
        <v>1617</v>
      </c>
      <c r="E46" s="60" t="n">
        <v>25</v>
      </c>
      <c r="F46" s="60" t="n">
        <v>2000</v>
      </c>
      <c r="G46" s="25" t="s">
        <v>1618</v>
      </c>
      <c r="H46" s="25" t="s">
        <v>1619</v>
      </c>
      <c r="I46" s="25" t="s">
        <v>1620</v>
      </c>
    </row>
    <row r="47" customFormat="false" ht="30.55" hidden="false" customHeight="false" outlineLevel="0" collapsed="false">
      <c r="A47" s="58" t="s">
        <v>1621</v>
      </c>
      <c r="B47" s="58" t="s">
        <v>1622</v>
      </c>
      <c r="C47" s="58" t="s">
        <v>1539</v>
      </c>
      <c r="D47" s="58" t="s">
        <v>1600</v>
      </c>
      <c r="E47" s="59" t="n">
        <v>28</v>
      </c>
      <c r="F47" s="59" t="n">
        <v>2100</v>
      </c>
      <c r="G47" s="58" t="s">
        <v>1623</v>
      </c>
      <c r="H47" s="58" t="s">
        <v>102</v>
      </c>
      <c r="I47" s="58" t="s">
        <v>1567</v>
      </c>
    </row>
    <row r="48" customFormat="false" ht="15" hidden="false" customHeight="false" outlineLevel="0" collapsed="false">
      <c r="A48" s="25" t="s">
        <v>1624</v>
      </c>
      <c r="B48" s="25" t="s">
        <v>1625</v>
      </c>
      <c r="C48" s="25" t="s">
        <v>1539</v>
      </c>
      <c r="D48" s="25" t="s">
        <v>1600</v>
      </c>
      <c r="E48" s="60" t="n">
        <v>7</v>
      </c>
      <c r="F48" s="60" t="n">
        <v>550</v>
      </c>
      <c r="G48" s="25" t="s">
        <v>1626</v>
      </c>
      <c r="H48" s="25" t="s">
        <v>102</v>
      </c>
      <c r="I48" s="25" t="s">
        <v>1567</v>
      </c>
    </row>
    <row r="49" customFormat="false" ht="20.85" hidden="false" customHeight="false" outlineLevel="0" collapsed="false">
      <c r="A49" s="58" t="s">
        <v>1627</v>
      </c>
      <c r="B49" s="58" t="s">
        <v>1628</v>
      </c>
      <c r="C49" s="58" t="s">
        <v>1539</v>
      </c>
      <c r="D49" s="58" t="s">
        <v>1600</v>
      </c>
      <c r="E49" s="59" t="n">
        <v>8</v>
      </c>
      <c r="F49" s="59" t="n">
        <v>600</v>
      </c>
      <c r="G49" s="58" t="s">
        <v>1629</v>
      </c>
      <c r="H49" s="58" t="s">
        <v>102</v>
      </c>
      <c r="I49" s="58" t="s">
        <v>1567</v>
      </c>
    </row>
    <row r="50" customFormat="false" ht="15" hidden="false" customHeight="false" outlineLevel="0" collapsed="false">
      <c r="A50" s="25" t="s">
        <v>1630</v>
      </c>
      <c r="B50" s="25" t="s">
        <v>1631</v>
      </c>
      <c r="C50" s="25" t="s">
        <v>1539</v>
      </c>
      <c r="D50" s="25" t="s">
        <v>1600</v>
      </c>
      <c r="E50" s="60" t="n">
        <v>8</v>
      </c>
      <c r="F50" s="60" t="n">
        <v>650</v>
      </c>
      <c r="G50" s="25" t="s">
        <v>1632</v>
      </c>
      <c r="H50" s="25" t="s">
        <v>102</v>
      </c>
      <c r="I50" s="25" t="s">
        <v>1567</v>
      </c>
    </row>
    <row r="51" customFormat="false" ht="20.85" hidden="false" customHeight="false" outlineLevel="0" collapsed="false">
      <c r="A51" s="58" t="s">
        <v>1633</v>
      </c>
      <c r="B51" s="58" t="s">
        <v>1634</v>
      </c>
      <c r="C51" s="58" t="s">
        <v>1635</v>
      </c>
      <c r="D51" s="58" t="s">
        <v>1636</v>
      </c>
      <c r="E51" s="59" t="n">
        <v>32</v>
      </c>
      <c r="F51" s="59" t="n">
        <v>2900</v>
      </c>
      <c r="G51" s="58" t="s">
        <v>1637</v>
      </c>
      <c r="H51" s="58" t="s">
        <v>88</v>
      </c>
      <c r="I51" s="58" t="s">
        <v>1638</v>
      </c>
    </row>
    <row r="52" customFormat="false" ht="15" hidden="false" customHeight="false" outlineLevel="0" collapsed="false">
      <c r="A52" s="25" t="s">
        <v>1639</v>
      </c>
      <c r="B52" s="25" t="s">
        <v>1640</v>
      </c>
      <c r="C52" s="25" t="s">
        <v>1641</v>
      </c>
      <c r="D52" s="25" t="s">
        <v>1540</v>
      </c>
      <c r="E52" s="60" t="n">
        <v>18</v>
      </c>
      <c r="F52" s="60" t="n">
        <v>1500</v>
      </c>
      <c r="G52" s="25" t="s">
        <v>1642</v>
      </c>
      <c r="H52" s="25" t="s">
        <v>102</v>
      </c>
      <c r="I52" s="25" t="s">
        <v>1567</v>
      </c>
    </row>
    <row r="53" customFormat="false" ht="30.55" hidden="false" customHeight="false" outlineLevel="0" collapsed="false">
      <c r="A53" s="58" t="s">
        <v>1643</v>
      </c>
      <c r="B53" s="58" t="s">
        <v>1644</v>
      </c>
      <c r="C53" s="58" t="s">
        <v>1539</v>
      </c>
      <c r="D53" s="58" t="s">
        <v>1636</v>
      </c>
      <c r="E53" s="59" t="n">
        <v>28</v>
      </c>
      <c r="F53" s="59" t="n">
        <v>2500</v>
      </c>
      <c r="G53" s="58" t="s">
        <v>1645</v>
      </c>
      <c r="H53" s="58" t="s">
        <v>1646</v>
      </c>
      <c r="I53" s="58" t="s">
        <v>1567</v>
      </c>
    </row>
    <row r="54" customFormat="false" ht="20.85" hidden="false" customHeight="false" outlineLevel="0" collapsed="false">
      <c r="A54" s="25" t="s">
        <v>1647</v>
      </c>
      <c r="B54" s="25" t="s">
        <v>1648</v>
      </c>
      <c r="C54" s="25" t="s">
        <v>1649</v>
      </c>
      <c r="D54" s="25" t="s">
        <v>1600</v>
      </c>
      <c r="E54" s="60" t="n">
        <v>17</v>
      </c>
      <c r="F54" s="60" t="n">
        <v>1500</v>
      </c>
      <c r="G54" s="25" t="s">
        <v>1650</v>
      </c>
      <c r="H54" s="25" t="s">
        <v>102</v>
      </c>
      <c r="I54" s="25" t="s">
        <v>1651</v>
      </c>
    </row>
    <row r="55" customFormat="false" ht="30.55" hidden="false" customHeight="false" outlineLevel="0" collapsed="false">
      <c r="A55" s="58" t="s">
        <v>1652</v>
      </c>
      <c r="B55" s="58" t="s">
        <v>1653</v>
      </c>
      <c r="C55" s="58" t="s">
        <v>1654</v>
      </c>
      <c r="D55" s="58" t="s">
        <v>1655</v>
      </c>
      <c r="E55" s="59" t="n">
        <v>90</v>
      </c>
      <c r="F55" s="59" t="n">
        <v>9200</v>
      </c>
      <c r="G55" s="58" t="s">
        <v>1656</v>
      </c>
      <c r="H55" s="58" t="s">
        <v>102</v>
      </c>
      <c r="I55" s="58" t="s">
        <v>1657</v>
      </c>
    </row>
    <row r="56" customFormat="false" ht="20.85" hidden="false" customHeight="false" outlineLevel="0" collapsed="false">
      <c r="A56" s="25" t="s">
        <v>1658</v>
      </c>
      <c r="B56" s="25" t="s">
        <v>1659</v>
      </c>
      <c r="C56" s="25" t="s">
        <v>1660</v>
      </c>
      <c r="D56" s="25" t="s">
        <v>1600</v>
      </c>
      <c r="E56" s="60" t="n">
        <v>14</v>
      </c>
      <c r="F56" s="60" t="n">
        <v>1200</v>
      </c>
      <c r="G56" s="25" t="s">
        <v>1661</v>
      </c>
      <c r="H56" s="25" t="s">
        <v>88</v>
      </c>
      <c r="I56" s="25" t="s">
        <v>1567</v>
      </c>
    </row>
    <row r="57" customFormat="false" ht="20.85" hidden="false" customHeight="false" outlineLevel="0" collapsed="false">
      <c r="A57" s="58" t="s">
        <v>1662</v>
      </c>
      <c r="B57" s="58" t="s">
        <v>1663</v>
      </c>
      <c r="C57" s="58" t="s">
        <v>1660</v>
      </c>
      <c r="D57" s="58" t="s">
        <v>1600</v>
      </c>
      <c r="E57" s="59" t="n">
        <v>14</v>
      </c>
      <c r="F57" s="59" t="n">
        <v>1200</v>
      </c>
      <c r="G57" s="58" t="s">
        <v>1661</v>
      </c>
      <c r="H57" s="58" t="s">
        <v>88</v>
      </c>
      <c r="I57" s="58" t="s">
        <v>1567</v>
      </c>
    </row>
    <row r="58" customFormat="false" ht="20.85" hidden="false" customHeight="false" outlineLevel="0" collapsed="false">
      <c r="A58" s="25" t="s">
        <v>1664</v>
      </c>
      <c r="B58" s="25" t="s">
        <v>1665</v>
      </c>
      <c r="C58" s="25" t="s">
        <v>1666</v>
      </c>
      <c r="D58" s="25" t="s">
        <v>1600</v>
      </c>
      <c r="E58" s="60" t="n">
        <v>16</v>
      </c>
      <c r="F58" s="60" t="n">
        <v>1400</v>
      </c>
      <c r="G58" s="25" t="s">
        <v>1667</v>
      </c>
      <c r="H58" s="25" t="s">
        <v>88</v>
      </c>
      <c r="I58" s="25" t="s">
        <v>1668</v>
      </c>
    </row>
    <row r="59" customFormat="false" ht="20.85" hidden="false" customHeight="false" outlineLevel="0" collapsed="false">
      <c r="A59" s="58" t="s">
        <v>1669</v>
      </c>
      <c r="B59" s="58" t="s">
        <v>1670</v>
      </c>
      <c r="C59" s="58" t="s">
        <v>1671</v>
      </c>
      <c r="D59" s="58" t="s">
        <v>1672</v>
      </c>
      <c r="E59" s="59" t="n">
        <v>22</v>
      </c>
      <c r="F59" s="59" t="n">
        <v>2000</v>
      </c>
      <c r="G59" s="58" t="s">
        <v>1673</v>
      </c>
      <c r="H59" s="58" t="s">
        <v>88</v>
      </c>
      <c r="I59" s="58" t="s">
        <v>1567</v>
      </c>
    </row>
    <row r="60" customFormat="false" ht="20.85" hidden="false" customHeight="false" outlineLevel="0" collapsed="false">
      <c r="A60" s="25" t="s">
        <v>1674</v>
      </c>
      <c r="B60" s="25" t="s">
        <v>1675</v>
      </c>
      <c r="C60" s="25" t="s">
        <v>1676</v>
      </c>
      <c r="D60" s="25" t="s">
        <v>1677</v>
      </c>
      <c r="E60" s="60" t="n">
        <v>75</v>
      </c>
      <c r="F60" s="60" t="n">
        <v>6500</v>
      </c>
      <c r="G60" s="25" t="s">
        <v>1678</v>
      </c>
      <c r="H60" s="25" t="s">
        <v>102</v>
      </c>
      <c r="I60" s="25" t="s">
        <v>1679</v>
      </c>
    </row>
    <row r="61" customFormat="false" ht="20.85" hidden="false" customHeight="false" outlineLevel="0" collapsed="false">
      <c r="A61" s="58" t="s">
        <v>1680</v>
      </c>
      <c r="B61" s="58" t="s">
        <v>1681</v>
      </c>
      <c r="C61" s="58" t="s">
        <v>1682</v>
      </c>
      <c r="D61" s="58" t="s">
        <v>1540</v>
      </c>
      <c r="E61" s="59" t="n">
        <v>18</v>
      </c>
      <c r="F61" s="59" t="n">
        <v>1500</v>
      </c>
      <c r="G61" s="58" t="s">
        <v>1642</v>
      </c>
      <c r="H61" s="58" t="s">
        <v>102</v>
      </c>
      <c r="I61" s="58" t="s">
        <v>1683</v>
      </c>
    </row>
    <row r="62" customFormat="false" ht="15" hidden="false" customHeight="false" outlineLevel="0" collapsed="false">
      <c r="A62" s="25" t="s">
        <v>1684</v>
      </c>
      <c r="B62" s="25" t="s">
        <v>1685</v>
      </c>
      <c r="C62" s="25" t="s">
        <v>1539</v>
      </c>
      <c r="D62" s="25" t="s">
        <v>1600</v>
      </c>
      <c r="E62" s="60" t="n">
        <v>30</v>
      </c>
      <c r="F62" s="60" t="n">
        <v>2700</v>
      </c>
      <c r="G62" s="25" t="s">
        <v>1686</v>
      </c>
      <c r="H62" s="25" t="s">
        <v>102</v>
      </c>
      <c r="I62" s="25" t="s">
        <v>1683</v>
      </c>
    </row>
    <row r="63" customFormat="false" ht="20.85" hidden="false" customHeight="false" outlineLevel="0" collapsed="false">
      <c r="A63" s="58" t="s">
        <v>1687</v>
      </c>
      <c r="B63" s="58" t="s">
        <v>1688</v>
      </c>
      <c r="C63" s="58" t="s">
        <v>1689</v>
      </c>
      <c r="D63" s="58" t="s">
        <v>1540</v>
      </c>
      <c r="E63" s="59" t="n">
        <v>15</v>
      </c>
      <c r="F63" s="59" t="n">
        <v>1300</v>
      </c>
      <c r="G63" s="58" t="s">
        <v>1690</v>
      </c>
      <c r="H63" s="58" t="s">
        <v>102</v>
      </c>
      <c r="I63" s="58" t="s">
        <v>1567</v>
      </c>
    </row>
    <row r="64" customFormat="false" ht="20.85" hidden="false" customHeight="false" outlineLevel="0" collapsed="false">
      <c r="A64" s="25" t="s">
        <v>1691</v>
      </c>
      <c r="B64" s="25" t="s">
        <v>1692</v>
      </c>
      <c r="C64" s="25" t="s">
        <v>1693</v>
      </c>
      <c r="D64" s="25" t="s">
        <v>1600</v>
      </c>
      <c r="E64" s="60" t="n">
        <v>30</v>
      </c>
      <c r="F64" s="60" t="n">
        <v>2600</v>
      </c>
      <c r="G64" s="25" t="s">
        <v>1694</v>
      </c>
      <c r="H64" s="25" t="s">
        <v>102</v>
      </c>
      <c r="I64" s="25" t="s">
        <v>1567</v>
      </c>
    </row>
    <row r="65" customFormat="false" ht="40.25" hidden="false" customHeight="false" outlineLevel="0" collapsed="false">
      <c r="A65" s="58" t="s">
        <v>1695</v>
      </c>
      <c r="B65" s="58" t="s">
        <v>1696</v>
      </c>
      <c r="C65" s="58" t="s">
        <v>1697</v>
      </c>
      <c r="D65" s="58" t="s">
        <v>1698</v>
      </c>
      <c r="E65" s="59" t="n">
        <v>145</v>
      </c>
      <c r="F65" s="59" t="n">
        <v>12500</v>
      </c>
      <c r="G65" s="58" t="s">
        <v>1699</v>
      </c>
      <c r="H65" s="58" t="s">
        <v>88</v>
      </c>
      <c r="I65" s="58" t="s">
        <v>1700</v>
      </c>
    </row>
    <row r="66" customFormat="false" ht="20.85" hidden="false" customHeight="false" outlineLevel="0" collapsed="false">
      <c r="A66" s="25" t="s">
        <v>1701</v>
      </c>
      <c r="B66" s="25" t="s">
        <v>1702</v>
      </c>
      <c r="C66" s="25" t="s">
        <v>1703</v>
      </c>
      <c r="D66" s="25" t="s">
        <v>1704</v>
      </c>
      <c r="E66" s="60" t="n">
        <v>65</v>
      </c>
      <c r="F66" s="60" t="n">
        <v>5500</v>
      </c>
      <c r="G66" s="25" t="s">
        <v>1705</v>
      </c>
      <c r="H66" s="25" t="s">
        <v>102</v>
      </c>
      <c r="I66" s="25" t="s">
        <v>1578</v>
      </c>
    </row>
    <row r="67" customFormat="false" ht="30.55" hidden="false" customHeight="false" outlineLevel="0" collapsed="false">
      <c r="A67" s="58" t="s">
        <v>1706</v>
      </c>
      <c r="B67" s="58" t="s">
        <v>1707</v>
      </c>
      <c r="C67" s="58" t="s">
        <v>1708</v>
      </c>
      <c r="D67" s="58" t="s">
        <v>1709</v>
      </c>
      <c r="E67" s="59" t="n">
        <v>35</v>
      </c>
      <c r="F67" s="59" t="n">
        <v>3000</v>
      </c>
      <c r="G67" s="58" t="s">
        <v>1710</v>
      </c>
      <c r="H67" s="58" t="s">
        <v>1711</v>
      </c>
      <c r="I67" s="58" t="s">
        <v>1712</v>
      </c>
    </row>
    <row r="68" customFormat="false" ht="30.55" hidden="false" customHeight="false" outlineLevel="0" collapsed="false">
      <c r="A68" s="25" t="s">
        <v>1713</v>
      </c>
      <c r="B68" s="25" t="s">
        <v>1714</v>
      </c>
      <c r="C68" s="25" t="s">
        <v>1715</v>
      </c>
      <c r="D68" s="25" t="s">
        <v>1716</v>
      </c>
      <c r="E68" s="60" t="n">
        <v>195</v>
      </c>
      <c r="F68" s="60" t="n">
        <v>17000</v>
      </c>
      <c r="G68" s="25" t="s">
        <v>1717</v>
      </c>
      <c r="H68" s="25" t="s">
        <v>102</v>
      </c>
      <c r="I68" s="25" t="s">
        <v>1718</v>
      </c>
    </row>
  </sheetData>
  <mergeCells count="2">
    <mergeCell ref="A1:F1"/>
    <mergeCell ref="A12:I1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32"/>
    <col collapsed="false" customWidth="true" hidden="false" outlineLevel="0" max="5" min="2" style="0" width="36"/>
  </cols>
  <sheetData>
    <row r="1" customFormat="false" ht="17.35" hidden="false" customHeight="false" outlineLevel="0" collapsed="false">
      <c r="A1" s="57" t="s">
        <v>1719</v>
      </c>
      <c r="B1" s="57"/>
      <c r="C1" s="57"/>
      <c r="D1" s="57"/>
    </row>
    <row r="3" customFormat="false" ht="31.5" hidden="false" customHeight="true" outlineLevel="0" collapsed="false">
      <c r="A3" s="13" t="s">
        <v>1720</v>
      </c>
      <c r="B3" s="13" t="s">
        <v>1721</v>
      </c>
      <c r="C3" s="13" t="s">
        <v>1722</v>
      </c>
      <c r="D3" s="13" t="s">
        <v>1519</v>
      </c>
      <c r="E3" s="13" t="s">
        <v>1723</v>
      </c>
    </row>
    <row r="4" customFormat="false" ht="30.55" hidden="false" customHeight="false" outlineLevel="0" collapsed="false">
      <c r="A4" s="61" t="s">
        <v>1724</v>
      </c>
      <c r="B4" s="58" t="s">
        <v>1725</v>
      </c>
      <c r="C4" s="58" t="s">
        <v>1726</v>
      </c>
      <c r="D4" s="58" t="s">
        <v>1727</v>
      </c>
      <c r="E4" s="58" t="s">
        <v>1728</v>
      </c>
    </row>
    <row r="5" customFormat="false" ht="30.55" hidden="false" customHeight="false" outlineLevel="0" collapsed="false">
      <c r="A5" s="62" t="s">
        <v>1729</v>
      </c>
      <c r="B5" s="25" t="s">
        <v>1730</v>
      </c>
      <c r="C5" s="25" t="s">
        <v>1731</v>
      </c>
      <c r="D5" s="25" t="s">
        <v>1732</v>
      </c>
      <c r="E5" s="25" t="s">
        <v>1733</v>
      </c>
    </row>
    <row r="6" customFormat="false" ht="69.4" hidden="false" customHeight="false" outlineLevel="0" collapsed="false">
      <c r="A6" s="61" t="s">
        <v>1734</v>
      </c>
      <c r="B6" s="58" t="s">
        <v>1735</v>
      </c>
      <c r="C6" s="58" t="s">
        <v>1736</v>
      </c>
      <c r="D6" s="58" t="s">
        <v>1737</v>
      </c>
      <c r="E6" s="58" t="s">
        <v>1738</v>
      </c>
    </row>
    <row r="7" customFormat="false" ht="137.3" hidden="false" customHeight="false" outlineLevel="0" collapsed="false">
      <c r="A7" s="62" t="s">
        <v>1739</v>
      </c>
      <c r="B7" s="25" t="s">
        <v>1740</v>
      </c>
      <c r="C7" s="25" t="s">
        <v>1741</v>
      </c>
      <c r="D7" s="25" t="s">
        <v>1742</v>
      </c>
      <c r="E7" s="25" t="s">
        <v>1743</v>
      </c>
    </row>
    <row r="8" customFormat="false" ht="88.8" hidden="false" customHeight="false" outlineLevel="0" collapsed="false">
      <c r="A8" s="61" t="s">
        <v>1744</v>
      </c>
      <c r="B8" s="58" t="s">
        <v>1745</v>
      </c>
      <c r="C8" s="58" t="s">
        <v>1746</v>
      </c>
      <c r="D8" s="58" t="s">
        <v>1747</v>
      </c>
      <c r="E8" s="58" t="s">
        <v>1748</v>
      </c>
    </row>
    <row r="9" customFormat="false" ht="98.5" hidden="false" customHeight="false" outlineLevel="0" collapsed="false">
      <c r="A9" s="62" t="s">
        <v>1749</v>
      </c>
      <c r="B9" s="25" t="s">
        <v>1750</v>
      </c>
      <c r="C9" s="25" t="s">
        <v>1751</v>
      </c>
      <c r="D9" s="25" t="s">
        <v>1752</v>
      </c>
      <c r="E9" s="25" t="s">
        <v>1753</v>
      </c>
    </row>
    <row r="10" customFormat="false" ht="15" hidden="false" customHeight="false" outlineLevel="0" collapsed="false">
      <c r="A10" s="61" t="s">
        <v>1754</v>
      </c>
      <c r="B10" s="59" t="n">
        <v>19500</v>
      </c>
      <c r="C10" s="59" t="n">
        <v>15500</v>
      </c>
      <c r="D10" s="59" t="n">
        <v>24500</v>
      </c>
      <c r="E10" s="59" t="n">
        <v>28500</v>
      </c>
    </row>
    <row r="11" customFormat="false" ht="15" hidden="false" customHeight="false" outlineLevel="0" collapsed="false">
      <c r="A11" s="62" t="s">
        <v>1755</v>
      </c>
      <c r="B11" s="60" t="n">
        <v>1794000</v>
      </c>
      <c r="C11" s="60" t="n">
        <v>1426000</v>
      </c>
      <c r="D11" s="60" t="n">
        <v>2254000</v>
      </c>
      <c r="E11" s="60" t="n">
        <v>2622000</v>
      </c>
    </row>
    <row r="12" customFormat="false" ht="15" hidden="false" customHeight="false" outlineLevel="0" collapsed="false">
      <c r="A12" s="61" t="s">
        <v>1756</v>
      </c>
      <c r="B12" s="59" t="n">
        <v>14106</v>
      </c>
      <c r="C12" s="59" t="n">
        <v>14938</v>
      </c>
      <c r="D12" s="59" t="n">
        <v>21642</v>
      </c>
      <c r="E12" s="59" t="n">
        <v>29314</v>
      </c>
    </row>
    <row r="13" customFormat="false" ht="15" hidden="false" customHeight="false" outlineLevel="0" collapsed="false">
      <c r="A13" s="62" t="s">
        <v>1757</v>
      </c>
      <c r="B13" s="60" t="n">
        <v>12447</v>
      </c>
      <c r="C13" s="60" t="n">
        <v>8031</v>
      </c>
      <c r="D13" s="60" t="n">
        <v>13679</v>
      </c>
      <c r="E13" s="60" t="n">
        <v>13843</v>
      </c>
    </row>
    <row r="14" customFormat="false" ht="15" hidden="false" customHeight="false" outlineLevel="0" collapsed="false">
      <c r="A14" s="61" t="s">
        <v>1758</v>
      </c>
      <c r="B14" s="63" t="n">
        <v>0.638</v>
      </c>
      <c r="C14" s="63" t="n">
        <v>0.518</v>
      </c>
      <c r="D14" s="63" t="n">
        <v>0.558</v>
      </c>
      <c r="E14" s="63" t="n">
        <v>0.486</v>
      </c>
    </row>
    <row r="15" customFormat="false" ht="30.55" hidden="false" customHeight="false" outlineLevel="0" collapsed="false">
      <c r="A15" s="62" t="s">
        <v>1759</v>
      </c>
      <c r="B15" s="25" t="s">
        <v>1760</v>
      </c>
      <c r="C15" s="25" t="s">
        <v>1760</v>
      </c>
      <c r="D15" s="25" t="s">
        <v>1760</v>
      </c>
      <c r="E15" s="25" t="s">
        <v>1760</v>
      </c>
    </row>
    <row r="16" customFormat="false" ht="137.3" hidden="false" customHeight="false" outlineLevel="0" collapsed="false">
      <c r="A16" s="61" t="s">
        <v>1761</v>
      </c>
      <c r="B16" s="58" t="s">
        <v>1762</v>
      </c>
      <c r="C16" s="58" t="s">
        <v>1763</v>
      </c>
      <c r="D16" s="58" t="s">
        <v>1764</v>
      </c>
      <c r="E16" s="58" t="s">
        <v>1765</v>
      </c>
    </row>
    <row r="19" customFormat="false" ht="15" hidden="false" customHeight="false" outlineLevel="0" collapsed="false">
      <c r="A19" s="43" t="s">
        <v>1766</v>
      </c>
      <c r="B19" s="43"/>
      <c r="C19" s="43"/>
      <c r="D19" s="43"/>
      <c r="E19" s="43"/>
    </row>
    <row r="20" customFormat="false" ht="15" hidden="false" customHeight="false" outlineLevel="0" collapsed="false">
      <c r="A20" s="64" t="s">
        <v>1767</v>
      </c>
      <c r="B20" s="65" t="n">
        <v>1281</v>
      </c>
      <c r="C20" s="66"/>
      <c r="D20" s="66"/>
      <c r="E20" s="66"/>
    </row>
    <row r="21" customFormat="false" ht="15" hidden="false" customHeight="false" outlineLevel="0" collapsed="false">
      <c r="A21" s="64" t="s">
        <v>1768</v>
      </c>
      <c r="B21" s="65" t="n">
        <v>21100</v>
      </c>
      <c r="C21" s="66"/>
      <c r="D21" s="66"/>
      <c r="E21" s="66"/>
    </row>
    <row r="22" customFormat="false" ht="15" hidden="false" customHeight="false" outlineLevel="0" collapsed="false">
      <c r="A22" s="64" t="s">
        <v>1769</v>
      </c>
      <c r="B22" s="65" t="n">
        <v>27029100</v>
      </c>
      <c r="C22" s="66"/>
      <c r="D22" s="66"/>
      <c r="E22" s="66"/>
    </row>
    <row r="23" customFormat="false" ht="15" hidden="false" customHeight="false" outlineLevel="0" collapsed="false">
      <c r="A23" s="64" t="s">
        <v>1770</v>
      </c>
      <c r="B23" s="65" t="n">
        <v>2486677200</v>
      </c>
      <c r="C23" s="66"/>
      <c r="D23" s="66"/>
      <c r="E23" s="66"/>
    </row>
    <row r="24" customFormat="false" ht="15" hidden="false" customHeight="false" outlineLevel="0" collapsed="false">
      <c r="A24" s="64" t="s">
        <v>1771</v>
      </c>
      <c r="B24" s="67" t="n">
        <v>0.682</v>
      </c>
      <c r="C24" s="66"/>
      <c r="D24" s="66"/>
      <c r="E24" s="66"/>
    </row>
    <row r="25" customFormat="false" ht="15" hidden="false" customHeight="false" outlineLevel="0" collapsed="false">
      <c r="A25" s="64" t="s">
        <v>1772</v>
      </c>
      <c r="B25" s="66" t="s">
        <v>1773</v>
      </c>
      <c r="C25" s="66"/>
      <c r="D25" s="66"/>
      <c r="E25" s="66"/>
    </row>
  </sheetData>
  <mergeCells count="2">
    <mergeCell ref="A1:D1"/>
    <mergeCell ref="A19:E1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38"/>
    <col collapsed="false" customWidth="true" hidden="false" outlineLevel="0" max="2" min="2" style="0" width="56"/>
    <col collapsed="false" customWidth="true" hidden="false" outlineLevel="0" max="5" min="3" style="0" width="8"/>
    <col collapsed="false" customWidth="true" hidden="false" outlineLevel="0" max="6" min="6" style="0" width="16"/>
    <col collapsed="false" customWidth="true" hidden="false" outlineLevel="0" max="7" min="7" style="0" width="18"/>
    <col collapsed="false" customWidth="true" hidden="false" outlineLevel="0" max="8" min="8" style="0" width="38"/>
  </cols>
  <sheetData>
    <row r="1" customFormat="false" ht="17.35" hidden="false" customHeight="false" outlineLevel="0" collapsed="false">
      <c r="A1" s="57" t="s">
        <v>1774</v>
      </c>
      <c r="B1" s="57"/>
      <c r="C1" s="57"/>
      <c r="D1" s="57"/>
      <c r="E1" s="57"/>
      <c r="F1" s="57"/>
      <c r="G1" s="57"/>
      <c r="H1" s="57"/>
    </row>
    <row r="3" customFormat="false" ht="31.5" hidden="false" customHeight="true" outlineLevel="0" collapsed="false">
      <c r="A3" s="13" t="s">
        <v>1775</v>
      </c>
      <c r="B3" s="13" t="s">
        <v>1776</v>
      </c>
      <c r="C3" s="13" t="s">
        <v>1777</v>
      </c>
      <c r="D3" s="13" t="s">
        <v>1778</v>
      </c>
      <c r="E3" s="13" t="s">
        <v>1779</v>
      </c>
      <c r="F3" s="13" t="s">
        <v>1780</v>
      </c>
      <c r="G3" s="13" t="s">
        <v>1781</v>
      </c>
      <c r="H3" s="13" t="s">
        <v>1782</v>
      </c>
    </row>
    <row r="4" customFormat="false" ht="79.1" hidden="false" customHeight="false" outlineLevel="0" collapsed="false">
      <c r="A4" s="58" t="s">
        <v>1783</v>
      </c>
      <c r="B4" s="58" t="s">
        <v>1784</v>
      </c>
      <c r="C4" s="68" t="n">
        <v>1</v>
      </c>
      <c r="D4" s="68" t="n">
        <v>1</v>
      </c>
      <c r="E4" s="68" t="n">
        <v>1</v>
      </c>
      <c r="F4" s="59" t="n">
        <v>280000</v>
      </c>
      <c r="G4" s="59" t="n">
        <v>18000000</v>
      </c>
      <c r="H4" s="58" t="s">
        <v>1785</v>
      </c>
    </row>
    <row r="5" customFormat="false" ht="49.95" hidden="false" customHeight="false" outlineLevel="0" collapsed="false">
      <c r="A5" s="25" t="s">
        <v>1786</v>
      </c>
      <c r="B5" s="25" t="s">
        <v>1787</v>
      </c>
      <c r="C5" s="69" t="n">
        <v>2</v>
      </c>
      <c r="D5" s="69" t="n">
        <v>1</v>
      </c>
      <c r="E5" s="69" t="n">
        <v>0</v>
      </c>
      <c r="F5" s="60" t="n">
        <v>180000</v>
      </c>
      <c r="G5" s="60" t="n">
        <v>11000000</v>
      </c>
      <c r="H5" s="25" t="s">
        <v>1788</v>
      </c>
    </row>
    <row r="6" customFormat="false" ht="30.55" hidden="false" customHeight="false" outlineLevel="0" collapsed="false">
      <c r="A6" s="58" t="s">
        <v>1789</v>
      </c>
      <c r="B6" s="58" t="s">
        <v>1790</v>
      </c>
      <c r="C6" s="68" t="n">
        <v>1</v>
      </c>
      <c r="D6" s="68" t="n">
        <v>1</v>
      </c>
      <c r="E6" s="68" t="n">
        <v>0</v>
      </c>
      <c r="F6" s="59" t="n">
        <v>160000</v>
      </c>
      <c r="G6" s="59" t="n">
        <v>9500000</v>
      </c>
      <c r="H6" s="58" t="s">
        <v>1791</v>
      </c>
    </row>
    <row r="7" customFormat="false" ht="49.95" hidden="false" customHeight="false" outlineLevel="0" collapsed="false">
      <c r="A7" s="25" t="s">
        <v>1792</v>
      </c>
      <c r="B7" s="25" t="s">
        <v>1793</v>
      </c>
      <c r="C7" s="69" t="n">
        <v>1</v>
      </c>
      <c r="D7" s="69" t="n">
        <v>1</v>
      </c>
      <c r="E7" s="69" t="n">
        <v>0</v>
      </c>
      <c r="F7" s="60" t="n">
        <v>200000</v>
      </c>
      <c r="G7" s="60" t="n">
        <v>10500000</v>
      </c>
      <c r="H7" s="25" t="s">
        <v>1794</v>
      </c>
    </row>
    <row r="8" customFormat="false" ht="49.95" hidden="false" customHeight="false" outlineLevel="0" collapsed="false">
      <c r="A8" s="58" t="s">
        <v>1795</v>
      </c>
      <c r="B8" s="58" t="s">
        <v>1796</v>
      </c>
      <c r="C8" s="68" t="n">
        <v>1</v>
      </c>
      <c r="D8" s="68" t="n">
        <v>1</v>
      </c>
      <c r="E8" s="68" t="n">
        <v>0</v>
      </c>
      <c r="F8" s="59" t="n">
        <v>170000</v>
      </c>
      <c r="G8" s="59" t="n">
        <v>9000000</v>
      </c>
      <c r="H8" s="58" t="s">
        <v>1797</v>
      </c>
    </row>
    <row r="9" customFormat="false" ht="40.25" hidden="false" customHeight="false" outlineLevel="0" collapsed="false">
      <c r="A9" s="25" t="s">
        <v>1798</v>
      </c>
      <c r="B9" s="25" t="s">
        <v>1799</v>
      </c>
      <c r="C9" s="69" t="n">
        <v>1</v>
      </c>
      <c r="D9" s="69" t="n">
        <v>1</v>
      </c>
      <c r="E9" s="69" t="n">
        <v>0</v>
      </c>
      <c r="F9" s="60" t="n">
        <v>140000</v>
      </c>
      <c r="G9" s="60" t="n">
        <v>7500000</v>
      </c>
      <c r="H9" s="25" t="s">
        <v>1800</v>
      </c>
    </row>
    <row r="10" customFormat="false" ht="40.25" hidden="false" customHeight="false" outlineLevel="0" collapsed="false">
      <c r="A10" s="58" t="s">
        <v>1801</v>
      </c>
      <c r="B10" s="58" t="s">
        <v>1802</v>
      </c>
      <c r="C10" s="68" t="n">
        <v>1</v>
      </c>
      <c r="D10" s="68" t="n">
        <v>0</v>
      </c>
      <c r="E10" s="68" t="n">
        <v>0</v>
      </c>
      <c r="F10" s="59" t="n">
        <v>165000</v>
      </c>
      <c r="G10" s="59" t="n">
        <v>9000000</v>
      </c>
      <c r="H10" s="58" t="s">
        <v>1803</v>
      </c>
    </row>
    <row r="11" customFormat="false" ht="49.95" hidden="false" customHeight="false" outlineLevel="0" collapsed="false">
      <c r="A11" s="25" t="s">
        <v>1804</v>
      </c>
      <c r="B11" s="25" t="s">
        <v>1805</v>
      </c>
      <c r="C11" s="69" t="n">
        <v>5</v>
      </c>
      <c r="D11" s="69" t="n">
        <v>3</v>
      </c>
      <c r="E11" s="69" t="n">
        <v>1</v>
      </c>
      <c r="F11" s="60" t="n">
        <v>65000</v>
      </c>
      <c r="G11" s="60" t="n">
        <v>2400000</v>
      </c>
      <c r="H11" s="25" t="s">
        <v>1806</v>
      </c>
    </row>
    <row r="12" customFormat="false" ht="30.55" hidden="false" customHeight="false" outlineLevel="0" collapsed="false">
      <c r="A12" s="58" t="s">
        <v>1807</v>
      </c>
      <c r="B12" s="58" t="s">
        <v>1808</v>
      </c>
      <c r="C12" s="68" t="n">
        <v>3</v>
      </c>
      <c r="D12" s="68" t="n">
        <v>2</v>
      </c>
      <c r="E12" s="68" t="n">
        <v>1</v>
      </c>
      <c r="F12" s="59" t="n">
        <v>42000</v>
      </c>
      <c r="G12" s="59" t="n">
        <v>1400000</v>
      </c>
      <c r="H12" s="58" t="s">
        <v>1809</v>
      </c>
    </row>
    <row r="13" customFormat="false" ht="49.95" hidden="false" customHeight="false" outlineLevel="0" collapsed="false">
      <c r="A13" s="25" t="s">
        <v>1810</v>
      </c>
      <c r="B13" s="25" t="s">
        <v>1811</v>
      </c>
      <c r="C13" s="69" t="n">
        <v>3</v>
      </c>
      <c r="D13" s="69" t="n">
        <v>2</v>
      </c>
      <c r="E13" s="69" t="n">
        <v>1</v>
      </c>
      <c r="F13" s="60" t="n">
        <v>80000</v>
      </c>
      <c r="G13" s="60" t="n">
        <v>3200000</v>
      </c>
      <c r="H13" s="25" t="s">
        <v>1812</v>
      </c>
    </row>
    <row r="14" customFormat="false" ht="40.25" hidden="false" customHeight="false" outlineLevel="0" collapsed="false">
      <c r="A14" s="58" t="s">
        <v>1813</v>
      </c>
      <c r="B14" s="58" t="s">
        <v>1814</v>
      </c>
      <c r="C14" s="68" t="n">
        <v>4</v>
      </c>
      <c r="D14" s="68" t="n">
        <v>3</v>
      </c>
      <c r="E14" s="68" t="n">
        <v>2</v>
      </c>
      <c r="F14" s="59" t="n">
        <v>60000</v>
      </c>
      <c r="G14" s="59" t="n">
        <v>2200000</v>
      </c>
      <c r="H14" s="58" t="s">
        <v>1815</v>
      </c>
    </row>
    <row r="15" customFormat="false" ht="30.55" hidden="false" customHeight="false" outlineLevel="0" collapsed="false">
      <c r="A15" s="25" t="s">
        <v>1816</v>
      </c>
      <c r="B15" s="25" t="s">
        <v>1817</v>
      </c>
      <c r="C15" s="69" t="n">
        <v>4</v>
      </c>
      <c r="D15" s="69" t="n">
        <v>3</v>
      </c>
      <c r="E15" s="69" t="n">
        <v>2</v>
      </c>
      <c r="F15" s="60" t="n">
        <v>50000</v>
      </c>
      <c r="G15" s="60" t="n">
        <v>1900000</v>
      </c>
      <c r="H15" s="25" t="s">
        <v>1818</v>
      </c>
    </row>
    <row r="16" customFormat="false" ht="40.25" hidden="false" customHeight="false" outlineLevel="0" collapsed="false">
      <c r="A16" s="58" t="s">
        <v>1819</v>
      </c>
      <c r="B16" s="58" t="s">
        <v>1820</v>
      </c>
      <c r="C16" s="68" t="n">
        <v>1</v>
      </c>
      <c r="D16" s="68" t="n">
        <v>1</v>
      </c>
      <c r="E16" s="68" t="n">
        <v>0</v>
      </c>
      <c r="F16" s="59" t="n">
        <v>150000</v>
      </c>
      <c r="G16" s="59" t="n">
        <v>8500000</v>
      </c>
      <c r="H16" s="58" t="s">
        <v>1821</v>
      </c>
    </row>
    <row r="17" customFormat="false" ht="20.85" hidden="false" customHeight="false" outlineLevel="0" collapsed="false">
      <c r="A17" s="25" t="s">
        <v>1822</v>
      </c>
      <c r="B17" s="25" t="s">
        <v>1823</v>
      </c>
      <c r="C17" s="69" t="n">
        <v>2</v>
      </c>
      <c r="D17" s="69" t="n">
        <v>1</v>
      </c>
      <c r="E17" s="69" t="n">
        <v>0</v>
      </c>
      <c r="F17" s="60" t="n">
        <v>38000</v>
      </c>
      <c r="G17" s="60" t="n">
        <v>1300000</v>
      </c>
      <c r="H17" s="25" t="s">
        <v>1824</v>
      </c>
    </row>
    <row r="18" customFormat="false" ht="40.25" hidden="false" customHeight="false" outlineLevel="0" collapsed="false">
      <c r="A18" s="58" t="s">
        <v>1825</v>
      </c>
      <c r="B18" s="58" t="s">
        <v>1826</v>
      </c>
      <c r="C18" s="68" t="n">
        <v>3</v>
      </c>
      <c r="D18" s="68" t="n">
        <v>2</v>
      </c>
      <c r="E18" s="68" t="n">
        <v>1</v>
      </c>
      <c r="F18" s="59" t="n">
        <v>75000</v>
      </c>
      <c r="G18" s="59" t="n">
        <v>2800000</v>
      </c>
      <c r="H18" s="58" t="s">
        <v>1827</v>
      </c>
    </row>
    <row r="19" customFormat="false" ht="20.85" hidden="false" customHeight="false" outlineLevel="0" collapsed="false">
      <c r="A19" s="25" t="s">
        <v>1828</v>
      </c>
      <c r="B19" s="25" t="s">
        <v>1829</v>
      </c>
      <c r="C19" s="69" t="n">
        <v>2</v>
      </c>
      <c r="D19" s="69" t="n">
        <v>1</v>
      </c>
      <c r="E19" s="69" t="n">
        <v>1</v>
      </c>
      <c r="F19" s="60" t="n">
        <v>55000</v>
      </c>
      <c r="G19" s="60" t="n">
        <v>1900000</v>
      </c>
      <c r="H19" s="25" t="s">
        <v>1830</v>
      </c>
    </row>
    <row r="20" customFormat="false" ht="40.25" hidden="false" customHeight="false" outlineLevel="0" collapsed="false">
      <c r="A20" s="58" t="s">
        <v>1831</v>
      </c>
      <c r="B20" s="58" t="s">
        <v>1832</v>
      </c>
      <c r="C20" s="68" t="n">
        <v>2</v>
      </c>
      <c r="D20" s="68" t="n">
        <v>1</v>
      </c>
      <c r="E20" s="68" t="n">
        <v>1</v>
      </c>
      <c r="F20" s="59" t="n">
        <v>70000</v>
      </c>
      <c r="G20" s="59" t="n">
        <v>2600000</v>
      </c>
      <c r="H20" s="58" t="s">
        <v>1833</v>
      </c>
    </row>
    <row r="21" customFormat="false" ht="49.95" hidden="false" customHeight="false" outlineLevel="0" collapsed="false">
      <c r="A21" s="25" t="s">
        <v>1834</v>
      </c>
      <c r="B21" s="25" t="s">
        <v>1835</v>
      </c>
      <c r="C21" s="69" t="n">
        <v>4</v>
      </c>
      <c r="D21" s="69" t="n">
        <v>3</v>
      </c>
      <c r="E21" s="69" t="n">
        <v>2</v>
      </c>
      <c r="F21" s="60" t="n">
        <v>55000</v>
      </c>
      <c r="G21" s="60" t="n">
        <v>1800000</v>
      </c>
      <c r="H21" s="25" t="s">
        <v>1836</v>
      </c>
    </row>
    <row r="22" customFormat="false" ht="40.25" hidden="false" customHeight="false" outlineLevel="0" collapsed="false">
      <c r="A22" s="58" t="s">
        <v>1837</v>
      </c>
      <c r="B22" s="58" t="s">
        <v>1838</v>
      </c>
      <c r="C22" s="68" t="n">
        <v>2</v>
      </c>
      <c r="D22" s="68" t="n">
        <v>2</v>
      </c>
      <c r="E22" s="68" t="n">
        <v>2</v>
      </c>
      <c r="F22" s="59" t="n">
        <v>55000</v>
      </c>
      <c r="G22" s="59" t="n">
        <v>1800000</v>
      </c>
      <c r="H22" s="58" t="s">
        <v>1839</v>
      </c>
    </row>
    <row r="23" customFormat="false" ht="30.55" hidden="false" customHeight="false" outlineLevel="0" collapsed="false">
      <c r="A23" s="25" t="s">
        <v>1840</v>
      </c>
      <c r="B23" s="25" t="s">
        <v>1841</v>
      </c>
      <c r="C23" s="69" t="n">
        <v>16</v>
      </c>
      <c r="D23" s="69" t="n">
        <v>12</v>
      </c>
      <c r="E23" s="69" t="n">
        <v>8</v>
      </c>
      <c r="F23" s="60" t="n">
        <v>45000</v>
      </c>
      <c r="G23" s="60" t="n">
        <v>1500000</v>
      </c>
      <c r="H23" s="25" t="s">
        <v>1842</v>
      </c>
    </row>
    <row r="24" customFormat="false" ht="30.55" hidden="false" customHeight="false" outlineLevel="0" collapsed="false">
      <c r="A24" s="58" t="s">
        <v>1843</v>
      </c>
      <c r="B24" s="58" t="s">
        <v>1844</v>
      </c>
      <c r="C24" s="68" t="n">
        <v>2</v>
      </c>
      <c r="D24" s="68" t="n">
        <v>2</v>
      </c>
      <c r="E24" s="68" t="n">
        <v>1</v>
      </c>
      <c r="F24" s="59" t="n">
        <v>110000</v>
      </c>
      <c r="G24" s="59" t="n">
        <v>4500000</v>
      </c>
      <c r="H24" s="58" t="s">
        <v>1845</v>
      </c>
    </row>
    <row r="25" customFormat="false" ht="30.55" hidden="false" customHeight="false" outlineLevel="0" collapsed="false">
      <c r="A25" s="25" t="s">
        <v>1846</v>
      </c>
      <c r="B25" s="25" t="s">
        <v>1847</v>
      </c>
      <c r="C25" s="69" t="n">
        <v>6</v>
      </c>
      <c r="D25" s="69" t="n">
        <v>5</v>
      </c>
      <c r="E25" s="69" t="n">
        <v>3</v>
      </c>
      <c r="F25" s="60" t="n">
        <v>48000</v>
      </c>
      <c r="G25" s="60" t="n">
        <v>1700000</v>
      </c>
      <c r="H25" s="25" t="s">
        <v>1848</v>
      </c>
    </row>
    <row r="26" customFormat="false" ht="40.25" hidden="false" customHeight="false" outlineLevel="0" collapsed="false">
      <c r="A26" s="58" t="s">
        <v>1849</v>
      </c>
      <c r="B26" s="58" t="s">
        <v>1850</v>
      </c>
      <c r="C26" s="68" t="n">
        <v>4</v>
      </c>
      <c r="D26" s="68" t="n">
        <v>2</v>
      </c>
      <c r="E26" s="68" t="n">
        <v>0</v>
      </c>
      <c r="F26" s="59" t="n">
        <v>55000</v>
      </c>
      <c r="G26" s="59" t="n">
        <v>1800000</v>
      </c>
      <c r="H26" s="58" t="s">
        <v>1851</v>
      </c>
    </row>
    <row r="27" customFormat="false" ht="49.95" hidden="false" customHeight="false" outlineLevel="0" collapsed="false">
      <c r="A27" s="25" t="s">
        <v>1852</v>
      </c>
      <c r="B27" s="25" t="s">
        <v>1853</v>
      </c>
      <c r="C27" s="69" t="n">
        <v>3</v>
      </c>
      <c r="D27" s="69" t="n">
        <v>2</v>
      </c>
      <c r="E27" s="69" t="n">
        <v>0</v>
      </c>
      <c r="F27" s="60" t="n">
        <v>65000</v>
      </c>
      <c r="G27" s="60" t="n">
        <v>2200000</v>
      </c>
      <c r="H27" s="25" t="s">
        <v>1854</v>
      </c>
    </row>
    <row r="28" customFormat="false" ht="40.25" hidden="false" customHeight="false" outlineLevel="0" collapsed="false">
      <c r="A28" s="58" t="s">
        <v>1855</v>
      </c>
      <c r="B28" s="58" t="s">
        <v>1856</v>
      </c>
      <c r="C28" s="68" t="n">
        <v>1</v>
      </c>
      <c r="D28" s="68" t="n">
        <v>1</v>
      </c>
      <c r="E28" s="68" t="n">
        <v>0</v>
      </c>
      <c r="F28" s="59" t="n">
        <v>220000</v>
      </c>
      <c r="G28" s="59" t="n">
        <v>11500000</v>
      </c>
      <c r="H28" s="58" t="s">
        <v>1857</v>
      </c>
    </row>
    <row r="29" customFormat="false" ht="59.7" hidden="false" customHeight="false" outlineLevel="0" collapsed="false">
      <c r="A29" s="25" t="s">
        <v>1858</v>
      </c>
      <c r="B29" s="25" t="s">
        <v>1859</v>
      </c>
      <c r="C29" s="69" t="n">
        <v>2</v>
      </c>
      <c r="D29" s="69" t="n">
        <v>1</v>
      </c>
      <c r="E29" s="69" t="n">
        <v>0</v>
      </c>
      <c r="F29" s="60" t="n">
        <v>75000</v>
      </c>
      <c r="G29" s="60" t="n">
        <v>2700000</v>
      </c>
      <c r="H29" s="25" t="s">
        <v>1860</v>
      </c>
    </row>
    <row r="30" customFormat="false" ht="40.25" hidden="false" customHeight="false" outlineLevel="0" collapsed="false">
      <c r="A30" s="58" t="s">
        <v>1861</v>
      </c>
      <c r="B30" s="58" t="s">
        <v>1862</v>
      </c>
      <c r="C30" s="68" t="n">
        <v>2</v>
      </c>
      <c r="D30" s="68" t="n">
        <v>2</v>
      </c>
      <c r="E30" s="68" t="n">
        <v>1</v>
      </c>
      <c r="F30" s="59" t="n">
        <v>90000</v>
      </c>
      <c r="G30" s="59" t="n">
        <v>3500000</v>
      </c>
      <c r="H30" s="58" t="s">
        <v>1863</v>
      </c>
    </row>
    <row r="31" customFormat="false" ht="20.85" hidden="false" customHeight="false" outlineLevel="0" collapsed="false">
      <c r="A31" s="25" t="s">
        <v>1864</v>
      </c>
      <c r="B31" s="25" t="s">
        <v>1865</v>
      </c>
      <c r="C31" s="69" t="n">
        <v>2</v>
      </c>
      <c r="D31" s="69" t="n">
        <v>1</v>
      </c>
      <c r="E31" s="69" t="n">
        <v>0</v>
      </c>
      <c r="F31" s="60" t="n">
        <v>50000</v>
      </c>
      <c r="G31" s="60" t="n">
        <v>1700000</v>
      </c>
      <c r="H31" s="25" t="s">
        <v>1866</v>
      </c>
    </row>
    <row r="32" customFormat="false" ht="15" hidden="false" customHeight="false" outlineLevel="0" collapsed="false">
      <c r="A32" s="70" t="s">
        <v>1867</v>
      </c>
      <c r="B32" s="71"/>
      <c r="C32" s="72" t="n">
        <v>81</v>
      </c>
      <c r="D32" s="72" t="n">
        <v>58</v>
      </c>
      <c r="E32" s="72" t="n">
        <v>28</v>
      </c>
      <c r="F32" s="73" t="n">
        <v>3883000</v>
      </c>
      <c r="G32" s="73" t="n">
        <v>357271000</v>
      </c>
      <c r="H32" s="70" t="s">
        <v>1868</v>
      </c>
    </row>
  </sheetData>
  <mergeCells count="1">
    <mergeCell ref="A1:H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LibreOffice/26.2.2.2$Linux_X86_64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2026-05-03T21:28:30Z</dcterms:created>
  <dc:creator>openpyxl</dc:creator>
  <dc:description/>
  <dc:language>en-US</dc:language>
  <cp:lastModifiedBy/>
  <dcterms:modified xsi:type="dcterms:W3CDTF">2026-05-04T12:06:12Z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