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Обзор" sheetId="1" state="visible" r:id="rId3"/>
    <sheet name="Реестр оборудования" sheetId="2" state="visible" r:id="rId4"/>
    <sheet name="Сводка CapEx по уровням" sheetId="3" state="visible" r:id="rId5"/>
    <sheet name="Окупаемость и выручка" sheetId="4" state="visible" r:id="rId6"/>
    <sheet name="Региональные факторы стоимости" sheetId="5" state="visible" r:id="rId7"/>
    <sheet name="Источники и методология" sheetId="6" state="visible" r:id="rId8"/>
  </sheets>
  <definedNames>
    <definedName function="false" hidden="true" localSheetId="1" name="_xlnm._FilterDatabase" vbProcedure="false">'Реестр оборудования'!$A$1:$Y$135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<sst xmlns="http://schemas.openxmlformats.org/spreadsheetml/2006/main" count="2336" uniqueCount="1367">
  <si>
    <t xml:space="preserve">Премиальный Longevity Resort — Бенчмарк CapEx</t>
  </si>
  <si>
    <t xml:space="preserve">Оборудование, ПО, SPA, кухня и медицинская инфраструктура в четырёх регионах</t>
  </si>
  <si>
    <t xml:space="preserve">Дата выпуска</t>
  </si>
  <si>
    <t xml:space="preserve">2026-05-03</t>
  </si>
  <si>
    <t xml:space="preserve">Покрытие по уровням</t>
  </si>
  <si>
    <t xml:space="preserve">Lanserhof/CLP (полная медицинская глубина)  |  SHA/Chenot (медицина-лайт)  |  Six Senses Place (велнес-плюс)</t>
  </si>
  <si>
    <t xml:space="preserve">Профиль объекта</t>
  </si>
  <si>
    <t xml:space="preserve">80–100 номеров (модель использует середину диапазона — 90 номеров); премиальное люкс-позиционирование</t>
  </si>
  <si>
    <t xml:space="preserve">Регионы ценообразования</t>
  </si>
  <si>
    <t xml:space="preserve">Западная Европа (EUR) | Северная Америка (USD) | Азия (USD, с указанием страны) | Россия (RUB, оценка)</t>
  </si>
  <si>
    <t xml:space="preserve">Количество позиций</t>
  </si>
  <si>
    <t xml:space="preserve">134 позиции в 16 категориях</t>
  </si>
  <si>
    <t xml:space="preserve">СОДЕРЖИМОЕ КНИГИ</t>
  </si>
  <si>
    <t xml:space="preserve">Обзор</t>
  </si>
  <si>
    <t xml:space="preserve">Эта страница — методология, определения уровней, цветовая легенда</t>
  </si>
  <si>
    <t xml:space="preserve">Реестр оборудования</t>
  </si>
  <si>
    <t xml:space="preserve">Все 134 позиции с брендом, ценами в четырёх регионах, привязкой к уровню, источником и достоверностью</t>
  </si>
  <si>
    <t xml:space="preserve">Сводка CapEx по уровням</t>
  </si>
  <si>
    <t xml:space="preserve">Свод по уровням, группам и регионам. Живые формулы — изменения в реестре или keys_count пересчитают итоги.</t>
  </si>
  <si>
    <t xml:space="preserve">Окупаемость и выручка</t>
  </si>
  <si>
    <t xml:space="preserve">Блоки окупаемости оборудования, цены процедур и пакетов, логика прироста ADR, диапазоны окупаемости</t>
  </si>
  <si>
    <t xml:space="preserve">Региональные факторы стоимости</t>
  </si>
  <si>
    <t xml:space="preserve">Санкции, таможня и НДС, параллельный импорт, отечественные альтернативы — детально по России</t>
  </si>
  <si>
    <t xml:space="preserve">Источники и методология</t>
  </si>
  <si>
    <t xml:space="preserve">Все цитируемые источники, оценка достоверности и рекомендованный путь верификации</t>
  </si>
  <si>
    <t xml:space="preserve">ОПРЕДЕЛЕНИЯ УРОВНЕЙ</t>
  </si>
  <si>
    <t xml:space="preserve">Уровень Six Senses Place (велнес-плюс)</t>
  </si>
  <si>
    <t xml:space="preserve">Велнес-плюс. Премиальное SPA, полноценная термальная зона, пилатес и тренажёрный зал, полная кухня, PMS и ИТ. Без медицинского центра, визуализации, собственной лаборатории и МИС. Позиции этого уровня входят во ВСЕ уровни (операционная база).</t>
  </si>
  <si>
    <t xml:space="preserve">Уровень SHA/Chenot (медицина-лайт)</t>
  </si>
  <si>
    <t xml:space="preserve">Медицина-лайт. Добавляются УЗИ, DEXA, рентген, базовые лабораторные анализаторы, ЭКГ-комплекс, HSAT, кресла для капельниц, FibroScan, RMR, МИС среднего класса и базовая медицинская инфраструктура.</t>
  </si>
  <si>
    <t xml:space="preserve">Уровень Lanserhof/CLP (полный медицинский)</t>
  </si>
  <si>
    <t xml:space="preserve">Полная медицинская глубина. Добавляются МРТ 3 Тл и 1,5 Тл, КТ, ОКТ, маммография, полноценная PSG/ЭЭГ, озон/ИГГТ/HBOT, эстетические лазеры, полнофункциональный PACS, полная система медицинских газов, генератор и HEPA.</t>
  </si>
  <si>
    <t xml:space="preserve">Опциональный апселл</t>
  </si>
  <si>
    <t xml:space="preserve">Учитывается отдельно — Epic EHR, криолиполиз, парк ECG-патчей, корпоративные WHOOP/Garmin. НЕ входят в базовые итоги уровней.</t>
  </si>
  <si>
    <t xml:space="preserve">ЦВЕТОВАЯ ЛЕГЕНДА</t>
  </si>
  <si>
    <t xml:space="preserve">Жёсткий ввод</t>
  </si>
  <si>
    <t xml:space="preserve">Числа, которые пользователь меняет под сценарии (цены, keys_count, курсы)</t>
  </si>
  <si>
    <t xml:space="preserve">Формула / расчёт</t>
  </si>
  <si>
    <t xml:space="preserve">Ячейки, рассчитываемые книгой по введённым параметрам</t>
  </si>
  <si>
    <t xml:space="preserve">Кросс-листовая ссылка</t>
  </si>
  <si>
    <t xml:space="preserve">Ссылки на другие листы — поддерживают синхронность сводок с реестром</t>
  </si>
  <si>
    <t xml:space="preserve">Цвета достоверности</t>
  </si>
  <si>
    <t xml:space="preserve">Зелёный — высокая, жёлтый — средняя, оранжевый — низкая. Применяются к колонке достоверности в реестре.</t>
  </si>
  <si>
    <t xml:space="preserve">КАК ЧИТАТЬ ЭТУ КНИГУ</t>
  </si>
  <si>
    <t xml:space="preserve">1. Реестр оборудования — единый источник истины. Изменение цены или количества там автоматически обновляет сводку CapEx через SUMPRODUCT.</t>
  </si>
  <si>
    <t xml:space="preserve">2. Сводка CapEx использует логику включения уровней: позиции Six Senses учитываются во ВСЕХ трёх уровнях; позиции SHA — в CLP и SHA; позиции CLP — только в CLP.</t>
  </si>
  <si>
    <t xml:space="preserve">3. Для ПО раздельно показаны единовременный CapEx и годовая подписка. Годовые суммы относятся к OpEx и в итоги CapEx не включаются.</t>
  </si>
  <si>
    <t xml:space="preserve">4. Колонка России (₽) имеет НАИМЕНЬШУЮ достоверность — рекомендации по верификации см. в листе «Источники и методология».</t>
  </si>
  <si>
    <t xml:space="preserve">5. «CapEx на номер» использует keys_count из ячейки B3 листа «Сводка CapEx по уровням» (по умолчанию 90 — редактируется).</t>
  </si>
  <si>
    <t xml:space="preserve">ID</t>
  </si>
  <si>
    <t xml:space="preserve">Категория</t>
  </si>
  <si>
    <t xml:space="preserve">Подкатегория</t>
  </si>
  <si>
    <t xml:space="preserve">Оборудование</t>
  </si>
  <si>
    <t xml:space="preserve">Примеры брендов</t>
  </si>
  <si>
    <t xml:space="preserve">Назначение</t>
  </si>
  <si>
    <t xml:space="preserve">Уровень (скорректированный)</t>
  </si>
  <si>
    <t xml:space="preserve">Уровень (по исследованию)</t>
  </si>
  <si>
    <t xml:space="preserve">Цена — Западная Европа (€)</t>
  </si>
  <si>
    <t xml:space="preserve">Цена — Северная Америка (USD)</t>
  </si>
  <si>
    <t xml:space="preserve">Цена — Азия (USD)</t>
  </si>
  <si>
    <t xml:space="preserve">Страна Азии</t>
  </si>
  <si>
    <t xml:space="preserve">Цена — Россия, оценка (₽)</t>
  </si>
  <si>
    <t xml:space="preserve">Количество (80–100 номеров)</t>
  </si>
  <si>
    <t xml:space="preserve">Срок службы (лет)</t>
  </si>
  <si>
    <t xml:space="preserve">Годовое обслуживание (% CapEx)</t>
  </si>
  <si>
    <t xml:space="preserve">FTE на эксплуатацию</t>
  </si>
  <si>
    <t xml:space="preserve">Источник</t>
  </si>
  <si>
    <t xml:space="preserve">Достоверность</t>
  </si>
  <si>
    <t xml:space="preserve">Дата проверки</t>
  </si>
  <si>
    <t xml:space="preserve">Примечания</t>
  </si>
  <si>
    <t xml:space="preserve">ЕС: годовая €, ПО</t>
  </si>
  <si>
    <t xml:space="preserve">СА: годовая $, ПО</t>
  </si>
  <si>
    <t xml:space="preserve">Азия: годовая $, ПО</t>
  </si>
  <si>
    <t xml:space="preserve">Россия: годовая ₽, ПО</t>
  </si>
  <si>
    <t xml:space="preserve">Эстетика и регенеративные процедуры</t>
  </si>
  <si>
    <t xml:space="preserve">Аблятивно-неаблятивная платформа</t>
  </si>
  <si>
    <t xml:space="preserve">Модульная эстетическая лазерная платформа (BBL+Halo+ProFractional)</t>
  </si>
  <si>
    <t xml:space="preserve">Sciton JOULE X / Lumenis M22</t>
  </si>
  <si>
    <t xml:space="preserve">Шлифовка кожи, удаление пигментации и сосудистых образований — рабочая лошадка эстетического направления.</t>
  </si>
  <si>
    <t xml:space="preserve">ОАЭ</t>
  </si>
  <si>
    <t xml:space="preserve">Дилерские предложения Sciton; платформа mJOULE с пробегом по цене $149 950 (mrp.io); прайсы Lumenis 2024.</t>
  </si>
  <si>
    <t xml:space="preserve">Средняя</t>
  </si>
  <si>
    <t xml:space="preserve">2026-05</t>
  </si>
  <si>
    <t xml:space="preserve">Регуляторное замечание: производитель — США. Импорт в Россию идёт по параллельным каналам с надбавкой 20–30%. Целесообразно рассмотреть европейские альтернативы (Asclepion, Quantel).</t>
  </si>
  <si>
    <t xml:space="preserve">Криолиполиз</t>
  </si>
  <si>
    <t xml:space="preserve">Система криолиполиза (редукция жировой ткани)</t>
  </si>
  <si>
    <t xml:space="preserve">Allergan CoolSculpting Elite / Cooltech Define</t>
  </si>
  <si>
    <t xml:space="preserve">Неинвазивная редукция жировой ткани — высокомаржинальная эстетическая услуга.</t>
  </si>
  <si>
    <t xml:space="preserve">Дилер Allergan, 2024; восстановленные системы CoolSculpting Elite на Offer Aesthetic.</t>
  </si>
  <si>
    <t xml:space="preserve">Регуляторное замечание: Allergan/AbbVie находятся под американским контролем. Для России предпочтительнее Cooltech (Испания, ныне Cocoon Medical).</t>
  </si>
  <si>
    <t xml:space="preserve">EMSculpt / электромагнитная стимуляция мышц</t>
  </si>
  <si>
    <t xml:space="preserve">Электромагнитная стимуляция мышц (HIFEM)</t>
  </si>
  <si>
    <t xml:space="preserve">BTL EMSculpt NEO</t>
  </si>
  <si>
    <t xml:space="preserve">Прирост мышечной массы и редукция жира — востребованная SPA-надстройка.</t>
  </si>
  <si>
    <t xml:space="preserve">Дилерские предложения BTL Industries 2024–2025.</t>
  </si>
  <si>
    <t xml:space="preserve">Производитель BTL — чешская компания, поэтому канал поставки в Россию относительно чистый.</t>
  </si>
  <si>
    <t xml:space="preserve">HIFU-лифтинг кожи</t>
  </si>
  <si>
    <t xml:space="preserve">Микрофокусированный ультразвук для лифтинга кожи (HIFU)</t>
  </si>
  <si>
    <t xml:space="preserve">Merz Ultherapy Prime / Ulthera</t>
  </si>
  <si>
    <t xml:space="preserve">Безоперационное подтягивание кожи — востребованная процедура.</t>
  </si>
  <si>
    <t xml:space="preserve">Konmison: справочник цен на аппараты Ultherapy 2025; vsquareclinic об Ulthera Prime.</t>
  </si>
  <si>
    <t xml:space="preserve">Расходные картриджи — около $300 за процедуру. По России: производитель Merz базируется в ЕС, что снижает санкционные риски по сравнению с американскими аналогами.</t>
  </si>
  <si>
    <t xml:space="preserve">Светотерапия LED</t>
  </si>
  <si>
    <t xml:space="preserve">LED-кушетка/панель для медицинской светотерапии</t>
  </si>
  <si>
    <t xml:space="preserve">NovoTHOR / Celluma PRO panels</t>
  </si>
  <si>
    <t xml:space="preserve">Фотобиомодуляция для кожи, восстановления и программ долголетия.</t>
  </si>
  <si>
    <t xml:space="preserve">Розничные цены NovoTHOR 2024 (~$70–90 тыс.); панели Celluma Pro $3–5 тыс. как альтернатива.</t>
  </si>
  <si>
    <t xml:space="preserve">Полнотельная кушетка NovoTHOR — фирменное оборудование премиальных клиник.</t>
  </si>
  <si>
    <t xml:space="preserve">Радиочастотная терапия</t>
  </si>
  <si>
    <t xml:space="preserve">Аппарат радиочастотной терапии (Tecar 448 кГц)</t>
  </si>
  <si>
    <t xml:space="preserve">Indiba Activ Elite NS / Indiba CT9</t>
  </si>
  <si>
    <t xml:space="preserve">Регенерация тканей, восстановление, контурирование тела — двойное применение в реабилитации и эстетике.</t>
  </si>
  <si>
    <t xml:space="preserve">Референтные предложения дилеров Indiba; клинические тарифы NYDNRehab; листинги б/у на eBay около $55 тыс.</t>
  </si>
  <si>
    <t xml:space="preserve">Производитель из Испании, что обеспечивает более чистый канал поставки в Россию по сравнению с американскими лазерами.</t>
  </si>
  <si>
    <t xml:space="preserve">Платформа сосудисто-пигментных лазеров</t>
  </si>
  <si>
    <t xml:space="preserve">Многоволновая эстетическая лазерная платформа (KTP+Nd:YAG)</t>
  </si>
  <si>
    <t xml:space="preserve">Cutera Excel V+ / Candela GentleMax Pro</t>
  </si>
  <si>
    <t xml:space="preserve">Сосудистые образования, пигментация, ревитализация кожи.</t>
  </si>
  <si>
    <t xml:space="preserve">Листинги новых Cutera Excel V+ от The Laser Agent 2025; Bimedis — диапазон б/у $18 613–49 950.</t>
  </si>
  <si>
    <t xml:space="preserve">Регуляторное замечание: эстетические лазеры из США и Израиля сталкиваются с ограничениями импорта в Россию. Поставка идёт через реэкспорт из Турции/ОАЭ с надбавкой 15–25% и риском отсутствия гарантии.</t>
  </si>
  <si>
    <t xml:space="preserve">Состав тела и функциональная диагностика</t>
  </si>
  <si>
    <t xml:space="preserve">Состав тела — воздушная плетизмография</t>
  </si>
  <si>
    <t xml:space="preserve">Воздушный плетизмограф BodPod GS-X</t>
  </si>
  <si>
    <t xml:space="preserve">Cosmed BodPod GS-X</t>
  </si>
  <si>
    <t xml:space="preserve">Эталонный двухкомпонентный анализ состава тела — отличие премиального уровня от InBody.</t>
  </si>
  <si>
    <t xml:space="preserve">Дилерские предложения Cosmed; MedicalExpo 2024.</t>
  </si>
  <si>
    <t xml:space="preserve">Используется в Lanserhof и CLP. Тяжёлый аппарат, требует выделенного помещения со стабильной температурой.</t>
  </si>
  <si>
    <t xml:space="preserve">Состав тела — биоимпеданс</t>
  </si>
  <si>
    <t xml:space="preserve">Анализатор состава тела медицинского класса (BIA, мультичастотный)</t>
  </si>
  <si>
    <t xml:space="preserve">InBody 970 / Seca mBCA 555 (medical-grade)</t>
  </si>
  <si>
    <t xml:space="preserve">Сегментарный состав тела, ECW/ICW, фазовый угол — базовое обследование в программах долголетия.</t>
  </si>
  <si>
    <t xml:space="preserve">Прайс InBody USA 2025 ($32 605); базовая Seca mBCA Pro $9 599; листинг HaB Direct mBCA 555.</t>
  </si>
  <si>
    <t xml:space="preserve">Высокая</t>
  </si>
  <si>
    <t xml:space="preserve">InBody 970 — рабочий стандарт; Seca mBCA 555 — медицинского класса CE. По России: дистрибьюторы доступны в Москве, санкционных проблем нет.</t>
  </si>
  <si>
    <t xml:space="preserve">Кардиопульмонология</t>
  </si>
  <si>
    <t xml:space="preserve">Метаболическая платформа VO2max / CPET</t>
  </si>
  <si>
    <t xml:space="preserve">Cosmed K5 / Cosmed Quark CPET / MGC Diagnostics</t>
  </si>
  <si>
    <t xml:space="preserve">VO2max и базальный метаболизм — ключевые показатели здорового долголетия.</t>
  </si>
  <si>
    <t xml:space="preserve">Дилеры Cosmed 2024; листинги MedicalExpo.</t>
  </si>
  <si>
    <t xml:space="preserve">CPET выполняют и в Lanserhof, и в SHA. В комплекте — беговая дорожка либо велоэргометр.</t>
  </si>
  <si>
    <t xml:space="preserve">DEXA-сканер</t>
  </si>
  <si>
    <t xml:space="preserve">DEXA-сканер для анализа состава тела и плотности костной ткани</t>
  </si>
  <si>
    <t xml:space="preserve">Hologic Horizon / GE Lunar iDXA</t>
  </si>
  <si>
    <t xml:space="preserve">Эталон оценки минеральной плотности костей и состава тела.</t>
  </si>
  <si>
    <t xml:space="preserve">Дилерские прайсы Hologic/GE 2024.</t>
  </si>
  <si>
    <t xml:space="preserve">Возможно пересечение с медицинской визуализацией — следует контролировать, чтобы позиция учитывалась только один раз.</t>
  </si>
  <si>
    <t xml:space="preserve">Анализ опорной реакции и походки</t>
  </si>
  <si>
    <t xml:space="preserve">Система силовых платформ (двойная, встраиваемая)</t>
  </si>
  <si>
    <t xml:space="preserve">AMTI BMS400600 / Bertec FP4060</t>
  </si>
  <si>
    <t xml:space="preserve">Опорная реакция, баланс, кинетика походки.</t>
  </si>
  <si>
    <t xml:space="preserve">Предложения дилеров AMTI; партнёрские цены Noraxon 2024.</t>
  </si>
  <si>
    <t xml:space="preserve">Пара платформ; для монтажа требуется заглубление в полу. Часто используется в связке с системами Vicon.</t>
  </si>
  <si>
    <t xml:space="preserve">Анализ походки</t>
  </si>
  <si>
    <t xml:space="preserve">Клиническая система 3D-захвата движения (8 камер)</t>
  </si>
  <si>
    <t xml:space="preserve">Vicon Vero/Valkyrie 8-cam + Nexus / Noraxon Ultium</t>
  </si>
  <si>
    <t xml:space="preserve">Маркерный 3D-анализ походки и биомеханики — премиальное преимущество клиники.</t>
  </si>
  <si>
    <t xml:space="preserve">Бенчмарк ResearchGate ~150 тыс. фунтов; дилерские котировки Vicon 2024.</t>
  </si>
  <si>
    <t xml:space="preserve">В комплект входят 8 камер Vero, ПО Nexus, калибровка. Опциональный апселл — безмаркерная система. По России: экспортный контроль умеренный.</t>
  </si>
  <si>
    <t xml:space="preserve">Оценка силы</t>
  </si>
  <si>
    <t xml:space="preserve">Многосуставной изокинетический динамометр</t>
  </si>
  <si>
    <t xml:space="preserve">Biodex System 4 Pro / Cybex HUMAC NORM</t>
  </si>
  <si>
    <t xml:space="preserve">Объективная оценка силы и баланса, реабилитация после ACL, спортивная медицина.</t>
  </si>
  <si>
    <t xml:space="preserve">Дилерские котировки Biodex; обзоры стоимости реабилитационного оборудования в PMC.</t>
  </si>
  <si>
    <t xml:space="preserve">Необходим для медицинского уровня спортивной реабилитации. Рекомендуется заключить контракт на сервисное обслуживание и калибровку.</t>
  </si>
  <si>
    <t xml:space="preserve">Кардиология и пульмонология</t>
  </si>
  <si>
    <t xml:space="preserve">СМАД</t>
  </si>
  <si>
    <t xml:space="preserve">Суточный монитор артериального давления (24-часовой СМАД)</t>
  </si>
  <si>
    <t xml:space="preserve">Welch Allyn / Hillrom ABPM 7100, SunTech Oscar 2, Schiller BR-102 plus</t>
  </si>
  <si>
    <t xml:space="preserve">Суточное мониторирование АД с оценкой ночного снижения.</t>
  </si>
  <si>
    <t xml:space="preserve">Китай</t>
  </si>
  <si>
    <t xml:space="preserve">Листинги Cardiac Direct ABPM 7100; SunTech Oscar 2 у дилеров за $2,5–3,5 тыс.; прайс Hillrom.</t>
  </si>
  <si>
    <t xml:space="preserve">Несколько регистраторов для параллельного ведения гостей. По России: BPLab (Пётр Телегин, российское производство) — отечественный стандарт СМАД, зарегистрирован Минздравом.</t>
  </si>
  <si>
    <t xml:space="preserve">Бодиплетизмография</t>
  </si>
  <si>
    <t xml:space="preserve">Бодиплетизмограф (полная PFT-лаборатория)</t>
  </si>
  <si>
    <t xml:space="preserve">MGC Diagnostics BodyBox PFS, Vyaire MasterScreen Body, Cosmed Q-Box</t>
  </si>
  <si>
    <t xml:space="preserve">Полная диагностика лёгочной функции — общая ёмкость, остаточный объём, сопротивление дыхательных путей, DLCO.</t>
  </si>
  <si>
    <t xml:space="preserve">Журнал Respiratory Therapy: плетизмограф от $50 тыс.; коммерческий прайс MGC BodyBox PFS ~$55–70 тыс.</t>
  </si>
  <si>
    <t xml:space="preserve">Опционально для отеля 80–100 номеров: оправдан только на уровне Lanserhof/CLP, на уровне SHA/Chenot допустим аутсорсинг. По России: чаще всего импортируется параллельно из Германии.</t>
  </si>
  <si>
    <t xml:space="preserve">CPET</t>
  </si>
  <si>
    <t xml:space="preserve">Метаболическая платформа CPET / VO2max</t>
  </si>
  <si>
    <t xml:space="preserve">COSMED Quark CPET, Vyaire Vyntus CPX, MGC Diagnostics Ultima CPX</t>
  </si>
  <si>
    <t xml:space="preserve">Кардиопульмональное нагрузочное тестирование; VO2max — флагманский биомаркер долголетия.</t>
  </si>
  <si>
    <t xml:space="preserve">Susquemicro / PNOE: полная платформа $40–80 тыс. и выше; восстановленная COSMED Quark CPET на eBay ~$25–40 тыс.</t>
  </si>
  <si>
    <t xml:space="preserve">В комплект входят эргометр или беговая дорожка, калибровочные газы, смесительная камера, ПО. По России: COSMED (Италия) поставляется; имеется отечественная альтернатива Aeromed.</t>
  </si>
  <si>
    <t xml:space="preserve">ЭКГ</t>
  </si>
  <si>
    <t xml:space="preserve">12-канальная ЭКГ покоя</t>
  </si>
  <si>
    <t xml:space="preserve">GE MAC 5500, Philips PageWriter TC70, Schiller CARDIOVIT AT-2</t>
  </si>
  <si>
    <t xml:space="preserve">Стандартная 12-канальная ЭКГ покоя.</t>
  </si>
  <si>
    <t xml:space="preserve">Discount Cardiology Philips PageWriter TC70 — $1 100; Cardiology Outlet Schiller AT-1 — $1 795; новый GE MAC по прайсу обычно $4 000–6 500.</t>
  </si>
  <si>
    <t xml:space="preserve">Несколько аппаратов для кардиологии, первичного приёма и стресс-станций. По России: широко доступны Aktiv-Med ECG Pro и Schiller (поставки сохранены).</t>
  </si>
  <si>
    <t xml:space="preserve">Парк длительной непрерывной ЭКГ-записи (Zio / KardiaMobile)</t>
  </si>
  <si>
    <t xml:space="preserve">iRhythm Zio XT (subscription), Bardy Diagnostics CAM, AliveCor KardiaMobile 6L</t>
  </si>
  <si>
    <t xml:space="preserve">14-дневная непрерывная пэтч-ЭКГ для расширенного мониторинга аритмий.</t>
  </si>
  <si>
    <t xml:space="preserve">Сингапур</t>
  </si>
  <si>
    <t xml:space="preserve">iRhythm Zio XT — подписочная модель, ~$300–500 за исследование; AliveCor KardiaMobile 6L — $149 за устройство плюс сервис.</t>
  </si>
  <si>
    <t xml:space="preserve">Pass-through: расходник/SaaS, без капитальных затрат, оплата за исследование. По России: Zio XT недоступен; KardiaMobile поставляется параллельным импортом.</t>
  </si>
  <si>
    <t xml:space="preserve">Холтер</t>
  </si>
  <si>
    <t xml:space="preserve">Холтер ЭКГ 24–48 часов с аналитической станцией</t>
  </si>
  <si>
    <t xml:space="preserve">GE SEER 1000, Schiller medilog AR, Philips DigiTrak XT</t>
  </si>
  <si>
    <t xml:space="preserve">Амбулаторное мониторирование ЭКГ 24–72 часа для выявления аритмий.</t>
  </si>
  <si>
    <t xml:space="preserve">Листинги Cardiac Direct; восстановленные GE SEER 1000 на DotMed по $2–4 тыс. за регистратор; полная новая система с рабочей станцией €10–15 тыс.</t>
  </si>
  <si>
    <t xml:space="preserve">Цена учитывает 3 регистратора и 1 рабочую станцию анализа. По России: домашний стандарт — Aktiv-Med Holter Pro.</t>
  </si>
  <si>
    <t xml:space="preserve">Реанимационное оснащение</t>
  </si>
  <si>
    <t xml:space="preserve">Реанимационная тележка с дефибриллятором, AED и монитором</t>
  </si>
  <si>
    <t xml:space="preserve">Philips HeartStart MRx, ZOLL X Series, Mindray BeneHeart D6</t>
  </si>
  <si>
    <t xml:space="preserve">Реагирование на критические ситуации: дефибриллятор, монитор, тележка с препаратами для безопасности клиники.</t>
  </si>
  <si>
    <t xml:space="preserve">Philips MRx / ZOLL X Series — комплект «дефибриллятор-монитор» €18–30 тыс.; AED ~€1,5–3 тыс.; коммерческие прайсы на полные реанимационные комплекты.</t>
  </si>
  <si>
    <t xml:space="preserve">Две единицы (клиника плюс SPA-зона). Обязательное регуляторное требование. По России: широко доступны Mindray и отечественные дефибрилляторы (Aksion).</t>
  </si>
  <si>
    <t xml:space="preserve">Спирометрия</t>
  </si>
  <si>
    <t xml:space="preserve">Спирометр с функцией PFT</t>
  </si>
  <si>
    <t xml:space="preserve">ndd EasyOne Pro, Vyaire MasterScreen PFT, MGC Diagnostics CPFS/D</t>
  </si>
  <si>
    <t xml:space="preserve">Спирометрия, FEV1/FVC, MVV, исследование функции лёгких при executive-скрининге.</t>
  </si>
  <si>
    <t xml:space="preserve">Прайс ndd Medical / MGC Diagnostics; обзор продуктов в Respiratory Therapy 2024.</t>
  </si>
  <si>
    <t xml:space="preserve">Часто интегрируется в систему CPET во избежание дублирования. По России: Schiller Spirovit-AT и MIR Spirobank продолжают импортироваться.</t>
  </si>
  <si>
    <t xml:space="preserve">Стресс-тестирование</t>
  </si>
  <si>
    <t xml:space="preserve">Стресс-ЭКГ с беговой дорожкой (полная система)</t>
  </si>
  <si>
    <t xml:space="preserve">GE CASE V6.7 + T2100-ST treadmill, Schiller CARDIOVIT CS-200 Excellence + Trackmaster</t>
  </si>
  <si>
    <t xml:space="preserve">Нагрузочная ЭКГ на дорожке, протокол Брюса, выявление ишемии.</t>
  </si>
  <si>
    <t xml:space="preserve">MFI Medical Schiller CS-200 Excellence — $25 950; AIM Cardio CardioStress + GE — комплект от $8 995 (восстановленный); новая система €25–35 тыс.</t>
  </si>
  <si>
    <t xml:space="preserve">Часто совмещается со станцией CPET. По России: Schiller CS-200 поставляется через российских партнёров (Schiller — швейцарская компания, не в санкционных списках ЕС); отечественная альтернатива — Aktiv-Med Cardio.</t>
  </si>
  <si>
    <t xml:space="preserve">Эргометр для стресс-эхокардиографии (горизонтальный велотренажёр)</t>
  </si>
  <si>
    <t xml:space="preserve">Lode Angio Stress, ergoselect 1200 EL, GE eBike</t>
  </si>
  <si>
    <t xml:space="preserve">Горизонтальный велоэргометр для стресс-эхо и фармакологического стресс-теста.</t>
  </si>
  <si>
    <t xml:space="preserve">Прайс Lode (Нидерланды) и Ergoline на горизонтальный велоэргометр €18–25 тыс.; коммерческие дилеры кардиологического оборудования.</t>
  </si>
  <si>
    <t xml:space="preserve">Опционально, только при наличии стресс-эхо. По России: Lode и Ergoline ввозятся через Турцию и ОАЭ.</t>
  </si>
  <si>
    <t xml:space="preserve">Сосудистая диагностика</t>
  </si>
  <si>
    <t xml:space="preserve">Анализ пульсовой волны / артериальная жёсткость</t>
  </si>
  <si>
    <t xml:space="preserve">AtCor SphygmoCor XCEL, IEM Mobil-O-Graph PWA, Hypertension Diagnostics CR-2000</t>
  </si>
  <si>
    <t xml:space="preserve">Центральное аортальное давление, индекс аугментации, скорость пульсовой волны (сосудистый возраст).</t>
  </si>
  <si>
    <t xml:space="preserve">AtCor SphygmoCor — коммерческий прайс ~$15–25 тыс.; IEM Mobil-O-Graph у дилеров €8–12 тыс.; полный комплект XCEL отраслевого уровня — €15–22 тыс.</t>
  </si>
  <si>
    <t xml:space="preserve">Сосудистый возраст — флагманский биомаркер долголетия (используется в Lanserhof и Buchinger). По России: IEM (Германия) поставляется; BPLab-Vasotens — отечественная альтернатива по более низкой цене.</t>
  </si>
  <si>
    <t xml:space="preserve">Витальные показатели</t>
  </si>
  <si>
    <t xml:space="preserve">Многопараметрический монитор витальных показателей</t>
  </si>
  <si>
    <t xml:space="preserve">Mindray ePM 12M, Philips IntelliVue MX450, GE B105M</t>
  </si>
  <si>
    <t xml:space="preserve">Многопараметрический монитор для IV-зоны, восстановления и наблюдения за сном.</t>
  </si>
  <si>
    <t xml:space="preserve">Mindray ePM12M у дилеров $4–6 тыс.; Philips MX450 — €7–9 тыс.; восстановленные на 50% дешевле.</t>
  </si>
  <si>
    <t xml:space="preserve">По России: доминирует Mindray; используются также отечественные Triton и Aktiv-Med ECG.</t>
  </si>
  <si>
    <t xml:space="preserve">Криотерапия и термальные зоны</t>
  </si>
  <si>
    <t xml:space="preserve">Финская сауна</t>
  </si>
  <si>
    <t xml:space="preserve">Премиальная финская сауна (коммерческая, на 8–12 человек, Klafs/Tylo)</t>
  </si>
  <si>
    <t xml:space="preserve">Klafs Premium / Tylo Sense / Helo</t>
  </si>
  <si>
    <t xml:space="preserve">Традиционная финская сауна — основа термальной программы.</t>
  </si>
  <si>
    <t xml:space="preserve">Каталог Klafs Premium; коммерческие цены на печи Tylo Sense 2024.</t>
  </si>
  <si>
    <t xml:space="preserve">Сауны под санкции не подпадают. У Klafs есть авторизованные дилеры в России.</t>
  </si>
  <si>
    <t xml:space="preserve">Гипербарическая оксигенация</t>
  </si>
  <si>
    <t xml:space="preserve">Гипербарическая кислородная камера (мягкая, 1,3–2,0 ATA)</t>
  </si>
  <si>
    <t xml:space="preserve">OxyHealth Vitaeris / Solace 210</t>
  </si>
  <si>
    <t xml:space="preserve">Мягкая гипербарическая оксигенация для восстановления и долголетия.</t>
  </si>
  <si>
    <t xml:space="preserve">Дилеры OxyHealth 2024; листинги Solace.</t>
  </si>
  <si>
    <t xml:space="preserve">Мягкокорпусная HBOT. Жёсткие медицинские камеры (3+ ATA) дороже в 5–10 раз.</t>
  </si>
  <si>
    <t xml:space="preserve">Купель / холодный бассейн</t>
  </si>
  <si>
    <t xml:space="preserve">Холодная купель (4–10 °C, 2–3 человека)</t>
  </si>
  <si>
    <t xml:space="preserve">Klafs Cool Pool / Plunge / custom stainless</t>
  </si>
  <si>
    <t xml:space="preserve">Контрастная терапия после сауны или бани — необходимая смежная зона.</t>
  </si>
  <si>
    <t xml:space="preserve">Дилеры Klafs/Plunge 2024.</t>
  </si>
  <si>
    <t xml:space="preserve">В состав входят чиллер и фильтрация. Бетонная чаша/корпус не учтены.</t>
  </si>
  <si>
    <t xml:space="preserve">Инфракрасная сауна</t>
  </si>
  <si>
    <t xml:space="preserve">Премиальная ИК-сауна (полный спектр, 3–4 человека)</t>
  </si>
  <si>
    <t xml:space="preserve">Sunlighten mPulse Conquer / Klafs InfraPLUS</t>
  </si>
  <si>
    <t xml:space="preserve">Детоксикация и поддержка сердечно-сосудистой системы — необременительная фирменная процедура.</t>
  </si>
  <si>
    <t xml:space="preserve">Прайс Sunlighten Conquer 2026 — $12 099–16 199; каталог Klafs.</t>
  </si>
  <si>
    <t xml:space="preserve">Sunlighten базируется в США, возможны сложности с ввозом. Для России предпочтительнее Klafs (Германия).</t>
  </si>
  <si>
    <t xml:space="preserve">Локальная криотерапия</t>
  </si>
  <si>
    <t xml:space="preserve">Аппарат локальной криотерапии (холодный воздух -30 °C)</t>
  </si>
  <si>
    <t xml:space="preserve">Cryomed Pro / Zimmer Cryo 6</t>
  </si>
  <si>
    <t xml:space="preserve">Точечная криотерапия для лица и суставов — эстетика и реабилитация.</t>
  </si>
  <si>
    <t xml:space="preserve">Дилерские предложения Zimmer MedizinSysteme; каталог Cryomed.</t>
  </si>
  <si>
    <t xml:space="preserve">Производство в Германии — чистый канал поставки в Россию.</t>
  </si>
  <si>
    <t xml:space="preserve">Русская баня — парная</t>
  </si>
  <si>
    <t xml:space="preserve">Премиальная русская парная (на дровах, сруб, под ключ)</t>
  </si>
  <si>
    <t xml:space="preserve">SEVERNO Valgar / Hamam-Elit / regional Ural artisans / Klafs Banya line</t>
  </si>
  <si>
    <t xml:space="preserve">Русская дровяная парная (60–90 °C, периодические поддачи и веники) — культурный якорь.</t>
  </si>
  <si>
    <t xml:space="preserve">Премиальные модульные комплекты SEVERNO 4,3–7,98 млн ₽ (Valgar/Valkeda/Andoma); 95c.ru — варианты «под ключ» от 400 тыс. ₽; типовые проекты Hamam-m от 290 тыс. ₽.</t>
  </si>
  <si>
    <t xml:space="preserve">Российская закупка крайне желательна — культурная аутентичность и отсутствие логистических затрат. Премиальная спецификация: обшивка кедром или липой, камни жадеит/талькомагнезит, печь премиум-класса (Тунгуска, Купель, Tylo Sense), ручная работа. В штат закладывается банщик. Сысертский регион сохраняет сильную банную традицию.</t>
  </si>
  <si>
    <t xml:space="preserve">Русская баня — вторая</t>
  </si>
  <si>
    <t xml:space="preserve">Второй парной зал (белая баня) для увеличения пропускной способности</t>
  </si>
  <si>
    <t xml:space="preserve">SEVERNO / regional Russian builders</t>
  </si>
  <si>
    <t xml:space="preserve">Дополнительная парная для обеспечения ёмкости и приватных групповых посещений.</t>
  </si>
  <si>
    <t xml:space="preserve">SEVERNO Andoma — 4,3 млн ₽; региональные уральские мастера.</t>
  </si>
  <si>
    <t xml:space="preserve">Для отеля 80–100 номеров рекомендуется иметь не менее двух одновременно работающих парных.</t>
  </si>
  <si>
    <t xml:space="preserve">Русская баня — по-чёрному</t>
  </si>
  <si>
    <t xml:space="preserve">Чёрная баня (по-чёрному, традиционная курная)</t>
  </si>
  <si>
    <t xml:space="preserve">Custom artisan build (regional Ural specialists)</t>
  </si>
  <si>
    <t xml:space="preserve">Аутентичная баня по-чёрному — редкий премиальный опыт.</t>
  </si>
  <si>
    <t xml:space="preserve">Оценки артельных мастеров (95c.ru, propar.club, региональные уральские строители).</t>
  </si>
  <si>
    <t xml:space="preserve">Подлинная курная баня: дым выходит непосредственно в парилку, стены естественно покрываются дёгтем (антибактериальный эффект). Сысертский и уральский регионы — премиальный отличительный признак. Топка занимает 4–6 часов. Локальная закупка обязательна.</t>
  </si>
  <si>
    <t xml:space="preserve">Снежная комната</t>
  </si>
  <si>
    <t xml:space="preserve">Снежная комната (настоящий снежный душ, -10 °C)</t>
  </si>
  <si>
    <t xml:space="preserve">TechnoAlpin SnowRoom / Klafs Iceland</t>
  </si>
  <si>
    <t xml:space="preserve">Премиальный термоконтрастный опыт — фирменная фишка Lanserhof.</t>
  </si>
  <si>
    <t xml:space="preserve">Каталог TechnoAlpin/Klafs 2024.</t>
  </si>
  <si>
    <t xml:space="preserve">Премиальный фирменный элемент. Производство Италии и Германии — чистый канал в Россию.</t>
  </si>
  <si>
    <t xml:space="preserve">Криотерапия всего тела</t>
  </si>
  <si>
    <t xml:space="preserve">Камера криотерапии всего тела (электрическая, -85… -110 °C)</t>
  </si>
  <si>
    <t xml:space="preserve">Mecotec Cryo:One / Cryomed Pro / CRYO Arctic</t>
  </si>
  <si>
    <t xml:space="preserve">Восстановление и противовоспалительный эффект — флагман среди процедур восстановления.</t>
  </si>
  <si>
    <t xml:space="preserve">Дилерские диапазоны Mecotec 2024; прайс CRYO Arctic; отчёт Global Wellness Institute.</t>
  </si>
  <si>
    <t xml:space="preserve">Трёхфазное питание, выделенное помещение ~25 кв. м. Российская альтернатива: Криомед/Krion с ценой ~12–18 млн ₽.</t>
  </si>
  <si>
    <t xml:space="preserve">Лучевая диагностика</t>
  </si>
  <si>
    <t xml:space="preserve">Дополнительная визуализация</t>
  </si>
  <si>
    <t xml:space="preserve">ОКТ сетчатки и фундус-камера (сосудистый биомаркер долголетия)</t>
  </si>
  <si>
    <t xml:space="preserve">Topcon Maestro2, Optos Daytona, Heidelberg Spectralis OCT</t>
  </si>
  <si>
    <t xml:space="preserve">Оптическая когерентная томография и фотография глазного дна — оценка ретинальных сосудов как суррогата сердечно-сосудистого риска.</t>
  </si>
  <si>
    <t xml:space="preserve">Дилерские цены Topcon, Heidelberg, Optos; премиальные ОКТ-системы €60–90 тыс. за новые.</t>
  </si>
  <si>
    <t xml:space="preserve">Всё чаще включается в расширенную панель долголетия. По России: Topcon (Япония) поставляется; Heidelberg — параллельным импортом.</t>
  </si>
  <si>
    <t xml:space="preserve">Сканер дерматоскопии с ИИ (картирование родинок всего тела)</t>
  </si>
  <si>
    <t xml:space="preserve">FotoFinder bodystudio ATBM, Canfield VECTRA WB180, DermaGraphix</t>
  </si>
  <si>
    <t xml:space="preserve">Тотальная фотография тела для скрининга меланомы — ожидание премиального гостя.</t>
  </si>
  <si>
    <t xml:space="preserve">FotoFinder/Canfield — коммерческие прайсы €75–130 тыс. за полную систему с ПО на базе ИИ.</t>
  </si>
  <si>
    <t xml:space="preserve">Низкая</t>
  </si>
  <si>
    <t xml:space="preserve">Оценочная стоимость, поставщики не публикуют цены публично. ИИ-компоненты подпадают под экспортный контроль ЕС в отношении России (медицинское ML-ПО). Российских аналогов почти нет.</t>
  </si>
  <si>
    <t xml:space="preserve">КТ</t>
  </si>
  <si>
    <t xml:space="preserve">КТ-сканер 128–256 срезов (премиальный, с протоколом низкодозного скрининга лёгких)</t>
  </si>
  <si>
    <t xml:space="preserve">Siemens SOMATOM go.Top / X.cite, GE Revolution Apex / EVO, Philips Incisive CT 128</t>
  </si>
  <si>
    <t xml:space="preserve">Кардио-КТ, оценка коронарного кальция, низкодозный скрининг рака лёгких, онкостадирование, виртуальная колоноскопия.</t>
  </si>
  <si>
    <t xml:space="preserve">Medical Imaging Source — гид по ценам ($175–325 тыс. за класс 128–256 срезов; новые премиальные $700 тыс. – 1,2 млн); LBN Medical; диапазоны Siemens; восстановленный 128-срезовый €120–180 тыс.</t>
  </si>
  <si>
    <t xml:space="preserve">Включает протокол низкодозной КТ грудной клетки (отдельный аппарат для скрининга лёгких не нужен). Помещение со свинцовой защитой обязательно. По России: высокосрезовые КТ западных производителей подпадают под экспортный контроль ЕС/США; параллельный импорт и китайские альтернативы (United Imaging uCT 760, Neusoft NeuViz) применяются всё чаще.</t>
  </si>
  <si>
    <t xml:space="preserve">Кардиология</t>
  </si>
  <si>
    <t xml:space="preserve">Подсчёт коронарного кальция (использует КТ — программный модуль)</t>
  </si>
  <si>
    <t xml:space="preserve">Siemens syngo.via CaScoring, GE SmartScore, Philips IntelliSpace</t>
  </si>
  <si>
    <t xml:space="preserve">ИИ-обработка для подсчёта коронарного кальция — Agatston score.</t>
  </si>
  <si>
    <t xml:space="preserve">Siemens syngo.via, GE и Philips — модули €30–60 тыс., часто в составе пакета; KLAS imaging IT 2024.</t>
  </si>
  <si>
    <t xml:space="preserve">Оценочная стоимость: ПО-надстройка к КТ, обычно идёт в комплекте. ИИ-диагностические платформы попадают под экспортный контроль ЕС/США в отношении России (двойное назначение).</t>
  </si>
  <si>
    <t xml:space="preserve">DEXA</t>
  </si>
  <si>
    <t xml:space="preserve">DEXA денситометр с анализом состава тела (whole-body)</t>
  </si>
  <si>
    <t xml:space="preserve">Hologic Horizon A, GE Lunar iDXA, GE Lunar Prodigy</t>
  </si>
  <si>
    <t xml:space="preserve">Минеральная плотность костей, оценка саркопении, висцеральный жир и состав тела — ключевой биомаркер долголетия.</t>
  </si>
  <si>
    <t xml:space="preserve">Block Imaging — гид по ценам DEXA 2025 ($16–45 тыс. за восстановленные старые модели; новые Hologic Horizon A и GE iDXA — $90–130 тыс.); прайс Hologic; данные Kwipped по аренде.</t>
  </si>
  <si>
    <t xml:space="preserve">iDXA — золотой стандарт количественной оценки висцерального жира и тощей массы. По России: ограничений меньше (низкая чувствительность по технологиям); локальные дистрибьюторы Aktiv-Med и Ostex продолжают работу.</t>
  </si>
  <si>
    <t xml:space="preserve">ИТ-визуализация</t>
  </si>
  <si>
    <t xml:space="preserve">Система PACS / RIS</t>
  </si>
  <si>
    <t xml:space="preserve">Sectra PACS, Agfa Enterprise Imaging, Visus JiveX</t>
  </si>
  <si>
    <t xml:space="preserve">Хранение, просмотр и протоколирование изображений — корпоративный архив для всех модальностей.</t>
  </si>
  <si>
    <t xml:space="preserve">Отчёты KLAS по рынку PACS; типовые внедрения Sectra/Agfa в небольших клиниках €70–150 тыс. с системой хранения; данные HIMSS Analytics.</t>
  </si>
  <si>
    <t xml:space="preserve">Обязательно при наличии МРТ/КТ/эхо/DEXA на месте. По России: представлены отечественные PACS (RuPACS, Inobitek); западные сталкиваются с ограничениями по облаку и локализации данных.</t>
  </si>
  <si>
    <t xml:space="preserve">МРТ</t>
  </si>
  <si>
    <t xml:space="preserve">МРТ 1,5 Тл (рабочая лошадка — класс Magnetom Sola / Ingenia Ambition)</t>
  </si>
  <si>
    <t xml:space="preserve">Siemens Magnetom Sola, Philips Ingenia Ambition 1.5T, GE SIGNA Voyager</t>
  </si>
  <si>
    <t xml:space="preserve">Базовая визуализация для повседневной диагностики, опорно-двигательного аппарата, абдоминальной и сосудистой областей. Бюджетная альтернатива или дополнение к 3 Тл.</t>
  </si>
  <si>
    <t xml:space="preserve">Block Imaging — гид по 1,5 Тл 2025 ($150–500 тыс. восстановленные, $1–3 млн новые по Grandview); листинги Atlantis Worldwide GE 1,5 Тл Excite HD; Medical Imaging Source 2025.</t>
  </si>
  <si>
    <t xml:space="preserve">Восстановленные 1,5 Тл доступны за €200–450 тыс. (~50% экономии). Многие резорты долголетия (например, SHA, Chenot) ограничиваются 1,5 Тл и аутсорсят 3 Тл. По России: параллельный импорт с надбавкой, аналогичной 3 Тл, но действующий парк старых 1,5 Тл велик; альтернатива — United Imaging uMR 588 примерно на 30% дешевле.</t>
  </si>
  <si>
    <t xml:space="preserve">МРТ 3 Тл (премиальный класс — Magnetom Vida / Ingenia Elition / SIGNA Premier)</t>
  </si>
  <si>
    <t xml:space="preserve">Siemens Magnetom Vida, Philips Ingenia Elition 3.0T S, GE SIGNA Premier / Architect</t>
  </si>
  <si>
    <t xml:space="preserve">Премиальная визуализация всего тела: неврологический базис, онкоскрининг, опорно-двигательный аппарат, расширенная кардио-МРТ. Ядро executive-диагностики уровня Lanserhof/CLP.</t>
  </si>
  <si>
    <t xml:space="preserve">Block Imaging — гид по МРТ 2026; Medical Imaging Source 2025; Philips Ingenia Elition 3.0T S — восстановленный ~$650 тыс.; GE Signa Architect — восстановленный ~$1,1 млн; новые премиальные 3 Тл $1,8–3 млн. Цены ЕС обычно на 10–15% ниже американских.</t>
  </si>
  <si>
    <t xml:space="preserve">Требуется радиочастотно-экранированный кабинет (стоимость монтажа €150–250 тыс.), периодическая дозаправка гелия, выделенный рентгенолаборант и врач-рентгенолог. По России: продвинутые системы 3 Тл от GE/Siemens/Philips подпадают под санкции (EU 833/2014, двойное назначение); параллельный импорт через Турцию, ОАЭ или Казахстан увеличивает стоимость на 25–40% и сопровождается потерей сервисного контракта производителя. Российские покупатели всё чаще переходят на United Imaging (Китай) и Neusoft с экономией 30–40%.</t>
  </si>
  <si>
    <t xml:space="preserve">Маммография</t>
  </si>
  <si>
    <t xml:space="preserve">Цифровая маммография</t>
  </si>
  <si>
    <t xml:space="preserve">Hologic Selenia Dimensions 3D, GE Senographe Pristina, Siemens Mammomat Revelation</t>
  </si>
  <si>
    <t xml:space="preserve">Маммография 2D/3D (томосинтез) — скрининг рака молочной железы (executive-обследование).</t>
  </si>
  <si>
    <t xml:space="preserve">Цены Block Imaging; Hologic Selenia 3D — новый ~$260–350 тыс.</t>
  </si>
  <si>
    <t xml:space="preserve">Опционально: при объёме менее 1000 исследований в год можно аутсорсить. Обязательно для полного executive-скрининга женщин уровня Lanserhof. По России: Hologic ограничен санкциями; жизнеспособны United Imaging uMammo и MTL (Россия).</t>
  </si>
  <si>
    <t xml:space="preserve">Ультразвук</t>
  </si>
  <si>
    <t xml:space="preserve">Универсальный абдоминальный/сосудистый УЗИ-сканер (премиум)</t>
  </si>
  <si>
    <t xml:space="preserve">Philips EPIQ Elite, GE LOGIQ E10, Mindray Resona R9</t>
  </si>
  <si>
    <t xml:space="preserve">Сканирование органов брюшной полости, сосудистый допплер (сонные и периферические сосуды), щитовидная железа, молочные железы.</t>
  </si>
  <si>
    <t xml:space="preserve">Premium-ультразвук Probo Medical; ITN Online; обзоры Mindray Resona I9T/R9 в диапазоне $60–90 тыс.</t>
  </si>
  <si>
    <t xml:space="preserve">По России: Mindray широко доступен и не затронут санкциями — экономия 30–40% по сравнению с западными производителями. Многие российские клиники с 2023 года стандартизуют новые проекты на Mindray.</t>
  </si>
  <si>
    <t xml:space="preserve">Портативный УЗИ для опорно-двигательного аппарата (POC)</t>
  </si>
  <si>
    <t xml:space="preserve">Mindray MX8 MSK / ME8, GE LOGIQ V2, Philips Lumify</t>
  </si>
  <si>
    <t xml:space="preserve">Визуализация суставов, сухожилий и мягких тканей; контроль инъекций для ортопедии и реабилитации.</t>
  </si>
  <si>
    <t xml:space="preserve">Ultrasound Portables / National Ultrasound — листинги Mindray ME8; гид Probo Medical по MSK-ультразвуку.</t>
  </si>
  <si>
    <t xml:space="preserve">Используется командами физиотерапии и спортивной медицины. По России: цепочка поставок Mindray не нарушена.</t>
  </si>
  <si>
    <t xml:space="preserve">Премиальный кардиологический УЗИ (эхокардиография)</t>
  </si>
  <si>
    <t xml:space="preserve">GE Vivid E95 / E80, Philips EPIQ CVx, Siemens ACUSON SC2000</t>
  </si>
  <si>
    <t xml:space="preserve">Расширенная эхокардиография — 4D, strain-визуализация, контрастное эхо. Базовое предложение кардиологии.</t>
  </si>
  <si>
    <t xml:space="preserve">Probo Medical — гид покупателя (премиум-кардио $50–100 тыс. восстановленные, $130–200 тыс. новые); ITN Online; листинги EPIQ CVx у Vomark и Soma Tech.</t>
  </si>
  <si>
    <t xml:space="preserve">По России: премиальные эхо GE/Philips ограничены санкциями; Mindray Resona 7/R9 (Китай) широко используется как премиальная альтернатива на 40% дешевле. Mindray активно представлен на российском рынке после 2022 года.</t>
  </si>
  <si>
    <t xml:space="preserve">Рентген</t>
  </si>
  <si>
    <t xml:space="preserve">Цифровой рентген-кабинет (DR)</t>
  </si>
  <si>
    <t xml:space="preserve">Siemens Multix Impact, GE Discovery XR656, Philips DigitalDiagnost C90</t>
  </si>
  <si>
    <t xml:space="preserve">Рентгенография общего профиля — органы грудной клетки, опорно-двигательный аппарат, неотложная визуализация.</t>
  </si>
  <si>
    <t xml:space="preserve">Block Imaging — DR-кабинет $80–180 тыс. за новый; Siemens/Philips/GE DR в коммерческом диапазоне €100–180 тыс.</t>
  </si>
  <si>
    <t xml:space="preserve">Включает детектор, трубку и рабочую станцию (свинцовое экранирование помещения добавляет €40–60 тыс.). По России: домашняя «Электрон Рентген-Оптика» широко используется и обходится примерно вдвое дешевле.</t>
  </si>
  <si>
    <t xml:space="preserve">Тренажёрный зал и силовая зона</t>
  </si>
  <si>
    <t xml:space="preserve">Кардио-линейка</t>
  </si>
  <si>
    <t xml:space="preserve">Премиальная кардио-линейка (8 единиц: дорожки, велотренажёры, эллипсы)</t>
  </si>
  <si>
    <t xml:space="preserve">Technogym Excite Live / Artis cardio</t>
  </si>
  <si>
    <t xml:space="preserve">Кардиозона: 4 беговых дорожки, 2 велотренажёра, 2 эллипса.</t>
  </si>
  <si>
    <t xml:space="preserve">Trade-цены Technogym Excite Live 2024.</t>
  </si>
  <si>
    <t xml:space="preserve">Восемь единиц — типовая комплектация для отеля 80–100 номеров. Средняя цена премиума $13–16 тыс. за единицу.</t>
  </si>
  <si>
    <t xml:space="preserve">Свободные веса</t>
  </si>
  <si>
    <t xml:space="preserve">Набор свободных весов (Eleiko, премиальные гантели, штанги, диски)</t>
  </si>
  <si>
    <t xml:space="preserve">Eleiko IPF Powerlifting Set + dumbbells 2.5-50kg</t>
  </si>
  <si>
    <t xml:space="preserve">Зона свободных весов.</t>
  </si>
  <si>
    <t xml:space="preserve">Eleiko IPF Powerlifting Set ~€6–7 тыс.; Oprema.fit, помосты Eleiko €2 359–6 534.</t>
  </si>
  <si>
    <t xml:space="preserve">Швеция, Eleiko — чистый канал поставки в Россию. В комплект входят полный набор гантелей, стойки и диски.</t>
  </si>
  <si>
    <t xml:space="preserve">Функциональный/кроссоверы</t>
  </si>
  <si>
    <t xml:space="preserve">Функциональная рама с кроссоверами</t>
  </si>
  <si>
    <t xml:space="preserve">Technogym Kinesis Personal / Escape Octagon / Rogue Monster</t>
  </si>
  <si>
    <t xml:space="preserve">Зона функционального тренинга.</t>
  </si>
  <si>
    <t xml:space="preserve">Technogym Kinesis Personal $20–30 тыс.; Escape Octagon $25–40 тыс. (2024).</t>
  </si>
  <si>
    <t xml:space="preserve">В состав входят два Kinesis Personal, силовая рама и навесные элементы.</t>
  </si>
  <si>
    <t xml:space="preserve">Тяжелоатлетические помосты</t>
  </si>
  <si>
    <t xml:space="preserve">Тяжелоатлетические помосты Eleiko (премиум, 4 станции)</t>
  </si>
  <si>
    <t xml:space="preserve">Eleiko SVR Sound Reduction / IPF Platform</t>
  </si>
  <si>
    <t xml:space="preserve">Зона тяжёлой атлетики и пауэрлифтинга.</t>
  </si>
  <si>
    <t xml:space="preserve">Eleiko SVR Platform; Oprema.fit €2 359–6 534.</t>
  </si>
  <si>
    <t xml:space="preserve">Комплект из четырёх помостов SVR.</t>
  </si>
  <si>
    <t xml:space="preserve">Линейка селекторных тренажёров</t>
  </si>
  <si>
    <t xml:space="preserve">Премиальная селекторная линейка (15 позиций)</t>
  </si>
  <si>
    <t xml:space="preserve">Technogym Artis Strength / Selection / Matrix Ultra</t>
  </si>
  <si>
    <t xml:space="preserve">Базовые силовые станции на блоках.</t>
  </si>
  <si>
    <t xml:space="preserve">Trade-цены Technogym Artis (~$12–14 тыс. за единицу в среднем); каталог Matrix Ultra.</t>
  </si>
  <si>
    <t xml:space="preserve">Производитель — Италия. По России: до 2022 года у Technogym был российский дилер; сейчас — параллельный импорт с надбавкой 15–25%.</t>
  </si>
  <si>
    <t xml:space="preserve">Студия групповых занятий</t>
  </si>
  <si>
    <t xml:space="preserve">Комплектация студии (зеркала, велотренажёры, маты, аудио)</t>
  </si>
  <si>
    <t xml:space="preserve">Technogym Group Cycle / Keiser M3i + sound + mirrors</t>
  </si>
  <si>
    <t xml:space="preserve">Групповые занятия (йога, сайклинг, HIIT).</t>
  </si>
  <si>
    <t xml:space="preserve">Дилерские диапазоны Technogym/Keiser 2024.</t>
  </si>
  <si>
    <t xml:space="preserve">20 велотренажёров, аудиосистема, зеркала и напольное покрытие.</t>
  </si>
  <si>
    <t xml:space="preserve">Гидротерапия и SPA</t>
  </si>
  <si>
    <t xml:space="preserve">Душ-впечатления</t>
  </si>
  <si>
    <t xml:space="preserve">Комплект сенсорного душа (дождь/туман/холод/аромат)</t>
  </si>
  <si>
    <t xml:space="preserve">Dornbracht Sensory Sky / Klafs / Effegibi</t>
  </si>
  <si>
    <t xml:space="preserve">Сенсорные переходы во влажной зоне.</t>
  </si>
  <si>
    <t xml:space="preserve">Розничные цены Dornbracht Sensory Sky; каталог Klafs 2024.</t>
  </si>
  <si>
    <t xml:space="preserve">Включает оборудование и систему управления; черновая сантехника не входит.</t>
  </si>
  <si>
    <t xml:space="preserve">Флоатинг / сенсорная депривация</t>
  </si>
  <si>
    <t xml:space="preserve">Флоат-капсула / танк (коммерческого класса)</t>
  </si>
  <si>
    <t xml:space="preserve">Floatworks i-sopod / Dreampod / Superior Float Tanks</t>
  </si>
  <si>
    <t xml:space="preserve">Сенсорная депривация — программа восстановления и долголетия.</t>
  </si>
  <si>
    <t xml:space="preserve">i-sopod £20 460 (~$27 тыс.) — Floatworks 2024; листинги Dreampod.</t>
  </si>
  <si>
    <t xml:space="preserve">Не входит подготовка помещения (акустика и влагозащита) — дополнительно $15–25 тыс. Первичная заправка сульфатом магния — около $3–4 тыс.</t>
  </si>
  <si>
    <t xml:space="preserve">Хаммам</t>
  </si>
  <si>
    <t xml:space="preserve">Хаммам (паровая, премиальная плитка/мрамор, под ключ)</t>
  </si>
  <si>
    <t xml:space="preserve">Starpool Soul / Klafs / Effegibi Topkapi</t>
  </si>
  <si>
    <t xml:space="preserve">Традиционный турецкий хаммам — фирменная влажная зона.</t>
  </si>
  <si>
    <t xml:space="preserve">Дилерские диапазоны Starpool/Effegibi (Италия); SPA-бенчмарки financialmodelslab.</t>
  </si>
  <si>
    <t xml:space="preserve">В комплект входят подогреваемая лежанка, парогенератор, мраморная облицовка, освещение. Корпус помещения не входит.</t>
  </si>
  <si>
    <t xml:space="preserve">Кнайпп</t>
  </si>
  <si>
    <t xml:space="preserve">Кнайпп-дорожка (тёплые и холодные ванночки для ног)</t>
  </si>
  <si>
    <t xml:space="preserve">Custom build, Klafs/Hoesch fittings</t>
  </si>
  <si>
    <t xml:space="preserve">Тренировка сосудов — фирменный элемент Lanserhof и CLP.</t>
  </si>
  <si>
    <t xml:space="preserve">Каталог Klafs/Hoesch Kneipp; референсы Lanserhof.</t>
  </si>
  <si>
    <t xml:space="preserve">Преимущественно строительные работы и фитинги. Себестоимость сильно зависит от исполнения коробки. Цена отражает только арматуру и насосы.</t>
  </si>
  <si>
    <t xml:space="preserve">Массажные столы</t>
  </si>
  <si>
    <t xml:space="preserve">Премиальные массажные столы (электрические, с подогревом)</t>
  </si>
  <si>
    <t xml:space="preserve">Gharieni MLW / Lemi Spa Vision / Living Earth Crafts</t>
  </si>
  <si>
    <t xml:space="preserve">Столы для процедурных кабинетов.</t>
  </si>
  <si>
    <t xml:space="preserve">Каталоги дилеров Gharieni/Lemi 2024.</t>
  </si>
  <si>
    <t xml:space="preserve">Стоимость за единицу. Для 80–100 номеров типовое количество — около 14 процедурных кабинетов.</t>
  </si>
  <si>
    <t xml:space="preserve">Соляная пещера</t>
  </si>
  <si>
    <t xml:space="preserve">Галокамера / соляная пещера (под ключ)</t>
  </si>
  <si>
    <t xml:space="preserve">Halogenerator + Himalayan salt walls (custom)</t>
  </si>
  <si>
    <t xml:space="preserve">Респираторное оздоровление, фирменный опыт.</t>
  </si>
  <si>
    <t xml:space="preserve">Дилерские котировки Salt Chamber, Halia, Solay 2024.</t>
  </si>
  <si>
    <t xml:space="preserve">Включает галогенератор (~$8–12 тыс.), соляную облицовку, кресла и освещение.</t>
  </si>
  <si>
    <t xml:space="preserve">Талассотерапевтический бассейн</t>
  </si>
  <si>
    <t xml:space="preserve">Талассо-бассейн (подогретая минерализованная вода с гидромассажем)</t>
  </si>
  <si>
    <t xml:space="preserve">Custom, Hidromassage / Klafs Aqua</t>
  </si>
  <si>
    <t xml:space="preserve">Гидротерапия с минерализованной/морской водой и форсунками.</t>
  </si>
  <si>
    <t xml:space="preserve">Отраслевые бенчмарки SPA; ценовой диапазон Klafs Aqua.</t>
  </si>
  <si>
    <t xml:space="preserve">Только оборудование и фильтрация; чаша добавляет ~$300–500 тыс. Сысерть: морскую воду заменить циркуляцией с минеральной солью.</t>
  </si>
  <si>
    <t xml:space="preserve">Душ Виши</t>
  </si>
  <si>
    <t xml:space="preserve">Стол душа Виши (мультидушевой массаж)</t>
  </si>
  <si>
    <t xml:space="preserve">Lemi / Gharieni / Starpool Vichy</t>
  </si>
  <si>
    <t xml:space="preserve">Гидромассажный стол — фирменная SPA-процедура.</t>
  </si>
  <si>
    <t xml:space="preserve">Дилеры Lemi (Италия); каталог Gharieni 2024.</t>
  </si>
  <si>
    <t xml:space="preserve">Критичны спецификации сантехники и отвода. Производство Италии и Германии — чистый канал в Россию.</t>
  </si>
  <si>
    <t xml:space="preserve">Влажные процедурные столы</t>
  </si>
  <si>
    <t xml:space="preserve">Soft pack / Расуль / влажная процедурная капсула</t>
  </si>
  <si>
    <t xml:space="preserve">Gharieni Soft Pack MLW / Rasul chamber</t>
  </si>
  <si>
    <t xml:space="preserve">Гибридные влажно-сухие фирменные процедуры.</t>
  </si>
  <si>
    <t xml:space="preserve">Дилеры Gharieni 2024.</t>
  </si>
  <si>
    <t xml:space="preserve">Производство Германии — чистый канал в Россию.</t>
  </si>
  <si>
    <t xml:space="preserve">ИТ, МИС, ПО для пациентов</t>
  </si>
  <si>
    <t xml:space="preserve">Контроль доступа и RFID-замки</t>
  </si>
  <si>
    <t xml:space="preserve">Электронные замки номеров и контроль доступа в служебных зонах</t>
  </si>
  <si>
    <t xml:space="preserve">Salto, Assa Abloy VingCard, dormakaba</t>
  </si>
  <si>
    <t xml:space="preserve">RFID/мобильные ключи на дверь; раздельные зоны для персонала.</t>
  </si>
  <si>
    <t xml:space="preserve">Kompareit hotel access $1500–2500/дверь; 100 дверей плюс 30 служебных.</t>
  </si>
  <si>
    <t xml:space="preserve">Премиальная спецификация (BLE и мобильный ключ). По России: VingCard поставляется параллельным импортом с надбавкой 20–25%.</t>
  </si>
  <si>
    <t xml:space="preserve">МИС/EHR</t>
  </si>
  <si>
    <t xml:space="preserve">МИС среднего класса (уровень Athenahealth)</t>
  </si>
  <si>
    <t xml:space="preserve">Athenahealth athenaOne, Tebra, ModMed; Russian: МИС МедОфис, qMS</t>
  </si>
  <si>
    <t xml:space="preserve">Ведение клинической документации медицинского центра; интеграция с лабораторией и визуализацией.</t>
  </si>
  <si>
    <t xml:space="preserve">Athenahealth $140 за специалиста в месяц плюс 4–8% от собранной выручки; внедрение $2–5 тыс. на специалиста; emrguides.com 2025.</t>
  </si>
  <si>
    <t xml:space="preserve">По России: 152-ФЗ о локализации данных блокирует западные облачные МИС. Российские qMS/МедОфис обходятся примерно на 50% дешевле, но требуют кастомной интеграции.</t>
  </si>
  <si>
    <t xml:space="preserve">МИС (опционально, уровень Epic)</t>
  </si>
  <si>
    <t xml:space="preserve">МИС корпоративного уровня (Epic/Cerner)</t>
  </si>
  <si>
    <t xml:space="preserve">Epic Hyperspace, Oracle Health (Cerner Millennium)</t>
  </si>
  <si>
    <t xml:space="preserve">Полнофункциональная МИС больничного класса для медцентра курорта.</t>
  </si>
  <si>
    <t xml:space="preserve">Tactionsoft 2025 ($500 тыс. – 10 млн); arkenea.com Cerner; Veterans Memorial Hospital $3,88 млн.</t>
  </si>
  <si>
    <t xml:space="preserve">Избыточно для отеля 80–100 номеров; уместно только при стационарной мощности. В России развёртывание невозможно.</t>
  </si>
  <si>
    <t xml:space="preserve">Гостевой опыт / мобильное приложение</t>
  </si>
  <si>
    <t xml:space="preserve">Гостевое мобильное приложение и in-room планшеты</t>
  </si>
  <si>
    <t xml:space="preserve">Crave Interactive, SuitePad, Hudini, INTELITY</t>
  </si>
  <si>
    <t xml:space="preserve">Мобильный check-in, заказ в номер, бронирование процедур, контент.</t>
  </si>
  <si>
    <t xml:space="preserve">Бенчмарки hospitality tech; планшет $600–1200 на номер плюс лицензия $25–40 на номер в месяц.</t>
  </si>
  <si>
    <t xml:space="preserve">Включает планшеты в номера, лицензии и интеграцию с PMS/SPA.</t>
  </si>
  <si>
    <t xml:space="preserve">Платформа долголетия для пациентов</t>
  </si>
  <si>
    <t xml:space="preserve">Специализированная платформа долголетия для пациентов</t>
  </si>
  <si>
    <t xml:space="preserve">Function Health (B2B), Hone Health, Healthspan; alt: custom</t>
  </si>
  <si>
    <t xml:space="preserve">Отслеживание биомаркеров, личный кабинет, продольные результаты, ИИ-аналитика.</t>
  </si>
  <si>
    <t xml:space="preserve">Function Health B2B (Equinox $249, Higginbotham $334 в год за участника); sacra.com.</t>
  </si>
  <si>
    <t xml:space="preserve">Годовой ARR — около 200–300 активных участников по $250–350 в год. По России: потребуется кастомная разработка либо изолированный инстанс.</t>
  </si>
  <si>
    <t xml:space="preserve">Сетевая инфраструктура</t>
  </si>
  <si>
    <t xml:space="preserve">Проводная и Wi-Fi 6/7 магистраль (корпоративный класс)</t>
  </si>
  <si>
    <t xml:space="preserve">Cisco Meraki, RUCKUS Networks, Aruba; Russian: Eltex, QTECH</t>
  </si>
  <si>
    <t xml:space="preserve">Гостевая и служебная сети с сегментированными VLAN, включая медицинский сегмент.</t>
  </si>
  <si>
    <t xml:space="preserve">RUCKUS/Cisco hospitality vertical; ~€2–3 тыс. за установленную точку доступа, 80 точек плюс коммутация.</t>
  </si>
  <si>
    <t xml:space="preserve">По России: Cisco/Aruba под санкциями с 2022 года. Замена — Eltex/QTECH либо серый рынок.</t>
  </si>
  <si>
    <t xml:space="preserve">PMS — отельная часть</t>
  </si>
  <si>
    <t xml:space="preserve">Облачная PMS (отель 80–100 номеров класса люкс)</t>
  </si>
  <si>
    <t xml:space="preserve">Mews Enterprise, Oracle Opera Cloud, Protel; Russian: Bnovo, Shelter, TravelLine</t>
  </si>
  <si>
    <t xml:space="preserve">Бронирование, гостевые счета, хаускипинг, channel manager, интеграция POS.</t>
  </si>
  <si>
    <t xml:space="preserve">Mews Enterprise (hoteltechreport, roommaster); цена Mews EUR 300/мес.</t>
  </si>
  <si>
    <t xml:space="preserve">По России на 2026 год: Mews и Opera ушли после санкций 2022 года. Российские альтернативы (Shelter, Bnovo) обходятся на 40–50% дешевле, но уступают премиальным сценариям.</t>
  </si>
  <si>
    <t xml:space="preserve">Безопасность — видеонаблюдение</t>
  </si>
  <si>
    <t xml:space="preserve">IP-видеонаблюдение (40–60 камер плюс NVR)</t>
  </si>
  <si>
    <t xml:space="preserve">Avigilon, Axis, Hanwha; Russian: TRASSIR, Macroscop</t>
  </si>
  <si>
    <t xml:space="preserve">Периметр и служебные зоны.</t>
  </si>
  <si>
    <t xml:space="preserve">Avigilon/Axis у дилеров; ~€1–1,5 тыс. за установленную камеру.</t>
  </si>
  <si>
    <t xml:space="preserve">По России: доминирует TRASSIR; цена выгоднее западных решений.</t>
  </si>
  <si>
    <t xml:space="preserve">Система записи в SPA и медицинском блоке</t>
  </si>
  <si>
    <t xml:space="preserve">Интегрированная система записи на SPA и процедуры</t>
  </si>
  <si>
    <t xml:space="preserve">Book4Time, Agilysys Spa, ResortSuite</t>
  </si>
  <si>
    <t xml:space="preserve">Расписание терапевтов, загрузка кабинетов, управление пакетами, ритейл.</t>
  </si>
  <si>
    <t xml:space="preserve">Book4Time, Agilysys, ResortSuite — ориентировочные цены 2025.</t>
  </si>
  <si>
    <t xml:space="preserve">Критично для премиальных велнес-резортов; интегрируется с PMS и МИС.</t>
  </si>
  <si>
    <t xml:space="preserve">Телефония и IPTV</t>
  </si>
  <si>
    <t xml:space="preserve">VoIP-телефония и IPTV</t>
  </si>
  <si>
    <t xml:space="preserve">Mitel, Cisco; LG/Samsung Pro:Idiom IPTV</t>
  </si>
  <si>
    <t xml:space="preserve">Телефония в номерах, IPTV, телефония в служебных зонах.</t>
  </si>
  <si>
    <t xml:space="preserve">Бенчмарк интеграторов hospitality AV/IT.</t>
  </si>
  <si>
    <t xml:space="preserve">Резорты среднего сегмента иногда отказываются от стационарной телефонии в пользу стриминга.</t>
  </si>
  <si>
    <t xml:space="preserve">Инфузионная терапия</t>
  </si>
  <si>
    <t xml:space="preserve">Гипербарическая кислородная камера — мягкая HBOT (1,3–1,5 ATA)</t>
  </si>
  <si>
    <t xml:space="preserve">OxyHealth Vitaeris 320, Hyperbaric Centrales OxyVita, Summit to Sea Dive</t>
  </si>
  <si>
    <t xml:space="preserve">Мягкокорпусная гипербарическая оксигенация для протоколов восстановления и долголетия.</t>
  </si>
  <si>
    <t xml:space="preserve">Прайс OxyHealth Vitaeris 320 $20–35 тыс.; типовая мягкокорпусная HBOT €25–45 тыс. Жёсткие медицинские камеры (2,0+ ATA) дороже в 5–10 раз.</t>
  </si>
  <si>
    <t xml:space="preserve">Объём ограничен мягкокорпусной HBOT (упрощённая регуляторика, без сжатого кислорода). Жёсткие камеры — отдельная категория, не учтены. По России: отечественные камеры BLKS и OxyHealth — параллельным импортом.</t>
  </si>
  <si>
    <t xml:space="preserve">ИГГТ</t>
  </si>
  <si>
    <t xml:space="preserve">Аппарат интервальной гипоксической-гипероксической тренировки</t>
  </si>
  <si>
    <t xml:space="preserve">Cellgym Pro / Lounge, Hypoxico Everest Summit II, GO2Altitude Biomedtech</t>
  </si>
  <si>
    <t xml:space="preserve">Интервальная гипоксия-гипероксия — митохондриальный тренинг, протокол долголетия.</t>
  </si>
  <si>
    <t xml:space="preserve">Cellgym у дилеров €30–45 тыс. за Pro/Lounge; цены дистрибьюторов Hypoxico; референсы установок Cellgym в Cocoon Medical Spa.</t>
  </si>
  <si>
    <t xml:space="preserve">Оценочно: публичная цена Cellgym отсутствует. Розничная сессия €50–80. Три аппарата покрывают 25–30 сеансов в день. По России: отечественная Bio-Nova MTI/IHT — альтернатива за €12–18 тыс.</t>
  </si>
  <si>
    <t xml:space="preserve">IV-зона</t>
  </si>
  <si>
    <t xml:space="preserve">Кресло-реклайнер для IV-капельниц</t>
  </si>
  <si>
    <t xml:space="preserve">Champion Manufacturing 56 series, Stance Healthcare Bari, Winco CareCliner</t>
  </si>
  <si>
    <t xml:space="preserve">Удобное кресло-реклайнер для капельниц, NAD+ и витаминотерапии.</t>
  </si>
  <si>
    <t xml:space="preserve">Champion / Stance / Winco — клинические реклайнеры $2 500–5 000; типовые предложения дилеров €3 000–4 500.</t>
  </si>
  <si>
    <t xml:space="preserve">6–8 кресел на резорт 80–100 номеров. По России: отечественный Med-Mos и поставки через Турцию одинаково жизнеспособны.</t>
  </si>
  <si>
    <t xml:space="preserve">Инфузионные насосы</t>
  </si>
  <si>
    <t xml:space="preserve">Умный инфузионный насос</t>
  </si>
  <si>
    <t xml:space="preserve">B.Braun Infusomat Space, Baxter Sigma Spectrum IQ, BD Alaris</t>
  </si>
  <si>
    <t xml:space="preserve">Умный инфузионный насос с DERS для витаминов, NAD+, хелатной терапии и пептидов.</t>
  </si>
  <si>
    <t xml:space="preserve">Outfront Medical / Coast Biomed Baxter Sigma Spectrum — восстановленные $1,5–2,5 тыс.; B.Braun — новый ~€3–4 тыс.</t>
  </si>
  <si>
    <t xml:space="preserve">8 насосов на 6 кресел плюс 2 резервных. По России: B.Braun (Германия) поставляется, но сроки увеличены; используются и российские насосы Yelatma.</t>
  </si>
  <si>
    <t xml:space="preserve">Озонотерапия</t>
  </si>
  <si>
    <t xml:space="preserve">Медицинский озонотерапевтический генератор</t>
  </si>
  <si>
    <t xml:space="preserve">Herrmann Apparatebau Hyper Medozon comfort, Zotzmann + Stahl OzonoSan, Humares Medozon</t>
  </si>
  <si>
    <t xml:space="preserve">Большая и малая аутогемотерапия, инсуффляция, озонированный физраствор.</t>
  </si>
  <si>
    <t xml:space="preserve">MedicalExpo Herrmann Hyper Medozon comfort; листинг HealthManagement.org; восстановленные на Medbidding €6–9 тыс.; новые €15–22 тыс. от немецких дилеров.</t>
  </si>
  <si>
    <t xml:space="preserve">Жёстко регулируется: запрещено/ограничено в США (FDA), разрешено в Германии, Австрии, Швейцарии, Испании, России под медицинским контролем. По России: озонотерапия имеет зарегистрированные показания Минздрава; отечественная альтернатива — Медозонс-БМ.</t>
  </si>
  <si>
    <t xml:space="preserve">Кухня и F&amp;B</t>
  </si>
  <si>
    <t xml:space="preserve">Хлебопекарная печь</t>
  </si>
  <si>
    <t xml:space="preserve">Подовая/конвекционная хлебопекарная печь</t>
  </si>
  <si>
    <t xml:space="preserve">MIWE Condo 3.0608, MIWE econo, Wachtel</t>
  </si>
  <si>
    <t xml:space="preserve">Собственный хлеб, выпечка, безглютеновая продукция.</t>
  </si>
  <si>
    <t xml:space="preserve">Ориентировочные цены MIWE/Wachtel (archiexpo, bakeryequipment.com) для трёхподовой модели.</t>
  </si>
  <si>
    <t xml:space="preserve">Органическая безглютеновая пекарня в стиле Lanserhof требует подовую печь с расстойкой.</t>
  </si>
  <si>
    <t xml:space="preserve">Холодный цех</t>
  </si>
  <si>
    <t xml:space="preserve">Станция холодной кухни (охлаждаемая зона подготовки и подачи)</t>
  </si>
  <si>
    <t xml:space="preserve">Inomak, True, Hoshizaki</t>
  </si>
  <si>
    <t xml:space="preserve">Салаты, raw-блюда, сашими, подача чистой кухни.</t>
  </si>
  <si>
    <t xml:space="preserve">Inomak/True (дилеры ЕС); линейная зона 6–8 м.</t>
  </si>
  <si>
    <t xml:space="preserve">Критично для raw- и clean-программ (стиль Chenot).</t>
  </si>
  <si>
    <t xml:space="preserve">Пароконвектомат</t>
  </si>
  <si>
    <t xml:space="preserve">Премиальный пароконвектомат (10×1/1 GN)</t>
  </si>
  <si>
    <t xml:space="preserve">Rational iCombi Pro 10-1/1, Convotherm 4 easyTouch</t>
  </si>
  <si>
    <t xml:space="preserve">Терапевтическая и ресторанная кухня; пар, конвекция, низкие температуры.</t>
  </si>
  <si>
    <t xml:space="preserve">Дилеры Rational (WebstaurantStore, Buzz Catering, Nella) 2025; российский дилер ~+25% к ЕС.</t>
  </si>
  <si>
    <t xml:space="preserve">Три аппарата покрывают терапевтическую, горячую и банкетную кухни.</t>
  </si>
  <si>
    <t xml:space="preserve">Пароконвектомат (компакт)</t>
  </si>
  <si>
    <t xml:space="preserve">Компактный пароконвектомат (6×1/1 GN)</t>
  </si>
  <si>
    <t xml:space="preserve">Rational iCombi Pro 6-1/1, UNOX ChefTop</t>
  </si>
  <si>
    <t xml:space="preserve">Кондитерский цех, рыба, диетическая зона, room-service.</t>
  </si>
  <si>
    <t xml:space="preserve">Прайс Rational; дилеры UNOX (ЕС) 2025.</t>
  </si>
  <si>
    <t xml:space="preserve">Используется в кондитерской и дополнительной диетической линии.</t>
  </si>
  <si>
    <t xml:space="preserve">Посудомоечная машина (конвейерная)</t>
  </si>
  <si>
    <t xml:space="preserve">Конвейерная/тоннельная посудомоечная машина</t>
  </si>
  <si>
    <t xml:space="preserve">Hobart FT1000e, Winterhalter MTF, Meiko M-iQ</t>
  </si>
  <si>
    <t xml:space="preserve">Основная линия моечной для банкетов и ресторана.</t>
  </si>
  <si>
    <t xml:space="preserve">Hobart, Winterhalter — дилеры ЕС 2025; hobartcorp.com.</t>
  </si>
  <si>
    <t xml:space="preserve">Обязательна для отеля 80–100 номеров с банкетной нагрузкой.</t>
  </si>
  <si>
    <t xml:space="preserve">Посудомоечные машины (фронтальные и подстольные)</t>
  </si>
  <si>
    <t xml:space="preserve">Подстольные и фронтальные стаканомойки и посудомойки (комплект)</t>
  </si>
  <si>
    <t xml:space="preserve">Hobart, Winterhalter UC-M, Meiko</t>
  </si>
  <si>
    <t xml:space="preserve">Бар, сокобар, станции подготовки.</t>
  </si>
  <si>
    <t xml:space="preserve">Hobart/Winterhalter — дилеры ЕС 2025.</t>
  </si>
  <si>
    <t xml:space="preserve">Комплект из 4 машин закрывает бар, сокобар, банкеты и сателлит.</t>
  </si>
  <si>
    <t xml:space="preserve">Зонты и вентиляция</t>
  </si>
  <si>
    <t xml:space="preserve">Зонты I типа, пожаротушение и приточно-вытяжная установка</t>
  </si>
  <si>
    <t xml:space="preserve">Halton, Captive Aire, Greenheck</t>
  </si>
  <si>
    <t xml:space="preserve">Обязательная по нормативам вытяжка над горячим цехом.</t>
  </si>
  <si>
    <t xml:space="preserve">Halton/Captive Aire; справочник по коммерческой кухне Avanti 2025 ($8–25 тыс. за зонт).</t>
  </si>
  <si>
    <t xml:space="preserve">Система вытяжки — крупная скрытая статья; обязательна для горячей линии.</t>
  </si>
  <si>
    <t xml:space="preserve">Промышленный холодный пресс</t>
  </si>
  <si>
    <t xml:space="preserve">Goodnature X-1 или серийный пресс для гостевых соков</t>
  </si>
  <si>
    <t xml:space="preserve">Goodnature X-1, Bucher Vaslin</t>
  </si>
  <si>
    <t xml:space="preserve">Производство 200+ бутылок в день для гостевых наборов.</t>
  </si>
  <si>
    <t xml:space="preserve">Goodnature X-1 — промышленный референс 2025.</t>
  </si>
  <si>
    <t xml:space="preserve">Опционально, если соковый протокол — фирменный элемент.</t>
  </si>
  <si>
    <t xml:space="preserve">Сокобар/жмыходавильная зона</t>
  </si>
  <si>
    <t xml:space="preserve">Коммерческий холодный пресс для соков</t>
  </si>
  <si>
    <t xml:space="preserve">Goodnature CT7 / X-1, Norwalk 290, Angel Pro</t>
  </si>
  <si>
    <t xml:space="preserve">Терапевтические соки, ежедневный соковый протокол, розничный розлив.</t>
  </si>
  <si>
    <t xml:space="preserve">Goodnature.com CT7; Surplus Marketplace 2025; Norwalk MSRP $2 495.</t>
  </si>
  <si>
    <t xml:space="preserve">Две машины — основной сокобар плюс станция в терапевтической кухне.</t>
  </si>
  <si>
    <t xml:space="preserve">Кулинарный модульный блок</t>
  </si>
  <si>
    <t xml:space="preserve">Модульный кулинарный блок на заказ (4 м)</t>
  </si>
  <si>
    <t xml:space="preserve">Molteni, Charvet, Athanor; alt: Vulcan Endurance</t>
  </si>
  <si>
    <t xml:space="preserve">Основная горячая линия à la minute.</t>
  </si>
  <si>
    <t xml:space="preserve">Дилерские оценки Molteni/Charvet; Vulcan как альтернатива на NA-уровне.</t>
  </si>
  <si>
    <t xml:space="preserve">Премиум обычно выбирает Molteni; средний сегмент укладывается в €35–50 тыс.</t>
  </si>
  <si>
    <t xml:space="preserve">Smallwares и фарфор/стекло</t>
  </si>
  <si>
    <t xml:space="preserve">Пакет smallwares (ножи, посуда, фарфор, стекло, столовое серебро)</t>
  </si>
  <si>
    <t xml:space="preserve">Wusthof, Mauviel, Riedel, Schott Zwiesel</t>
  </si>
  <si>
    <t xml:space="preserve">Первичное оснащение всех станций и ресторанных кувертов.</t>
  </si>
  <si>
    <t xml:space="preserve">Бенчмарк FF&amp;E hospitality; ~€1,5–2 тыс. за куверт премиального фарфора и стекла со smallware.</t>
  </si>
  <si>
    <t xml:space="preserve">Премиальный сегмент использует Riedel/Schott. Высокая ежегодная замена (~15%).</t>
  </si>
  <si>
    <t xml:space="preserve">Изготовление из нержавеющей стали</t>
  </si>
  <si>
    <t xml:space="preserve">Столы, мойки, стеллажи (полная нержавеющая обвязка кухни)</t>
  </si>
  <si>
    <t xml:space="preserve">Custom local fab; Eagle Group, Advance Tabco</t>
  </si>
  <si>
    <t xml:space="preserve">Прилавки, полки, рукомойники по всей кухне.</t>
  </si>
  <si>
    <t xml:space="preserve">Справочник Avanti по коммерческим кухням; обвязка кухни 250–350 кв. м.</t>
  </si>
  <si>
    <t xml:space="preserve">По России: локальное изготовление существенно дешевле.</t>
  </si>
  <si>
    <t xml:space="preserve">Sous-vide и шок-фризер</t>
  </si>
  <si>
    <t xml:space="preserve">Шок-фризер, вакуумные упаковщики и термостаты sous-vide</t>
  </si>
  <si>
    <t xml:space="preserve">Irinox, Friginox; Henkelman vacuum; Polyscience circulators</t>
  </si>
  <si>
    <t xml:space="preserve">HACCP cook-chill, sous-vide для терапевтической кухни.</t>
  </si>
  <si>
    <t xml:space="preserve">Irinox — дилер ЕС 2025; комплект.</t>
  </si>
  <si>
    <t xml:space="preserve">Стандарт для терапевтических кухонь с длительными низкотемпературными режимами.</t>
  </si>
  <si>
    <t xml:space="preserve">Холодильные камеры walk-in</t>
  </si>
  <si>
    <t xml:space="preserve">Камера холодильная и морозильная (несколько зон)</t>
  </si>
  <si>
    <t xml:space="preserve">Foster, Friginox, Polar King; US: Barr</t>
  </si>
  <si>
    <t xml:space="preserve">Хранение органических продуктов, белков и кондитерки.</t>
  </si>
  <si>
    <t xml:space="preserve">Restaurant Warehouse 2025; Barr Commercial; 3–4 walk-in зоны.</t>
  </si>
  <si>
    <t xml:space="preserve">В состав входят холодильные и морозильные камеры с холодильным агрегатом.</t>
  </si>
  <si>
    <t xml:space="preserve">Лаборатория и биомаркеры</t>
  </si>
  <si>
    <t xml:space="preserve">Расширенные биомаркеры (аутсорс)</t>
  </si>
  <si>
    <t xml:space="preserve">Расширенная биомаркерная панель — аутсорс (LabCorp Whole Health / Quest Cardio IQ)</t>
  </si>
  <si>
    <t xml:space="preserve">LabCorp Whole Health (1000+ biomarkers), Quest Cardio IQ, Boston Heart Diagnostics</t>
  </si>
  <si>
    <t xml:space="preserve">ApoB, Lp(a), GlycA, oxLDL, индекс омега-3, расширенное фракционирование липидов, микронутриенты.</t>
  </si>
  <si>
    <t xml:space="preserve">Запуск LabCorp Whole Health Solutions; программы Blueprint ~$365 в год; обзор Healthcare Huddle.</t>
  </si>
  <si>
    <t xml:space="preserve">Pass-through OPEX, не CAPEX. На гостя €400–1200 за расширенную панель; учитывается с нулевым CAPEX для полноты картины. Российский эквивалент: Helix, Invitro, KDL — отечественные лаборатории закрывают большую часть панелей примерно на 30% дешевле.</t>
  </si>
  <si>
    <t xml:space="preserve">Биохимия</t>
  </si>
  <si>
    <t xml:space="preserve">Биохимический анализатор</t>
  </si>
  <si>
    <t xml:space="preserve">Roche cobas c311 / c503, Abbott Architect c4000, Beckman AU480</t>
  </si>
  <si>
    <t xml:space="preserve">Стандартная биохимия — печёночные и почечные показатели, липиды, глюкоза, электролиты.</t>
  </si>
  <si>
    <t xml:space="preserve">Block Scientific — листинги cobas; LabX Roche; отраслевой ориентир €60–90 тыс. за middle-throughput.</t>
  </si>
  <si>
    <t xml:space="preserve">Реагенты — основная статья OPEX. По России: поставки реагентов Roche/Abbott в основном сохраняются после 2022 года (медицинское исключение); локальная альтернатива — Mindray BS-2000M.</t>
  </si>
  <si>
    <t xml:space="preserve">Состав тела</t>
  </si>
  <si>
    <t xml:space="preserve">Биоимпедансный анализатор медицинского класса</t>
  </si>
  <si>
    <t xml:space="preserve">InBody 970 / 770, seca mBCA 555, Bodystat QuadScan 4000</t>
  </si>
  <si>
    <t xml:space="preserve">Сегментарный состав тела, ECW/ICW, фазовый угол — дополнение к DEXA.</t>
  </si>
  <si>
    <t xml:space="preserve">Южная Корея</t>
  </si>
  <si>
    <t xml:space="preserve">InBody 970 у дилеров $18–25 тыс. (США/ЕС); seca mBCA 555 €15–22 тыс.; рыночные данные клинических BCA.</t>
  </si>
  <si>
    <t xml:space="preserve">InBody 970 — отраслевой стандарт премиальных клиник. По России: InBody (Корея) широко представлен; Medass — отечественная альтернатива.</t>
  </si>
  <si>
    <t xml:space="preserve">CGM</t>
  </si>
  <si>
    <t xml:space="preserve">Комплекты непрерывного мониторинга глюкозы (расходные)</t>
  </si>
  <si>
    <t xml:space="preserve">Dexcom G7, Abbott FreeStyle Libre 3 Plus</t>
  </si>
  <si>
    <t xml:space="preserve">14-дневный мониторинг глюкозы в составе программ метаболической оптимизации.</t>
  </si>
  <si>
    <t xml:space="preserve">Diabetic Warehouse Dexcom G7 (3-pack $399.99); листинги Dexcom и Abbott $70–140 за сенсор; Healthline — анализ Dexcom vs Libre.</t>
  </si>
  <si>
    <t xml:space="preserve">Pass-through, €70–130 за сенсор. По России: параллельный импорт через Турцию даёт надбавку ~50%; российские глюкометры пока уступают Dexcom по точности.</t>
  </si>
  <si>
    <t xml:space="preserve">Коагулология / спецтесты</t>
  </si>
  <si>
    <t xml:space="preserve">Анализатор коагуляции с урианализом</t>
  </si>
  <si>
    <t xml:space="preserve">Sysmex CS-1600 / CS-2500, Roche cobas u 411, Stago STA Compact</t>
  </si>
  <si>
    <t xml:space="preserve">Коагулограмма (PT/INR/aPTT) и общий анализ мочи с осадком для executive-скрининга.</t>
  </si>
  <si>
    <t xml:space="preserve">Sysmex/Stago у дилеров; LabX — восстановленные коагулометры $10–25 тыс.; новые €30–50 тыс.</t>
  </si>
  <si>
    <t xml:space="preserve">Совмещённая линия коагулометра и анализатора мочи. По России: альтернативы — Mindray и отечественная Belspetsmedtekhnika.</t>
  </si>
  <si>
    <t xml:space="preserve">Эпигенетика</t>
  </si>
  <si>
    <t xml:space="preserve">Эпигенетические тесты возраста (аутсорс — TruDiagnostic / Clock Foundation)</t>
  </si>
  <si>
    <t xml:space="preserve">TruDiagnostic TruAge Complete, Clock Foundation GrimAge, Elysium Index</t>
  </si>
  <si>
    <t xml:space="preserve">Биологические часы Horvath, GrimAge, DunedinPACE — бенчмаркинг и повторное тестирование.</t>
  </si>
  <si>
    <t xml:space="preserve">TruDiagnostic shop ($499 за кит, $998 за 4 квартальных); LongevityAdvice 2024.</t>
  </si>
  <si>
    <t xml:space="preserve">Pass-through на гостя: $230–500 за кит. Аутсорс лабораториям TruDiagnostic / Clock Foundation. По России: отправка образцов в США частично заблокирована; альтернативы — GeroScience либо отправка через Казахстан/Армению.</t>
  </si>
  <si>
    <t xml:space="preserve">Геномика</t>
  </si>
  <si>
    <t xml:space="preserve">Геномное и фармакогеномное тестирование (аутсорс)</t>
  </si>
  <si>
    <t xml:space="preserve">Nucleus Genomics, Illumina-network labs, 23andMe Plus, Color</t>
  </si>
  <si>
    <t xml:space="preserve">Полногеномный анализ, WES, фармакогеномное профилирование — однократный долголетческий базис.</t>
  </si>
  <si>
    <t xml:space="preserve">Nucleus Genomics $399–1000 за WGS; Color $250–500 за панель.</t>
  </si>
  <si>
    <t xml:space="preserve">Pass-through на гостя; on-site CAPEX отсутствует. По России: Atlas Biomed и Genotek проводят отечественный WES за 25–60 тыс. ₽.</t>
  </si>
  <si>
    <t xml:space="preserve">Гематология</t>
  </si>
  <si>
    <t xml:space="preserve">Гематологический анализатор (5-diff)</t>
  </si>
  <si>
    <t xml:space="preserve">Sysmex XN-1000, Sysmex XN-550, Mindray BC-6800Plus</t>
  </si>
  <si>
    <t xml:space="preserve">Общий анализ крови, 5-фракционная лейкоформула, ретикулоциты — рутинная ежедневная диагностика.</t>
  </si>
  <si>
    <t xml:space="preserve">Bimedis Sysmex XN-1000 (восстановленный $6,5–11,7 тыс.); LabX — новые цены; новый Sysmex обычно €40–60 тыс. Эквивалент Mindray дешевле примерно на 30%.</t>
  </si>
  <si>
    <t xml:space="preserve">Собственная лаборатория — отличительный признак. По России: Mindray BC-6800 — доминирующая альтернатива; Sysmex остаётся доступен через параллельный импорт без серьёзных ограничений.</t>
  </si>
  <si>
    <t xml:space="preserve">Гормоны / иммуноанализ</t>
  </si>
  <si>
    <t xml:space="preserve">Иммуноанализатор / гормональный анализатор</t>
  </si>
  <si>
    <t xml:space="preserve">Roche cobas e411 / e601, Abbott Architect i1000SR, Siemens ADVIA Centaur XP</t>
  </si>
  <si>
    <t xml:space="preserve">Гормональные панели (тиреоидные, кортизол, половые, IGF-1), кардиомаркеры, витамины (D, B12).</t>
  </si>
  <si>
    <t xml:space="preserve">Bimedis cobas e411 (восстановленный $1,3–21 тыс.); LabX — новый e411 ~$85 тыс.; коммерческий прайс Roche.</t>
  </si>
  <si>
    <t xml:space="preserve">Критично для гормонозаместительной терапии и протоколов долголетия. Привязка к реагентам. По России: реагенты Roche продолжают поступать; восстановленные аппараты всё чаще ввозятся из ЕС.</t>
  </si>
  <si>
    <t xml:space="preserve">Микробиом</t>
  </si>
  <si>
    <t xml:space="preserve">Киты микробиомного секвенирования (аутсорс)</t>
  </si>
  <si>
    <t xml:space="preserve">Viome Gut Intelligence, Zoe, DayTwo, BiomeSight</t>
  </si>
  <si>
    <t xml:space="preserve">Метагеномное секвенирование микробиоты кишечника — вход для персонализированной нутрициологии.</t>
  </si>
  <si>
    <t xml:space="preserve">InnerBuddies / Nucleus — сравнение; Viome $199–399; Zoe $354; DayTwo $499.</t>
  </si>
  <si>
    <t xml:space="preserve">Pass-through, €250–500 за кит. По России: отечественный Atlas Biomed предлагает микробиомную панель за 18–25 тыс. ₽; трансграничная доставка образцов рабочая.</t>
  </si>
  <si>
    <t xml:space="preserve">Медицинская инфраструктура</t>
  </si>
  <si>
    <t xml:space="preserve">HEPA-вентиляция медицинских зон</t>
  </si>
  <si>
    <t xml:space="preserve">HEPA-фильтрация для зон визуализации, операционных и чистых помещений</t>
  </si>
  <si>
    <t xml:space="preserve">Camfil HEPA, AAF Flanders; AHU: Daikin/Trane</t>
  </si>
  <si>
    <t xml:space="preserve">MERV 16 / HEPA по ASHRAE 170 для зоны визуализации и процедурных кабинетов.</t>
  </si>
  <si>
    <t xml:space="preserve">ASHRAE 170 / Camfil; консультанты по HVAC для медицины $50–150 тыс. за зону, 3–4 зоны.</t>
  </si>
  <si>
    <t xml:space="preserve">Замена фильтров — существенная статья OPEX. По России: СанПиН 2.1.3.2630 в целом эквивалентен.</t>
  </si>
  <si>
    <t xml:space="preserve">Аварийное питание — ИБП</t>
  </si>
  <si>
    <t xml:space="preserve">ИБП для медицинских и ИТ-зон (200 кВА, модульный)</t>
  </si>
  <si>
    <t xml:space="preserve">Schneider Galaxy VS, Eaton 93PM, Vertiv Liebert</t>
  </si>
  <si>
    <t xml:space="preserve">Резервное питание для операционных, визуализации и серверов МИС.</t>
  </si>
  <si>
    <t xml:space="preserve">CPP Sales — больничный ИБП; Backup Battery Power 200 кВА.</t>
  </si>
  <si>
    <t xml:space="preserve">Замена аккумуляторов через 5–7 лет добавляет существенные затраты.</t>
  </si>
  <si>
    <t xml:space="preserve">Аварийное питание — генератор</t>
  </si>
  <si>
    <t xml:space="preserve">Дизель-генератор 400–500 кВА с АВР</t>
  </si>
  <si>
    <t xml:space="preserve">Caterpillar C18, Cummins QSX15, Kohler; Russian: Energo, ЯМЗ</t>
  </si>
  <si>
    <t xml:space="preserve">Резервное питание всего курорта с приоритетом медицинских зон.</t>
  </si>
  <si>
    <t xml:space="preserve">Дилерские референсы; бенчмарки резервного питания для медицины (globalpwr.com); АВР и контейнер включены.</t>
  </si>
  <si>
    <t xml:space="preserve">Резервирование N+1 добавляет ~80%; Energo — более бюджетная российская опция.</t>
  </si>
  <si>
    <t xml:space="preserve">Медицинские газы</t>
  </si>
  <si>
    <t xml:space="preserve">Трубопровод медицинских газов (O2, вакуум, медицинский воздух, N2O)</t>
  </si>
  <si>
    <t xml:space="preserve">BeaconMedaes, Atlas Copco GA series, Amico</t>
  </si>
  <si>
    <t xml:space="preserve">Централизованная подача O2, вакуума и воздуха в кабинеты клиники, IV-зоны и зоны восстановления.</t>
  </si>
  <si>
    <t xml:space="preserve">BeaconMedaes / Atlas Copco; проектные бенчмарки для 10–15 точек.</t>
  </si>
  <si>
    <t xml:space="preserve">Стоимость зависит от количества точек (NFPA 99 / EN ISO 7396). Выше при наличии анестезиологических кабинетов.</t>
  </si>
  <si>
    <t xml:space="preserve">Медицинские отходы</t>
  </si>
  <si>
    <t xml:space="preserve">Автоклав и система сегрегации медицинских отходов</t>
  </si>
  <si>
    <t xml:space="preserve">Tuttnauer medical waste autoclave, Celitron, Sterilwave</t>
  </si>
  <si>
    <t xml:space="preserve">Локальная дезактивация биоопасных отходов.</t>
  </si>
  <si>
    <t xml:space="preserve">Tuttnauer — линейка для медотходов; экономическое исследование nature.com 2024.</t>
  </si>
  <si>
    <t xml:space="preserve">По России: чаще передаётся лицензированному подрядчику; для собственной обработки требуется соответствие СанПиН.</t>
  </si>
  <si>
    <t xml:space="preserve">Стерилизация — большой автоклав CSSD</t>
  </si>
  <si>
    <t xml:space="preserve">Госпитальный автоклав среднего размера (CSSD)</t>
  </si>
  <si>
    <t xml:space="preserve">Tuttnauer GS Series, Getinge 700HC-E, Steris Amsco</t>
  </si>
  <si>
    <t xml:space="preserve">Стерилизация хирургического и эстетического инструментария.</t>
  </si>
  <si>
    <t xml:space="preserve">Tuttnauer cost guide 2025 ($60–120 тыс. для среднего размера); medequipdepot.com.</t>
  </si>
  <si>
    <t xml:space="preserve">Горизонтальный автоклав среднего размера класса B подходит для CSSD клинического объёма.</t>
  </si>
  <si>
    <t xml:space="preserve">Стерилизация — настольный автоклав и УЗ-мойка</t>
  </si>
  <si>
    <t xml:space="preserve">Настольный автоклав и ультразвуковая мойка</t>
  </si>
  <si>
    <t xml:space="preserve">Tuttnauer EZ11Plus, Midmark M11; Bandelin/Branson ultrasonic</t>
  </si>
  <si>
    <t xml:space="preserve">Резервная и сателлитная стерилизация, предварительная очистка инструмента.</t>
  </si>
  <si>
    <t xml:space="preserve">Henry Schein, Tuttnauer 2025; комплект.</t>
  </si>
  <si>
    <t xml:space="preserve">Стоимость указана за комплект автоклав + УЗ-мойка.</t>
  </si>
  <si>
    <t xml:space="preserve">Движение и реабилитация</t>
  </si>
  <si>
    <t xml:space="preserve">Антигравитационная дорожка</t>
  </si>
  <si>
    <t xml:space="preserve">Антигравитационная беговая дорожка (DAP-технология)</t>
  </si>
  <si>
    <t xml:space="preserve">AlterG NEO+ / PRO</t>
  </si>
  <si>
    <t xml:space="preserve">Тренировка ходьбы со снижением веса, послеоперационная реабилитация, перформанс.</t>
  </si>
  <si>
    <t xml:space="preserve">AlterG (Lifeward) NEO+ у дилеров 2024; eBay б/у $30–45 тыс.</t>
  </si>
  <si>
    <t xml:space="preserve">Версия PRO ~$95 тыс. Производитель — США, поэтому в Россию идёт через параллельный импорт.</t>
  </si>
  <si>
    <t xml:space="preserve">Гиротоник</t>
  </si>
  <si>
    <t xml:space="preserve">Gyrotonic Pulley Tower (оригинальный, коммерческий)</t>
  </si>
  <si>
    <t xml:space="preserve">Gyrotonic Ultima XS / Reveal</t>
  </si>
  <si>
    <t xml:space="preserve">Gyrotonic — круговое движение, премиальное предложение.</t>
  </si>
  <si>
    <t xml:space="preserve">Gyrotonic.com Ultima series; trade-дилеры 2024.</t>
  </si>
  <si>
    <t xml:space="preserve">Оригинальное оборудование Gyrotonic лицензируется и стоит существенно дороже типовых «гиротоник-подобных» устройств с Alibaba. Требуется сертификация тренеров.</t>
  </si>
  <si>
    <t xml:space="preserve">Гидротерапевтический бассейн</t>
  </si>
  <si>
    <t xml:space="preserve">Подводная беговая дорожка / гидротерапевтический бассейн с переменной глубиной</t>
  </si>
  <si>
    <t xml:space="preserve">HydroWorx 2000 / SwimEx 800</t>
  </si>
  <si>
    <t xml:space="preserve">Аквареабилитация и тренировка походки — отличие элитной реабилитации.</t>
  </si>
  <si>
    <t xml:space="preserve">Оценки HydroWorx; цены The Recovery Club.</t>
  </si>
  <si>
    <t xml:space="preserve">HydroWorx 2000 с переменной глубиной и дорожкой — золотой стандарт. Корпус не входит. Бюджетная альтернатива SwimEx 800 — ~$180–220 тыс.</t>
  </si>
  <si>
    <t xml:space="preserve">Пилатес — реформеры</t>
  </si>
  <si>
    <t xml:space="preserve">Студия пилатес-реформеров (премиум, 8 единиц)</t>
  </si>
  <si>
    <t xml:space="preserve">Balanced Body Allegro 2 / STOTT V2 Max / Peak Fit</t>
  </si>
  <si>
    <t xml:space="preserve">Базовое оборудование студии пилатеса.</t>
  </si>
  <si>
    <t xml:space="preserve">Balanced Body Allegro 2 ~$5 200 MSRP; CAD-листинги $5 924; STOTT trade.</t>
  </si>
  <si>
    <t xml:space="preserve">Комплект из 8 Allegro 2 с аксессуарами (боксы, jumpboard). Альтернатива — STOTT V2 Max.</t>
  </si>
  <si>
    <t xml:space="preserve">Пилатес — кадиллак/тауэр</t>
  </si>
  <si>
    <t xml:space="preserve">Комплект Pilates Cadillac/tower</t>
  </si>
  <si>
    <t xml:space="preserve">Balanced Body Cadillac / STOTT Cadillac</t>
  </si>
  <si>
    <t xml:space="preserve">Полный пилатес-аппарат.</t>
  </si>
  <si>
    <t xml:space="preserve">Trade-цены Balanced Body.</t>
  </si>
  <si>
    <t xml:space="preserve">За единицу. Wunda Chair и Spine Corrector добавляют $2–3 тыс.</t>
  </si>
  <si>
    <t xml:space="preserve">Зона восстановления</t>
  </si>
  <si>
    <t xml:space="preserve">Recovery-комплект (компрессионные сапоги, перкуссия, cryo-cuff)</t>
  </si>
  <si>
    <t xml:space="preserve">Normatec 3 + Theragun Pro + Game Ready</t>
  </si>
  <si>
    <t xml:space="preserve">Спортивная зона восстановления.</t>
  </si>
  <si>
    <t xml:space="preserve">Hyperice/Normatec/Game Ready — коммерческие цены 2024.</t>
  </si>
  <si>
    <t xml:space="preserve">Комплект на одну recovery-комнату. Потребительское оборудование из США — параллельный импорт несложен.</t>
  </si>
  <si>
    <t xml:space="preserve">Роботизированная реабилитация походки</t>
  </si>
  <si>
    <t xml:space="preserve">Роботизированная система реабилитации походки</t>
  </si>
  <si>
    <t xml:space="preserve">Hocoma Lokomat Pro / Nanos</t>
  </si>
  <si>
    <t xml:space="preserve">Реабилитация при тяжёлых неврологических состояниях — фирменный продукт медицинского уровня.</t>
  </si>
  <si>
    <t xml:space="preserve">Hocoma — дилеры 2024; обзор экономической эффективности в PMC (€350 тыс. и выше); Lokomat Nanos $250 тыс.</t>
  </si>
  <si>
    <t xml:space="preserve">Опционально: оправдано лишь при истинном нейрореабилитационном направлении. Производитель — Швейцария, чистый канал в Россию. Lokomat Nanos — компактная бюджетная альтернатива.</t>
  </si>
  <si>
    <t xml:space="preserve">Подвесная система Redcord</t>
  </si>
  <si>
    <t xml:space="preserve">Потолочная подвесная тренировка Redcord (клинический класс)</t>
  </si>
  <si>
    <t xml:space="preserve">Redcord Trainer / Workstation Professional</t>
  </si>
  <si>
    <t xml:space="preserve">Нейромышечная активация, suspension-терапия.</t>
  </si>
  <si>
    <t xml:space="preserve">Trade-цены Redcord 2024.</t>
  </si>
  <si>
    <t xml:space="preserve">Производитель — Норвегия, чистый канал в Россию. В состав входит потолочная направляющая и аксессуары на станцию.</t>
  </si>
  <si>
    <t xml:space="preserve">Виброплатформа</t>
  </si>
  <si>
    <t xml:space="preserve">Платформа вибротренинга всего тела (коммерческого класса)</t>
  </si>
  <si>
    <t xml:space="preserve">Power Plate Pro7 / Pro8</t>
  </si>
  <si>
    <t xml:space="preserve">Виброподготовка, лимфодренаж, перформанс.</t>
  </si>
  <si>
    <t xml:space="preserve">Fitness Factory Pro7; Strength Warehouse.</t>
  </si>
  <si>
    <t xml:space="preserve">Производитель — Великобритания, чистый канал в Россию через реэкспорт.</t>
  </si>
  <si>
    <t xml:space="preserve">Йога/мат-студия</t>
  </si>
  <si>
    <t xml:space="preserve">Оснащение йога/мат-студии (зеркала, реквизит, аудио)</t>
  </si>
  <si>
    <t xml:space="preserve">Manduka commercial mats + sound + mirrors + storage</t>
  </si>
  <si>
    <t xml:space="preserve">Зал для занятий на матах (йога, пилатес).</t>
  </si>
  <si>
    <t xml:space="preserve">Оценки trade-каталогов.</t>
  </si>
  <si>
    <t xml:space="preserve">Зеркала, премиальное напольное покрытие, аудиосистема, хранение реквизита. Корпус не учтён.</t>
  </si>
  <si>
    <t xml:space="preserve">Нутрициология и ЖКТ-диагностика</t>
  </si>
  <si>
    <t xml:space="preserve">Колоногидротерапия</t>
  </si>
  <si>
    <t xml:space="preserve">Аппарат колоногидротерапии (открытая система FDA Class II)</t>
  </si>
  <si>
    <t xml:space="preserve">LIBBE / Angel of Water</t>
  </si>
  <si>
    <t xml:space="preserve">Колоногидротерапия — основа детокс-программ.</t>
  </si>
  <si>
    <t xml:space="preserve">LIBBE прайс ~$10 тыс. (libbecolonhydrotherapydevice.com); листинги Bimedis.</t>
  </si>
  <si>
    <t xml:space="preserve">Стандарт SHA, CLP и Lanserhof. Включает монтажный комплект; расходники ~$15 за процедуру.</t>
  </si>
  <si>
    <t xml:space="preserve">Дыхательный тест ЖКТ</t>
  </si>
  <si>
    <t xml:space="preserve">Анализатор водорода/метана (SIBO)</t>
  </si>
  <si>
    <t xml:space="preserve">QuinTron BreathTracker / Bedfont Gastro+</t>
  </si>
  <si>
    <t xml:space="preserve">Оценка SIBO/IBS — программы здоровья ЖКТ.</t>
  </si>
  <si>
    <t xml:space="preserve">QuinTron / Bedfont — оценки 2024.</t>
  </si>
  <si>
    <t xml:space="preserve">Расходники (тест-киты) — повторяющаяся статья затрат.</t>
  </si>
  <si>
    <t xml:space="preserve">Непрямая калориметрия</t>
  </si>
  <si>
    <t xml:space="preserve">Анализатор базального метаболизма</t>
  </si>
  <si>
    <t xml:space="preserve">Cosmed Fitmate Pro / Korr ReeVue</t>
  </si>
  <si>
    <t xml:space="preserve">RMR для расчёта диетических протоколов.</t>
  </si>
  <si>
    <t xml:space="preserve">Cosmed Fitmate Pro; Korr ReeVue 2024.</t>
  </si>
  <si>
    <t xml:space="preserve">Бюджетная альтернатива полноценному CPET, когда нужен только RMR.</t>
  </si>
  <si>
    <t xml:space="preserve">Эластография печени</t>
  </si>
  <si>
    <t xml:space="preserve">Эластография печени (FibroScan transient elastography)</t>
  </si>
  <si>
    <t xml:space="preserve">Echosens FibroScan 530 Compact / 630 Expert</t>
  </si>
  <si>
    <t xml:space="preserve">Неинвазивный скрининг фиброза и стеатоза печени — протокол долголетия.</t>
  </si>
  <si>
    <t xml:space="preserve">Bimedis FibroScan $17 108–45 871 (б/у); новый ~$70–85 тыс.; AuntMinnie 2024.</t>
  </si>
  <si>
    <t xml:space="preserve">Французский OEM (Echosens) — более чистый канал в Россию по сравнению с американскими устройствами.</t>
  </si>
  <si>
    <t xml:space="preserve">Сон и неврология</t>
  </si>
  <si>
    <t xml:space="preserve">Когнитивное тестирование</t>
  </si>
  <si>
    <t xml:space="preserve">Платформа когнитивного тестирования (подписка/лицензия)</t>
  </si>
  <si>
    <t xml:space="preserve">Cambridge Cognition CANTAB, Creyos (formerly Cambridge Brain Sciences), Cogstate Brief Battery</t>
  </si>
  <si>
    <t xml:space="preserve">Валидированная цифровая оценка памяти, исполнительных функций, внимания.</t>
  </si>
  <si>
    <t xml:space="preserve">Capterra CANTAB; клинические подписки Creyos; отраслевая оценка €8–20 тыс. в год за клиническую лицензию плюс планшеты и онбординг.</t>
  </si>
  <si>
    <t xml:space="preserve">Оценочно: цены поставщики предоставляют по запросу. Учитывается лицензия на год, 4 iPad и онбординг. Доля поддержки отражает продление подписки. По России: ограниченно; CANTAB на русском доступен; в остальном — отечественные нейропсихологические батареи.</t>
  </si>
  <si>
    <t xml:space="preserve">ЭЭГ</t>
  </si>
  <si>
    <t xml:space="preserve">ЭЭГ-система 32–64 канала</t>
  </si>
  <si>
    <t xml:space="preserve">Natus NicoletOne EEG 32ch, Compumedics Neuvo 64ch, Cadwell Arc</t>
  </si>
  <si>
    <t xml:space="preserve">Самостоятельная ЭЭГ — неврологический базис, мягкий когнитивный скрининг, подготовка к биообратной связи.</t>
  </si>
  <si>
    <t xml:space="preserve">Hospitalstore.com Natus NicoletOne (32 канала); Compumedics Neuvo; восстановленные на Relink Online $15–25 тыс.; новые €40–60 тыс.</t>
  </si>
  <si>
    <t xml:space="preserve">Опционально: оправдано на уровне Lanserhof и продвинутых неврологических программ. По России: Mitsar (Санкт-Петербург) — уважаемый отечественный производитель ЭЭГ за 50% от западной цены.</t>
  </si>
  <si>
    <t xml:space="preserve">HSAT</t>
  </si>
  <si>
    <t xml:space="preserve">Парк устройств домашнего скрининга апноэ сна (HSAT)</t>
  </si>
  <si>
    <t xml:space="preserve">ResMed ApneaLink Air, ZOLL Itamar WatchPAT One, Philips Alice NightOne</t>
  </si>
  <si>
    <t xml:space="preserve">Амбулаторный скрининг апноэ сна (Type III) — на дому либо в номере.</t>
  </si>
  <si>
    <t xml:space="preserve">MedGrade — обзор ApneaLink Air; Itamar WatchPAT; SleepWorks Medical $3–4 тыс. за регистратор ApneaLink Air; одноразовый WatchPAT ONE ~$200 за исследование.</t>
  </si>
  <si>
    <t xml:space="preserve">Парк из 5 регистраторов покрывает ~20 гостей в неделю. Расходники WatchPAT ONE ($150–200 за исследование) — pass-through. По России: ResMed ограничен после 2022 года; параллельный импорт работает.</t>
  </si>
  <si>
    <t xml:space="preserve">Лаборатория сна</t>
  </si>
  <si>
    <t xml:space="preserve">Полисомнография (PSG) — 32 канала плюс палата</t>
  </si>
  <si>
    <t xml:space="preserve">Natus NicoletOne / Embla, Compumedics Grael, SOMNOmedics SOMNOscreen</t>
  </si>
  <si>
    <t xml:space="preserve">Полная PSG (ЭЭГ, EOG, ЭМГ, ЭКГ, оксиметрия, поток воздуха, усилие) — золотой стандарт сомнологии.</t>
  </si>
  <si>
    <t xml:space="preserve">Sleep Review 2024 — сравнение PSG; восстановленные Embla / NicoletOne на DotMed $20–40 тыс.; коммерческий прайс Natus / Compumedics €80–120 тыс. за 32 канала.</t>
  </si>
  <si>
    <t xml:space="preserve">Включает усилитель, электроды, видео, звукоизолированную палату (отделка ~€30 тыс. дополнительно). Для 80–100 номеров — 1–2 койки.</t>
  </si>
  <si>
    <t xml:space="preserve">Носимые устройства</t>
  </si>
  <si>
    <t xml:space="preserve">Премиальные носимые устройства (Oura/WHOOP/Apple Watch)</t>
  </si>
  <si>
    <t xml:space="preserve">Oura Ring Gen 4, WHOOP 5.0, Apple Watch Ultra 2</t>
  </si>
  <si>
    <t xml:space="preserve">Стадии сна, ВСР, восстановление, тренировочная нагрузка — гостевой носимый гаджет в составе программы.</t>
  </si>
  <si>
    <t xml:space="preserve">Oura Ring $349–499; WHOOP $239 + $30 в месяц; Apple Watch Ultra 2 $799. Парк 25 единиц по средней цене €320.</t>
  </si>
  <si>
    <t xml:space="preserve">Парк выдаётся гостям на проживание. Подписки относятся к OPEX. По России: Apple Watch и Oura — параллельный импорт (надбавка 30%); WHOOP официально недоступен.</t>
  </si>
  <si>
    <t xml:space="preserve">Телемедицина и цифровое здоровье</t>
  </si>
  <si>
    <t xml:space="preserve">Интеграция данных CGM</t>
  </si>
  <si>
    <t xml:space="preserve">Интеграция платформы CGM (тип Levels)</t>
  </si>
  <si>
    <t xml:space="preserve">Levels Health API, Nutrisense, Veri</t>
  </si>
  <si>
    <t xml:space="preserve">Передача данных непрерывных глюкометров в платформу долголетия.</t>
  </si>
  <si>
    <t xml:space="preserve">Levels API B2B / Nutrisense; ориентировочная стоимость интеграции.</t>
  </si>
  <si>
    <t xml:space="preserve">Сенсоры тарифицируются отдельно по гостю. По России: Abbott Libre — параллельным импортом; портал — российская разработка.</t>
  </si>
  <si>
    <t xml:space="preserve">Платформа постгостевого коучинга</t>
  </si>
  <si>
    <t xml:space="preserve">Приложение для коучинга и консьерж-сервиса (после выезда)</t>
  </si>
  <si>
    <t xml:space="preserve">MindBody Plus, Healthie, custom on Twilio</t>
  </si>
  <si>
    <t xml:space="preserve">Индивидуальный коучинг, контент и удержание клиента в течение 6–12 месяцев после визита.</t>
  </si>
  <si>
    <t xml:space="preserve">Healthie / индивидуальная разработка; референс модели Lanserhof@home.</t>
  </si>
  <si>
    <t xml:space="preserve">Критичный драйвер выручки и возврата гостей — формирует ARR через подписку. Штатный показатель — численность коучей.</t>
  </si>
  <si>
    <t xml:space="preserve">Платформа видеоконсультаций</t>
  </si>
  <si>
    <t xml:space="preserve">HIPAA/GDPR-совместимая телемедицинская платформа</t>
  </si>
  <si>
    <t xml:space="preserve">Doxy.me Enterprise, Teladoc B2B, Amwell</t>
  </si>
  <si>
    <t xml:space="preserve">Видеоконсультации с врачами долголетия после визита.</t>
  </si>
  <si>
    <t xml:space="preserve">Doxy.me Clinic $50 за пользователя в месяц; Enterprise — индивидуально; ~30–40 пользователей.</t>
  </si>
  <si>
    <t xml:space="preserve">По России: используются российские альтернативы (Mednote, Doctis) из-за GDPR/152-ФЗ и санкций.</t>
  </si>
  <si>
    <t xml:space="preserve">Носимые устройства — WHOOP/Garmin</t>
  </si>
  <si>
    <t xml:space="preserve">WHOOP Unite + Garmin Health (корпоративный пакет)</t>
  </si>
  <si>
    <t xml:space="preserve">WHOOP Unite, Garmin Health enterprise</t>
  </si>
  <si>
    <t xml:space="preserve">Учёт нагрузки и восстановления, коучинг по перформансу и долголетию.</t>
  </si>
  <si>
    <t xml:space="preserve">WHOOP Unite (200+ корпоративных клиентов, prnewswire 2022); Garmin Health B2B.</t>
  </si>
  <si>
    <t xml:space="preserve">Опционально как дополнение к Oura. По России: оборудование — параллельным импортом.</t>
  </si>
  <si>
    <t xml:space="preserve">Носимые устройства — кольца</t>
  </si>
  <si>
    <t xml:space="preserve">Корпоративное развёртывание Oura Ring</t>
  </si>
  <si>
    <t xml:space="preserve">Oura for Business, Ultrahuman Ring, RingConn</t>
  </si>
  <si>
    <t xml:space="preserve">Отслеживание сна, ВСР и восстановления; долгосрочный крючок вовлечения.</t>
  </si>
  <si>
    <t xml:space="preserve">Oura for Business B2B (sacra.com — 23% выручки); ~200 колец по $300 плюс дашборд.</t>
  </si>
  <si>
    <t xml:space="preserve">Стартовый парк 150–250 колец и B2B-дашборд; ежегодное пополнение ~25%.</t>
  </si>
  <si>
    <t xml:space="preserve">СВОДКА CapEx ПО УРОВНЯМ</t>
  </si>
  <si>
    <t xml:space="preserve">Живой свод из реестра через SUMPRODUCT. Меняйте цены в реестре — итоги обновятся.</t>
  </si>
  <si>
    <t xml:space="preserve">keys_count</t>
  </si>
  <si>
    <t xml:space="preserve">← редактируемый параметр (середина диапазона 80–100 номеров)</t>
  </si>
  <si>
    <t xml:space="preserve">Курс RUB/EUR</t>
  </si>
  <si>
    <t xml:space="preserve">Курс RUB/USD</t>
  </si>
  <si>
    <t xml:space="preserve">РЕГИОН — Европа (€)</t>
  </si>
  <si>
    <t xml:space="preserve">Группа</t>
  </si>
  <si>
    <t xml:space="preserve">Итого медицинский CapEx</t>
  </si>
  <si>
    <t xml:space="preserve">Итого SPA и восстановление</t>
  </si>
  <si>
    <t xml:space="preserve">Итого фитнес и движение</t>
  </si>
  <si>
    <t xml:space="preserve">Итого ИТ и ПО (единовременный CapEx)</t>
  </si>
  <si>
    <t xml:space="preserve">Итого кухня и F&amp;B</t>
  </si>
  <si>
    <t xml:space="preserve">Итого медицинская инфраструктура</t>
  </si>
  <si>
    <t xml:space="preserve">ИТОГО CapEx</t>
  </si>
  <si>
    <t xml:space="preserve">CapEx на номер</t>
  </si>
  <si>
    <t xml:space="preserve">РЕГИОН — Северная Америка ($)</t>
  </si>
  <si>
    <t xml:space="preserve">РЕГИОН — Азия ($)</t>
  </si>
  <si>
    <t xml:space="preserve">РЕГИОН — Россия (₽)</t>
  </si>
  <si>
    <t xml:space="preserve">БЕНЧМАРКИ</t>
  </si>
  <si>
    <t xml:space="preserve">Люкс-отель: CapEx на номер (HVS, глобально)</t>
  </si>
  <si>
    <t xml:space="preserve">$400 000 – $1 100 000</t>
  </si>
  <si>
    <t xml:space="preserve">HVS Hotel Development Cost Survey, люкс-сегмент</t>
  </si>
  <si>
    <t xml:space="preserve">Премиальный longevity-резорт: общий CapEx на номер (оценка)</t>
  </si>
  <si>
    <t xml:space="preserve">$700 000 – $1 500 000</t>
  </si>
  <si>
    <t xml:space="preserve">Оборудование в этой книге показано как НАДБАВКА к базовой постройке отеля.</t>
  </si>
  <si>
    <t xml:space="preserve">CapEx на номер только по оборудованию по уровням (это исследование)</t>
  </si>
  <si>
    <t xml:space="preserve">Считается живой формулой из реестра по каждому региону выше.</t>
  </si>
  <si>
    <t xml:space="preserve">Меняйте цены в реестре — все своды обновятся.</t>
  </si>
  <si>
    <t xml:space="preserve">Примечание о цитировании</t>
  </si>
  <si>
    <t xml:space="preserve">Все ценовые ориентиры операторов (Lanserhof, SHA, CLP, Chenot) перекрёстно проверены за 2025–2026 годы.</t>
  </si>
  <si>
    <t xml:space="preserve">Полную библиографию см. на листе «Источники и методология».</t>
  </si>
  <si>
    <t xml:space="preserve">МОДЕЛЬ ОКУПАЕМОСТИ И ВЫРУЧКИ</t>
  </si>
  <si>
    <t xml:space="preserve">Окупаемость на уровне оборудования при российской рублёвой базе затрат; цены в EUR/USD приведены в реестре.</t>
  </si>
  <si>
    <t xml:space="preserve">ДОПУЩЕНИЯ</t>
  </si>
  <si>
    <t xml:space="preserve">Номера</t>
  </si>
  <si>
    <t xml:space="preserve">Загрузка на 5-й год</t>
  </si>
  <si>
    <t xml:space="preserve">Годовых ночей продаж на 5-й год</t>
  </si>
  <si>
    <t xml:space="preserve">Среднее число заездов в год (при 7 ночах)</t>
  </si>
  <si>
    <t xml:space="preserve">Рабочих дней в году</t>
  </si>
  <si>
    <t xml:space="preserve">Рабочих часов в день</t>
  </si>
  <si>
    <t xml:space="preserve">Рабочих часов в году</t>
  </si>
  <si>
    <t xml:space="preserve">БЛОКИ ОКУПАЕМОСТИ ОБОРУДОВАНИЯ (база Россия / RUB)</t>
  </si>
  <si>
    <t xml:space="preserve">Блок</t>
  </si>
  <si>
    <t xml:space="preserve">Уровень</t>
  </si>
  <si>
    <t xml:space="preserve">CapEx (₽)</t>
  </si>
  <si>
    <t xml:space="preserve">Годовые расходы (₽)</t>
  </si>
  <si>
    <t xml:space="preserve">Цена процедуры (₽)</t>
  </si>
  <si>
    <t xml:space="preserve">Годовое количество процедур</t>
  </si>
  <si>
    <t xml:space="preserve">Прямая выручка (₽)</t>
  </si>
  <si>
    <t xml:space="preserve">Годовой вклад (₽)</t>
  </si>
  <si>
    <t xml:space="preserve">Окупаемость (лет)</t>
  </si>
  <si>
    <t xml:space="preserve">Характер</t>
  </si>
  <si>
    <t xml:space="preserve">МРТ 3 Тл (премиальный скрининг)</t>
  </si>
  <si>
    <t xml:space="preserve">Прямая — оплата за процедуру</t>
  </si>
  <si>
    <t xml:space="preserve">Пропускная способность ограничена 2 200 сканов в год (~50% гостей плюс 30% внешних). Высокомаржинальный executive-скрининг при санкционно обусловленном CapEx. Бенчмарк ЕС €1 800–2 500; целевая цена в России 110 тыс. ₽ ≈ €1 200.</t>
  </si>
  <si>
    <t xml:space="preserve">МРТ 1,5 Тл (рабочая лошадка)</t>
  </si>
  <si>
    <t xml:space="preserve">Целевая нагрузка по опорно-двигательному аппарату, неврологии и кардиологии; премия ниже, чем у 3 Тл. Пропускная способность ограничена 1 800 сканами в год.</t>
  </si>
  <si>
    <t xml:space="preserve">КТ-сканер 128–256 срезов</t>
  </si>
  <si>
    <t xml:space="preserve">Кардио-CA scoring и низкодозный скрининг лёгких; ~30% гостей. Загрузка ниже МРТ при более высокой пропускной способности.</t>
  </si>
  <si>
    <t xml:space="preserve">DEXA-сканер (состав тела + плотность кости)</t>
  </si>
  <si>
    <t xml:space="preserve">Базовая позиция программ долголетия — назначается практически всем гостям. Цена в России 12 тыс. ₽ ≈ €130.</t>
  </si>
  <si>
    <t xml:space="preserve">Полный полисомнографический комплекс (PSG)</t>
  </si>
  <si>
    <t xml:space="preserve">Однокоечная PSG; пропускная способность — 1 исследование за ночь × 320 ночей. Расширение до многокоечной возможно. Целевая цена 80 тыс. ₽ против €800–2500 в ЕС.</t>
  </si>
  <si>
    <t xml:space="preserve">CPET / VO2max — метаболическая платформа</t>
  </si>
  <si>
    <t xml:space="preserve">Lanserhof Classic Plus включает CPET в пакет; в России оценочно ~50% от европейских €350–500.</t>
  </si>
  <si>
    <t xml:space="preserve">Премиальный кардиологический УЗИ (эхо)</t>
  </si>
  <si>
    <t xml:space="preserve">Кардиологическая опорная позиция; включается в executive-панель плюс оплачивается отдельно за исследование.</t>
  </si>
  <si>
    <t xml:space="preserve">Гормональный/иммуноанализатор</t>
  </si>
  <si>
    <t xml:space="preserve">Высокая доля реагентов; включается в долголетческие панели. Пропускная способность ограничена 4 000 тестами в год (~1,3 на гостя).</t>
  </si>
  <si>
    <t xml:space="preserve">Стандартная составляющая executive-панели; ежедневное использование.</t>
  </si>
  <si>
    <t xml:space="preserve">Блок IV-кресел (NAD+/витаминно-инфузионная зона)</t>
  </si>
  <si>
    <t xml:space="preserve">Высокомаржинальный сервис (NAD+ €600–1200; «коктейль Майерса» €120–300). Шесть кресел дают 6 × 320 × 4 сеанса = 7 680 сеансов в год; реалистичная нагрузка ~30%.</t>
  </si>
  <si>
    <t xml:space="preserve">FibroScan</t>
  </si>
  <si>
    <t xml:space="preserve">Часть протоколов longevity и метаболического скрининга. Французский OEM — чистый канал в Россию.</t>
  </si>
  <si>
    <t xml:space="preserve">Криосауна (whole-body)</t>
  </si>
  <si>
    <t xml:space="preserve">ADR-recovered</t>
  </si>
  <si>
    <t xml:space="preserve">Цена за сеанс 3 тыс. ₽ ≈ €33 — ниже европейской, что соответствует позиционированию России как «доступной премиальной» аудитории.</t>
  </si>
  <si>
    <t xml:space="preserve">Премиальный комплекс банных и термальных зон</t>
  </si>
  <si>
    <t xml:space="preserve">ADR-recovered (niche neurorehab; consider deferring)</t>
  </si>
  <si>
    <t xml:space="preserve">ADR-надбавка / пакеты</t>
  </si>
  <si>
    <t xml:space="preserve">Выручка идёт через ADR и комплексные пакеты, а не через прямой биллинг. Якорь культурной идентичности резорта.</t>
  </si>
  <si>
    <t xml:space="preserve">Гидротерапевтический контур (Виши, душ-впечатления, Кнайпп, хаммам)</t>
  </si>
  <si>
    <t xml:space="preserve">Окупается через ADR-надбавку и SPA-пакеты. Прямой биллинг лишь для отдельных Виши-сеансов.</t>
  </si>
  <si>
    <t xml:space="preserve">Полный комплекс Pilates (8 реформеров + кадиллак)</t>
  </si>
  <si>
    <t xml:space="preserve">Источник выручки — групповые занятия и пакеты. Прямые сеансы — €40–80 за индивидуальный.</t>
  </si>
  <si>
    <t xml:space="preserve">Тренажёрный зал Technogym Artis (премиум-линейка)</t>
  </si>
  <si>
    <t xml:space="preserve">ADR-надбавка</t>
  </si>
  <si>
    <t xml:space="preserve">Не выставляется отдельным счётом; обеспечивает позиционирование курорта и ADR.</t>
  </si>
  <si>
    <t xml:space="preserve">PMS, гостевая инфраструктура и AV</t>
  </si>
  <si>
    <t xml:space="preserve">Обеспечивающая инфраструктура</t>
  </si>
  <si>
    <t xml:space="preserve">Окупается через ADR и операционную эффективность. ~5–7 млн ₽ в год — это OPEX по подпискам.</t>
  </si>
  <si>
    <t xml:space="preserve">Премиальный кухонный комплекс</t>
  </si>
  <si>
    <t xml:space="preserve">Enabling spend</t>
  </si>
  <si>
    <t xml:space="preserve">Терапевтическая и ресторанная кухня. Окупается через P&amp;L F&amp;B (контрибьюшн 25–35%).</t>
  </si>
  <si>
    <t xml:space="preserve">МИС среднего класса (тип Athenahealth)</t>
  </si>
  <si>
    <t xml:space="preserve">Обязательная инфраструктура; окупается через эффективность и комплаенс. Подписка 6 млн ₽ в год относится к OPEX.</t>
  </si>
  <si>
    <t xml:space="preserve">Полный стек PMS, бронирования SPA и гостевого приложения</t>
  </si>
  <si>
    <t xml:space="preserve">Стек hospitality и велнес-операций. Подписка 5–7 млн ₽ в год относится к OPEX.</t>
  </si>
  <si>
    <t xml:space="preserve">БЕНЧМАРКИ ЦЕН НА ПРОЦЕДУРЫ</t>
  </si>
  <si>
    <t xml:space="preserve">Процедура</t>
  </si>
  <si>
    <t xml:space="preserve">Lanserhof, якорь (€)</t>
  </si>
  <si>
    <t xml:space="preserve">SHA (€)</t>
  </si>
  <si>
    <t xml:space="preserve">CLP (€)</t>
  </si>
  <si>
    <t xml:space="preserve">Россия, цель (₽)</t>
  </si>
  <si>
    <t xml:space="preserve">Россия, эквивалент (€)</t>
  </si>
  <si>
    <t xml:space="preserve">МРТ всего тела (executive-скрининг, без контраста)</t>
  </si>
  <si>
    <t xml:space="preserve">Lanserhof, SHA и CLP не публикуют отдельных цен на МРТ всего тела — она входит в пакеты долголетия. Бенчмарк ЕС оценочно €1 800–2 500 за самостоятельное исследование (без контраста) в премиальной клинике. Российский эквивалент в премиальной частной клинике — €1 200–1 800.</t>
  </si>
  <si>
    <t xml:space="preserve">DEXA (состав тела и плотность кости)</t>
  </si>
  <si>
    <t xml:space="preserve">Lanserhof, CLP и Chenot включают DEXA в пакеты долголетия и не публикуют отдельной цены. Оценено по бенчмаркам прямой оплаты в США и Великобритании. Эквивалент в российской премиальной клинике — €80–150.</t>
  </si>
  <si>
    <t xml:space="preserve">VO2max / CPET (кардиопульмональный тест)</t>
  </si>
  <si>
    <t xml:space="preserve">Пакет Lanserhof Classic Plus на 7 ночей (от €4 046 без проживания) включает VO2max. Российский премиум-сегмент — €200–350.</t>
  </si>
  <si>
    <t xml:space="preserve">Полная полисомнография (стационарная ночная)</t>
  </si>
  <si>
    <t xml:space="preserve">Стационарная PSG; домашние тесты обычно €200–600. Российский премиум-сегмент — €300–800.</t>
  </si>
  <si>
    <t xml:space="preserve">Executive-диагностическая / longevity-панель (medical basis therapy + диагностика, без проживания, 7 ночей)</t>
  </si>
  <si>
    <t xml:space="preserve">Программное ценообразование — базовая медицинская терапия наиболее близка к самостоятельному executive-блоку.</t>
  </si>
  <si>
    <t xml:space="preserve">Программа здорового старения / расширенного долголетия (7 ночей, без проживания)</t>
  </si>
  <si>
    <t xml:space="preserve">Самый прямой отраслевой бенчмарк цены программы. CLP Revitalisation Premium до 48 520 CHF задаёт верхнюю границу.</t>
  </si>
  <si>
    <t xml:space="preserve">Тест биологического возраста / эпигенетика (биомаркерная панель)</t>
  </si>
  <si>
    <t xml:space="preserve">Бенчмарки розничного DTC. Премиальные клиники (CLP, SHA) включают тест в программу; самостоятельный — обычно €400–700. Российские аналоги (Atlas, Genotek) — €80–200 розницей.</t>
  </si>
  <si>
    <t xml:space="preserve">Тест микробиома (16S rRNA или метагеномика, отчёт)</t>
  </si>
  <si>
    <t xml:space="preserve">Розница DTC €100–450; администрирование в премиальной клинике (с консультацией) — €350–700. Российские аналоги (Atlas, Knomx) — €80–180.</t>
  </si>
  <si>
    <t xml:space="preserve">Пакет «Здоровый мозг» (Lanserhof Tegernsee, без проживания)</t>
  </si>
  <si>
    <t xml:space="preserve">Lanserhof не раскрывает точную цену надстройки; структура повторяет надстройку Longevity (€5 113). Учитывается как оценка.</t>
  </si>
  <si>
    <t xml:space="preserve">БЕНЧМАРКИ ЦЕН НА ПАКЕТЫ</t>
  </si>
  <si>
    <t xml:space="preserve">Оператор</t>
  </si>
  <si>
    <t xml:space="preserve">Пакет</t>
  </si>
  <si>
    <t xml:space="preserve">Цена (€)</t>
  </si>
  <si>
    <t xml:space="preserve">Включает проживание</t>
  </si>
  <si>
    <t xml:space="preserve">Что входит</t>
  </si>
  <si>
    <t xml:space="preserve">Lanserhof Tegernsee</t>
  </si>
  <si>
    <t xml:space="preserve">Lanserhof Cure Classic + Longevity (7 ночей, только программа, без проживания)</t>
  </si>
  <si>
    <t xml:space="preserve">Первичный и заключительный осмотры врача, промежуточные приёмы с мануальными абдоминальными процедурами, диагностика состава тела, ежедневные терапевтические групповые сессии, longevity-диагностика (эпигенетика и биомаркеры), питание по принципам Майра (полный пансион), доступ к SPA. Проживание — отдельно.</t>
  </si>
  <si>
    <t xml:space="preserve">https://lanserhof.com/en/lanserhof-tegernsee/treatments/package-longevity-tegernsee/ ; https://www.serenityways.com/clinics/lanserhof-tegernsee</t>
  </si>
  <si>
    <t xml:space="preserve">SHA Wellness Clinic Spain (Аликанте)</t>
  </si>
  <si>
    <t xml:space="preserve">Advanced Longevity (7 ночей, программа + Deluxe Suite с видом на море, на 2 гостей)</t>
  </si>
  <si>
    <t xml:space="preserve">Генетическое тестирование, биомаркерный анализ, биологический профиль из 88 показателей, гипоксическая тренировка, нейрокогнитивная оценка, фотобиомодуляция, NAD-терапия, гипербарическая оксигенация, индивидуальная нутрициология (полный пансион), холистические процедуры, проживание в Deluxe Suite с видом на море.</t>
  </si>
  <si>
    <t xml:space="preserve">https://shawellness.com/en/advanced-longevity/ ; https://www.serenityways.com/clinics/sha-spain</t>
  </si>
  <si>
    <t xml:space="preserve">Clinique La Prairie (Монтрё)</t>
  </si>
  <si>
    <t xml:space="preserve">Master Detox (6 ночей / 7 дней)</t>
  </si>
  <si>
    <t xml:space="preserve">Проживание, полный пансион (детокс-меню CLP), комплексные медицинские консультации и диагностика (кардиология, терапия), углублённые детокс-процедуры, лимфодренаж, IV-терапия, доступ к SPA, план дальнейшего наблюдения.</t>
  </si>
  <si>
    <t xml:space="preserve">https://www.cliniquelaprairie.com/programs/master-detox/ ; https://swissmedexpert.com/clinique-la-prairie-detox</t>
  </si>
  <si>
    <t xml:space="preserve">Revitalisation Premium / Legendary Premium (1 неделя, верхний уровень)</t>
  </si>
  <si>
    <t xml:space="preserve">Фирменная клеточная программа CLP, полный медицинский осмотр с визуализацией, расширенная диагностика, мультиспециализированные консультации, проживание в премиальном сьюте, полный пансион, SPA.</t>
  </si>
  <si>
    <t xml:space="preserve">https://serenityways.com/pages/clinique-la-prairie-prices ; https://swissmedexpert.com/clinic-la-prairie</t>
  </si>
  <si>
    <t xml:space="preserve">Chenot Palace Weggis</t>
  </si>
  <si>
    <t xml:space="preserve">Advanced Detox (7 ночей, без проживания)</t>
  </si>
  <si>
    <t xml:space="preserve">Метод Chenot, ежедневные медицинские консультации, энергетические и детокс-процедуры (hydro-jet, биоэнергетические, фитогрязи, массаж), комплексная диагностика, питание (диета Chenot, fasting-mimicking), доступ к фитнесу, бассейну и термальной зоне. Проживание — отдельно.</t>
  </si>
  <si>
    <t xml:space="preserve">https://www.chenot.com/chenot-palace/weggis/programmes/ ; https://www.serenityways.com/clinics/chenot-palace-weggis ; https://www.chenot.com/wp-content/uploads/2024/05/Chenot-Palace-Weggis-Brochure-EN.pdf</t>
  </si>
  <si>
    <t xml:space="preserve">VIVAMAYR Maria Wörth / Altaussee</t>
  </si>
  <si>
    <t xml:space="preserve">Modern Mayr Cure Classic (7 ночей, только программа)</t>
  </si>
  <si>
    <t xml:space="preserve">Первичная и заключительная консультации с врачом по Майру, ежедневные абдоминальные процедуры, полный пансион по диете Майра, процедуры пищеварения, базовая диагностика (лаборатория, состав тела), доступ к SPA. Проживание — отдельно (номера от €378 до €3 750 за ночь).</t>
  </si>
  <si>
    <t xml:space="preserve">https://www.vivamayr.com/en/downloads/ ; https://serenityways.com/pages/vivamayr-prices ; https://www.best-treatment.com/en/clinics/vivamayr-altaussee/packages/modern-mayr-cure-basic</t>
  </si>
  <si>
    <t xml:space="preserve">Buchinger Wilhelmi (Боденское озеро, Юберлинген)</t>
  </si>
  <si>
    <t xml:space="preserve">Классическая 10-дневная программа лечебного голодания</t>
  </si>
  <si>
    <t xml:space="preserve">Минимум 10 ночей: разгрузочный день, ~6 дней голодания, дни выхода. Две медицинские консультации на 7 ночей, расширенная лабораторная диагностика, ежедневный осмотр, печёночные обёртывания, кишечные процедуры через день, круглосуточный дежурный врач, ваучер €45 за ночь на процедуры. Проживание — отдельно (обычно от €218 за ночь).</t>
  </si>
  <si>
    <t xml:space="preserve">https://www.buchinger-wilhelmi.com/en/buchinger-wilhelmi-lake-constance/arrangements-packages/ ; https://www.buchinger-wilhelmi.com/wp-content/uploads/2024/11/What-we-offer-2025_web_V1.3.pdf ; https://luxury-rehabs.com/buchinger-wilhelmi/</t>
  </si>
  <si>
    <t xml:space="preserve">Six Senses (базовая программа долголетия в нескольких отелях)</t>
  </si>
  <si>
    <t xml:space="preserve">Six Senses Longevity (зависит от объекта; например Six Senses Ibiza, Douro Valley, Kaplankaya)</t>
  </si>
  <si>
    <t xml:space="preserve">Персонализированная программа с биомаркерной базой, интегративной медицинской консультацией, анализом сна, фитнес-оценкой, IV/пептидной терапией (там, где разрешено), индивидуальным питанием, холистическими процедурами, проживанием и полным пансионом.</t>
  </si>
  <si>
    <t xml:space="preserve">https://www.sixsenses.com/en/wellness-spa/personalized-wellness/longevity/ ; https://www.sixsenses.com/en/wellness-spa/retreats/ ; https://www.hotel-online.com/news/six-senses-2025-wellness-forecast</t>
  </si>
  <si>
    <t xml:space="preserve">ЭКОНОМИКА ПАКЕТА — премиум-программа долголетия 7 ночей по €15 000 на гостя</t>
  </si>
  <si>
    <t xml:space="preserve">Компонент</t>
  </si>
  <si>
    <t xml:space="preserve">Доля</t>
  </si>
  <si>
    <t xml:space="preserve">Стоимость (€)</t>
  </si>
  <si>
    <t xml:space="preserve">Проживание</t>
  </si>
  <si>
    <t xml:space="preserve">Сьют, тариф за номер на 7 ночей</t>
  </si>
  <si>
    <t xml:space="preserve">Медицинские процедуры (собственное оборудование)</t>
  </si>
  <si>
    <t xml:space="preserve">Аллокация МРТ/КТ/DEXA/PSG/CPET/лаборатории на пакет</t>
  </si>
  <si>
    <t xml:space="preserve">SPA и восстановление (собственное оборудование)</t>
  </si>
  <si>
    <t xml:space="preserve">Гидротерапия, криосауна, банный комплекс, хаммам, Виши, пилатес</t>
  </si>
  <si>
    <t xml:space="preserve">F&amp;B (терапевтическая и ресторанная)</t>
  </si>
  <si>
    <t xml:space="preserve">Терапевтическое меню и a la carte allowance</t>
  </si>
  <si>
    <t xml:space="preserve">Профильные консультации (труд)</t>
  </si>
  <si>
    <t xml:space="preserve">Время врача, нутрициолога, специалиста по сну, физиотерапевта</t>
  </si>
  <si>
    <t xml:space="preserve">Маржинальный вклад</t>
  </si>
  <si>
    <t xml:space="preserve">Контрибьюшн объекта после прямого OPEX</t>
  </si>
  <si>
    <t xml:space="preserve">Итого пакет</t>
  </si>
  <si>
    <t xml:space="preserve">ОБОРУДОВАНИЕ БЕЗ ПРЯМОГО БИЛЛИНГА — ЛОГИКА НАДБАВКИ К ADR</t>
  </si>
  <si>
    <t xml:space="preserve">Обоснование</t>
  </si>
  <si>
    <t xml:space="preserve">Высококлассный тренажёрный зал, гидротерапевтический бассейн, премиальный банный комплекс, полная пилатес-студия, снежная комната и хаммам не выставляются за процедуру, но обеспечивают значимую надбавку к ADR относительно сопоставимого люкс-отеля.</t>
  </si>
  <si>
    <t xml:space="preserve">Надбавка к ADR за ночь (€)</t>
  </si>
  <si>
    <t xml:space="preserve">Надбавка к ADR за ночь (₽)</t>
  </si>
  <si>
    <t xml:space="preserve">Годовая надбавка (₽)</t>
  </si>
  <si>
    <t xml:space="preserve">Годовая надбавка (€-эквивалент)</t>
  </si>
  <si>
    <t xml:space="preserve">Надбавка = 23 000 ₽ × 21 352 ночи (90 номеров × 365 × 65% загрузки). Отраслевое правило: премиальное SPA/велнес добавляет 15–30% к ADR; €250 за ночь — консервативная оценка при базе €1 000–1 500 за ночь.</t>
  </si>
  <si>
    <t xml:space="preserve">СВОДНЫЕ ДИАПАЗОНЫ ОКУПАЕМОСТИ</t>
  </si>
  <si>
    <t xml:space="preserve">Быстрая окупаемость (&lt; 1,5 года)</t>
  </si>
  <si>
    <t xml:space="preserve">Парк IV-кресел (~0,05 года), CPET (~0,5 года), DEXA, гормональный анализатор (~1 год) — небольшой CapEx и высокая маржинальность.</t>
  </si>
  <si>
    <t xml:space="preserve">Средняя окупаемость (1,5–6 лет)</t>
  </si>
  <si>
    <t xml:space="preserve">Гематологический анализатор, полная PSG (~1–1,5 года); МРТ 3 Тл (~3 года), МРТ 1,5 Тл (~3 года), КТ (~5–6 лет с поправкой на загрузку), кардио-УЗИ (~3 года).</t>
  </si>
  <si>
    <t xml:space="preserve">Долгая окупаемость (&gt; 6 лет напрямую)</t>
  </si>
  <si>
    <t xml:space="preserve">Криосауна (~4 года), банный комплекс (~6–8 лет смешанно), Виши/хаммам (~10–15 лет напрямую).</t>
  </si>
  <si>
    <t xml:space="preserve">Надбавка к ADR / обеспечивающая инфраструктура</t>
  </si>
  <si>
    <t xml:space="preserve">Гидротерапевтический бассейн, полный комплект Technogym, пилатес-студия, кухня и F&amp;B, МИС, полный стек PMS+ИТ — окупаются через ADR, цены пакетов, маржу F&amp;B либо обеспечивают инфраструктуру. Lokomat помечен как нишевый/маржинальный — целесообразно отложить.</t>
  </si>
  <si>
    <t xml:space="preserve">РЕГИОНАЛЬНЫЕ ФАКТОРЫ СТОИМОСТИ</t>
  </si>
  <si>
    <t xml:space="preserve">Справочный документ — основан на Phase 6 исследования. Российский раздел проработан наиболее детально с учётом санкционной сложности.</t>
  </si>
  <si>
    <t xml:space="preserve">1. ЗАПАДНАЯ ЕВРОПА</t>
  </si>
  <si>
    <t xml:space="preserve">Базовый прайс OEM</t>
  </si>
  <si>
    <t xml:space="preserve">Западная Европа (Германия, Швейцария, Австрия, Италия, Франция, Испания) фактически выступает базовой шкалой OEM-цен по основным производителям медицинского и SPA-оборудования для сегмента longevity-резортов: Siemens Healthineers, GE HealthCare (продажи в ЕС), Philips, Drägerwerk, Storz, Olympus, Hologic, Technogym, Klafs, Starpool, Iyashi Dôme, Cosmed, Schiller, Mindray-Europe. Прайс в EUR обычно служит ориентиром для трансграничных бенчмарков.</t>
  </si>
  <si>
    <t xml:space="preserve">Дистрибьюторская наценка</t>
  </si>
  <si>
    <t xml:space="preserve">Типичная наценка локального дистрибьютора над прайсом OEM — 15–25%. Прямые контракты с OEM на крупные пакеты (от €1 млн) часто дают скидку 8–15% от прайса; единичные покупки оплачиваются по полному прайсу с дистрибьюторской наценкой.</t>
  </si>
  <si>
    <t xml:space="preserve">Уровень затрат на обслуживание</t>
  </si>
  <si>
    <t xml:space="preserve">Сервисные контракты в среднем составляют 6–10% CapEx для визуализации (МРТ, КТ, УЗИ) и 4–7% для SPA и оборудования восстановления. Многолетние пакеты (5–7 лет) обычно согласуются по эффективной ставке 5–7%.</t>
  </si>
  <si>
    <t xml:space="preserve">Рынок б/у и refurb</t>
  </si>
  <si>
    <t xml:space="preserve">Сильный вторичный рынок: восстановленные МРТ и КТ обычно стоят 40–60% от прайса нового, восстановленный ультразвук — 35–50%, DEXA — 50–65%. Block Imaging, Oxford Instruments, Soma Tech и Avante Health Solutions — основные брокеры с присутствием в ЕС. По SPA-оборудованию (криосауна, ИГГТ, гипербарика, Technogym) refurb-рынок тоньше: 60–80% от нового и ограниченное предложение.</t>
  </si>
  <si>
    <t xml:space="preserve">Ключевые замечания</t>
  </si>
  <si>
    <t xml:space="preserve">Возмещение НДС обычно доступно лицам с медицинской лицензией (Германия 19%, Австрия 20%, Швейцария 8,1%, Испания 21%, Италия 22%). Для медицинских изделий обязательна маркировка CE в рамках MDR (EU 2017/745); сроки перехода 2022–2024 годов привели к удорожанию изделий Class II/III на 5–8%. Энергетическая и трудовая инфляция 2022–2024 годов добавила примерно 10–15% к стоимости SPA-проектов.</t>
  </si>
  <si>
    <t xml:space="preserve">Замечания по валютам</t>
  </si>
  <si>
    <t xml:space="preserve">База — EUR; премия CHF к EUR обычно 10–15% для оборудования швейцарского производства.</t>
  </si>
  <si>
    <t xml:space="preserve">2. СЕВЕРНАЯ АМЕРИКА</t>
  </si>
  <si>
    <t xml:space="preserve">Цены относительно Европы</t>
  </si>
  <si>
    <t xml:space="preserve">Прайс в USD обычно на 10–20% выше европейского по визуализации и лабораторной технике (до перевода валют); для SPA и эстетики — на 5–15%. Связано с более высокой маржей дилеров, регуляторными издержками и премией за tort-litigation, заложенной в цены.</t>
  </si>
  <si>
    <t xml:space="preserve">Регуляторика FDA</t>
  </si>
  <si>
    <t xml:space="preserve">Требуется одобрение FDA 510(k) или PMA; срок вывода на рынок длиннее (обычно +6–18 месяцев против CE), и регуляторные издержки OEM включаются в американский прайс. Часть моделей, доступных в ЕС, недоступна в США, что приводит к выбору альтернативных SKU по более высокой цене. МРТ всего тела с одобрением FDA (Prenuvo, Ezra) развивается как сегмент прямой оплаты.</t>
  </si>
  <si>
    <t xml:space="preserve">Лизинговый рынок</t>
  </si>
  <si>
    <t xml:space="preserve">Сильно развитый рынок equipment finance и операционного лизинга; большинство премиальных велнес-операторов лизингует визуализацию (типичный срок 60 месяцев, эффективная ставка 4–7%). DLL, Siemens Financial Services и GE HealthCare Financial Services занимают доминирующие позиции. Доля лизинга по визуализации — около 50–60%, по SPA — 25–35%.</t>
  </si>
  <si>
    <t xml:space="preserve">Сервисная сеть</t>
  </si>
  <si>
    <t xml:space="preserve">Плотное сервисное покрытие OEM; в крупных метрополиях доступен SLA с откликом 4 часа за ~10–12% CapEx в год.</t>
  </si>
  <si>
    <t xml:space="preserve">Налог с продаж по штатам — 0–9,5%. Тарифные риски в 2024–2026 годах повышены (тарифы Section 301 на Китай затронули Mindray/Edan, отдельные SKU Technogym, собираемые в Азии). Соответствие HIPAA и интеграция МИС добавляют 5–10% к ИТ-CapEx.</t>
  </si>
  <si>
    <t xml:space="preserve">3. АЗИЯ</t>
  </si>
  <si>
    <t xml:space="preserve">Региональное производство</t>
  </si>
  <si>
    <t xml:space="preserve">Mindray (Китай, Шэньчжэнь) — №3 в мире по мониторам пациента и УЗИ; Edan (Китай) — ЭКГ, УЗИ, мониторы; Samsung Medison (Корея) — УЗИ, рентген; United Imaging (Китай) — МРТ/КТ, конкурентные с Siemens/GE/Philips, на 30–50% дешевле; Esaote (итальянская, производство в АТР) — УЗИ. Ниже стоимость по мониторингу, ЭКГ, УЗИ и базовой лаборатории; почти паритет по продвинутой визуализации.</t>
  </si>
  <si>
    <t xml:space="preserve">Импортные пошлины</t>
  </si>
  <si>
    <t xml:space="preserve">Сингапур: 0% на большинство медицинских изделий (HSA-перечень); Таиланд: 0–10% (большинство — освобождено по FDA-TH); ОАЭ: 0–5% (DHA/MOHAP); Япония: 0%; Корея: 0–8%; Китай: 0–4% при НДС 13% (медицина обычно по сниженной ставке 9% или освобождена); Гонконг: 0%.</t>
  </si>
  <si>
    <t xml:space="preserve">Сильная в Сингапуре, Гонконге, ОАЭ, Японии и Сеуле; слабее в Индонезии, Вьетнаме и второстепенных городах Китая. Mindray заявляет о сервисной сети в более чем 190 странах с региональными хабами.</t>
  </si>
  <si>
    <t xml:space="preserve">Оборудование азиатского производства (УЗИ Mindray и Samsung, диагностика сна BMC) после 2022 года всё чаще выступает заменителем в России. ОАЭ стали хабом параллельного реэкспорта. Индия предлагает оборудование Wipro GE с дисконтом 10–25% к европейскому прайсу.</t>
  </si>
  <si>
    <t xml:space="preserve">4. РОССИЯ — наиболее детальная глубина: санкции, параллельный импорт, отечественные альтернативы</t>
  </si>
  <si>
    <t xml:space="preserve">Таможенные пошлины</t>
  </si>
  <si>
    <t xml:space="preserve">Медицинское оборудование по ТН ВЭД 9018–9022 — обычно 0–5% (большая часть визуализации, ЭКГ, УЗИ и хирургический инструмент 0–5%); отдельные категории 5–10%. Постановление №1042 (2008, с поправками) перечисляет конкретное медицинское оборудование, освобождаемое от пошлины. Статус необходимо перепроверять по коду ТН ВЭД при таможенной декларации.</t>
  </si>
  <si>
    <t xml:space="preserve">НДС</t>
  </si>
  <si>
    <t xml:space="preserve">Стандартная ставка НДС — 20%; многие медицинские изделия из правительственного перечня (Постановление №1042 / перечень жизненно необходимых) освобождены от НДС либо облагаются по сниженной ставке 10%. Оператору следует подтверждать освобождение по каждому изделию через российского таможенного брокера.</t>
  </si>
  <si>
    <t xml:space="preserve">Волатильность RUB</t>
  </si>
  <si>
    <t xml:space="preserve">RUB ослаб с ~89/USD на конец 2023 года до ~110/USD на конец 2024 года (~23%). Модели CapEx должны учитывать запас 15–25% на ослабление RUB на горизонте 5 лет — с FX-хеджированием либо контрактами в USD/EUR, где это возможно. Многотраншевая закупка по этапам строительства снижает FX-шок.</t>
  </si>
  <si>
    <t xml:space="preserve">Категории, затронутые санкциями</t>
  </si>
  <si>
    <t xml:space="preserve">Ограничено (EU 833/2014 и US BIS): высокотехнологичная визуализация при стоимости свыше $750 тыс. либо с компонентами двойного назначения (продвинутые МРТ от 3 Тл и выше, ПЭТ-КТ, отдельные КТ, ИИ-диагностические платформы, зависящие от облака на западных серверах). Допущено по лицензиям/исключениям: стандартные УЗИ, ЭКГ, мониторы пациента, базовые лабораторные анализаторы, диагностика сна, большая часть SPA и оборудования восстановления. Лицензионное исключение US BIS MED (апрель 2024, 15 CFR 740.23) разрешает экспорт медицинских устройств класса EAR99 в Россию без лицензии. EU 833/2014 содержит медицинское исключение для лекарств и большинства медицинских изделий.</t>
  </si>
  <si>
    <t xml:space="preserve">Механика параллельного импорта</t>
  </si>
  <si>
    <t xml:space="preserve">Постановление Правительства №506 (29 марта 2022) и приказ Минпромторга №1532 (апрель 2022, с изменениями в 2024–2025 годах) разрешают параллельный импорт по многим категориям медицинской техники без согласия правообладателя. Механизм продлён до 2025 года и далее. Побочные эффекты: гарантия OEM аннулируется, заводской сервисный контракт отсутствует, обновления ПО и удалённая диагностика часто отключены, сроки поставки запчастей через серый канал — 3–6 месяцев.</t>
  </si>
  <si>
    <t xml:space="preserve">Сервис OEM после 2022 года</t>
  </si>
  <si>
    <t xml:space="preserve">Siemens Healthineers, GE HealthCare и Philips приостановили новые продажи и большую часть сервисных контрактов в России после февраля 2022 года. Сервис установленной базы ведётся частично (по гуманитарным/жизненно необходимым исключениям). Российские системные интеграторы (например, Medtech-M, Medrobotics, ММЦ, Intelmed, R-Pharm) поставляют запчасти и оказывают сторонний сервис. Сроки поставки запчастей — 8–24 недели; поддержка ПО и прошивок ненадёжна.</t>
  </si>
  <si>
    <t xml:space="preserve">Б/у и refurb по России</t>
  </si>
  <si>
    <t xml:space="preserve">Активный отечественный и параллельный refurb-рынок: типично 40–60% от европейского прайса по визуализации и 50–70% по SPA. Предложение по западным брендам сокращается; растёт предложение новых и восстановленных китайских изделий. Контроль качества затруднён без сервиса OEM.</t>
  </si>
  <si>
    <t xml:space="preserve">Отечественные альтернативы и заменители</t>
  </si>
  <si>
    <t xml:space="preserve">ЭКГ/Холтер: Aktiv-Med, Medical Computer Systems (Нейрософт), Schiller-Реомед (СП). УЗИ: ограниченные отечественные мощности; параллельный импорт замещают Mindray (Китай) и Samsung (Корея). Мониторы пациента: «Тритон Электронные Системы», «Квазар». Стерилизаторы и автоклавы: «Озон-Мед», «КАСИМОВ-МЕДИН», Tuttnauer (параллельный). Лабораторные анализаторы: АО «ЭЙЛИТОН», «Реамед»; в премиум-сегменте доминируют Mindray и Roche-cobas (параллельный). Гипербарика и кислород: производители на базе Хруничевского, аффилированные с Сеченовским университетом. Криотерапия: отечественных мало; CryoBuilt и Mecotec — параллельный импорт. SPA и восстановление (сауны, ИК, соляные комнаты): сильные отечественные мощности (лицензионная сборка TyloHelo, аналоги Helo, KLAFS — параллельный). Российские лаборатории биомаркеров и долголетия: Atlas, Genotek, MyGenetics — эпигенетика и микробиом по цене 30–50% от европейской розницы.</t>
  </si>
  <si>
    <t xml:space="preserve">МЕТОДОЛОГИЧЕСКАЯ ЗАМЕТКА</t>
  </si>
  <si>
    <t xml:space="preserve">Кросс-региональная корректировка</t>
  </si>
  <si>
    <t xml:space="preserve">Региональные корректировки к базовому EUR-прайсу OEM применяются следующим образом. (1) Стартовая точка — EUR-прайс (база Западной Европы). (2) Применяется категорийная российская надбавка: визуализация — +25–40% к EUR-прайсу (параллельный импорт, логистика, FX-буфер, премия серого канала); SPA и восстановление — +15–25%; лаборатория и ИТ — +10–20%; локально закупаемое FF&amp;E — −10…−25% к ЕС. (3) Добавляется FX-буфер 15–25% на CapEx, распределённый на 24–36 месяцев строительства. (4) Добавляется 8–12% премии за монтаж и пусконаладку для санкционного оборудования, требующего стороннего сервисного развёртывания. (5) Для международных бенчмарков уровня Tier-1 (Lanserhof, CLP, Chenot) используется база Западной Европы напрямую — эти операторы закупают по прайсу OEM с европейскими сервисными контрактами. (6) Годовое обслуживание (OPEX): 8–12% CapEx для базы в России (против 6–10% в ЕС) с учётом стоимости запчастей через серый канал. (7) Для аудиторского следа методологии каждая позиция документируется по источнику: прайс OEM, котировка дистрибьютора, котировка refurb-брокера, сопоставимая цена peer, либо триангулированная оценка по (а) глобальному прайсу, (б) российскому коэффициенту надбавки, (в) FX-предположению.</t>
  </si>
  <si>
    <t xml:space="preserve">СВОДКА РИСКОВ ПО РОССИИ</t>
  </si>
  <si>
    <t xml:space="preserve">Таможня и НДС</t>
  </si>
  <si>
    <t xml:space="preserve">Пошлина 0–5% по ТН ВЭД 9018–9022 с исключениями по Постановлению №1042; стандартный НДС 20%, сниженная ставка 10% или освобождение для многих медицинских изделий из правительственного перечня. Оператор обязан проверять освобождение по каждому коду ТН ВЭД через российского таможенного брокера.</t>
  </si>
  <si>
    <t xml:space="preserve">Затронуто санкциями</t>
  </si>
  <si>
    <t xml:space="preserve">ОГРАНИЧЕНО (EU 833/2014 и US BIS): премиальные МРТ от 3 Тл, ПЭТ-КТ, продвинутая КТ, ИИ-диагностические платформы, зависящие от облака. РАЗРЕШЕНО по лицензии/исключению: стандартные УЗИ, ЭКГ, мониторы пациента, базовые лабораторные анализаторы, диагностика сна, большая часть SPA и оборудования восстановления. Лицензионное исключение US BIS MED разрешает медицинские устройства класса EAR99 с апреля 2024 года.</t>
  </si>
  <si>
    <t xml:space="preserve">Параллельный импорт и сервисный риск</t>
  </si>
  <si>
    <t xml:space="preserve">Постановление №506 (2022) разрешает параллельный импорт без согласия правообладателя до 2025 года и далее. Побочные эффекты: гарантия OEM аннулируется, заводской сервисный контракт отсутствует, обновления ПО и удалённая диагностика часто отключены, запчасти через серый канал — 3–6 месяцев (8–24 недели). По визуализации — премия 25–40%.</t>
  </si>
  <si>
    <t xml:space="preserve">Отечественные альтернативы</t>
  </si>
  <si>
    <t xml:space="preserve">Mindray / United Imaging / Samsung Medison (УЗИ, КТ, МРТ через параллельный импорт); Нейрософт / Aktiv-Med / Schiller-Реомед СП (ЭКГ, Холтер); TyloHelo / KLAFS-сборка (сауна); «Тритон» / «Квазар» (мониторы); Atlas / Genotek / MyGenetics (эпигенетика, микробиом, биомаркеры по цене 30–50% от европейской розницы).</t>
  </si>
  <si>
    <t xml:space="preserve">ИСТОЧНИКИ И МЕТОДОЛОГИЯ</t>
  </si>
  <si>
    <t xml:space="preserve">Библиография из 56 цитируемых источников, оценка достоверности и рекомендации по верификации.</t>
  </si>
  <si>
    <t xml:space="preserve">Название</t>
  </si>
  <si>
    <t xml:space="preserve">Тип</t>
  </si>
  <si>
    <t xml:space="preserve">Использовано для</t>
  </si>
  <si>
    <t xml:space="preserve">URL</t>
  </si>
  <si>
    <t xml:space="preserve">Дата обращения</t>
  </si>
  <si>
    <t xml:space="preserve">Lanserhof Tegernsee — Package Longevity</t>
  </si>
  <si>
    <t xml:space="preserve">Публикация цен оператором</t>
  </si>
  <si>
    <t xml:space="preserve">Цена надстройки Longevity (€5 113), базовая Classic-терапия (€2 940), пакет «Здоровый мозг»</t>
  </si>
  <si>
    <t xml:space="preserve">https://lanserhof.com/en/lanserhof-tegernsee/treatments/package-longevity-tegernsee/</t>
  </si>
  <si>
    <t xml:space="preserve">Lanserhof Lans — Package Longevity</t>
  </si>
  <si>
    <t xml:space="preserve">Lanserhof Longevity отдельно — €6 618 без проживания</t>
  </si>
  <si>
    <t xml:space="preserve">https://lanserhof.com/en/lanserhof-lans/treatments/package-longevity-lans/</t>
  </si>
  <si>
    <t xml:space="preserve">SerenityWays — Lanserhof Tegernsee profile</t>
  </si>
  <si>
    <t xml:space="preserve">Отраслевой агрегатор</t>
  </si>
  <si>
    <t xml:space="preserve">Перекрёстная проверка цен программ и итогов (€8 175 — стартовая стоимость 7 ночей)</t>
  </si>
  <si>
    <t xml:space="preserve">https://www.serenityways.com/clinics/lanserhof-tegernsee</t>
  </si>
  <si>
    <t xml:space="preserve">SHA Wellness Clinic — Advanced Longevity programme page</t>
  </si>
  <si>
    <t xml:space="preserve">Advanced Longevity 7 ночей — €7 500; 10 ночей — €9 500; 14 ночей — €12 000</t>
  </si>
  <si>
    <t xml:space="preserve">https://shawellness.com/en/advanced-longevity/</t>
  </si>
  <si>
    <t xml:space="preserve">SerenityWays — SHA Spain prices</t>
  </si>
  <si>
    <t xml:space="preserve">Полная стоимость пребывания SHA с проживанием (€12 520 за 7 ночей на 2 гостей в Deluxe Suite)</t>
  </si>
  <si>
    <t xml:space="preserve">https://www.serenityways.com/clinics/sha-spain</t>
  </si>
  <si>
    <t xml:space="preserve">Clinique La Prairie — Master Detox programme</t>
  </si>
  <si>
    <t xml:space="preserve">Master Detox: 20 950 CHF за 7 дней / 6 ночей</t>
  </si>
  <si>
    <t xml:space="preserve">https://www.cliniquelaprairie.com/programs/master-detox/</t>
  </si>
  <si>
    <t xml:space="preserve">SwissMedExpert — Clinique La Prairie pricing summary</t>
  </si>
  <si>
    <t xml:space="preserve">Программный диапазон CLP: 5 000–48 520 CHF (от Detox до Legendary Premium Revitalisation)</t>
  </si>
  <si>
    <t xml:space="preserve">https://swissmedexpert.com/clinic-la-prairie</t>
  </si>
  <si>
    <t xml:space="preserve">Chenot Palace Weggis — Programmes &amp; brochure</t>
  </si>
  <si>
    <t xml:space="preserve">Advanced Detox 5 500 CHF за 7 ночей только программа; Nest Room 410 CHF за ночь; общий старт 8 370 CHF</t>
  </si>
  <si>
    <t xml:space="preserve">https://www.chenot.com/chenot-palace/weggis/programmes/</t>
  </si>
  <si>
    <t xml:space="preserve">Chenot Palace Weggis — 2024 Brochure (PDF)</t>
  </si>
  <si>
    <t xml:space="preserve">Публикация оператора</t>
  </si>
  <si>
    <t xml:space="preserve">Структура программы и состав</t>
  </si>
  <si>
    <t xml:space="preserve">https://www.chenot.com/wp-content/uploads/2024/05/Chenot-Palace-Weggis-Brochure-EN.pdf</t>
  </si>
  <si>
    <t xml:space="preserve">VIVAMAYR — Downloads (price lists)</t>
  </si>
  <si>
    <t xml:space="preserve">Modern Mayr Cure Classic: Maria Wörth — €3 825; Altaussee — €4 385; уровни проживания</t>
  </si>
  <si>
    <t xml:space="preserve">https://www.vivamayr.com/en/downloads/</t>
  </si>
  <si>
    <t xml:space="preserve">VIVAMAYR Maria Worth pricelist (PDF, Jan 2024)</t>
  </si>
  <si>
    <t xml:space="preserve">Цены программ и проживания в EUR</t>
  </si>
  <si>
    <t xml:space="preserve">https://www.vivamayr.com/app/uploads/2025/01/VIVAMAYR_MW_Preisliste_E_inkl.-Programme_15.01.2024.pdf</t>
  </si>
  <si>
    <t xml:space="preserve">Buchinger Wilhelmi Lake Constance — Arrangements &amp; Packages</t>
  </si>
  <si>
    <t xml:space="preserve">10-дневная программа голодания, состав; ваучер €45 за ночь</t>
  </si>
  <si>
    <t xml:space="preserve">https://www.buchinger-wilhelmi.com/en/buchinger-wilhelmi-lake-constance/arrangements-packages/</t>
  </si>
  <si>
    <t xml:space="preserve">Buchinger Wilhelmi — What we offer 2025 Lake Constance (PDF)</t>
  </si>
  <si>
    <t xml:space="preserve">Каталог услуг и цен 2025 — Боденское озеро</t>
  </si>
  <si>
    <t xml:space="preserve">https://www.buchinger-wilhelmi.com/wp-content/uploads/2024/11/What-we-offer-2025_web_V1.3.pdf</t>
  </si>
  <si>
    <t xml:space="preserve">Buchinger Wilhelmi — What we offer 2025 Marbella (PDF)</t>
  </si>
  <si>
    <t xml:space="preserve">Каталог услуг и цен 2025 — Марбелья</t>
  </si>
  <si>
    <t xml:space="preserve">https://www.buchinger-wilhelmi.com/wp-content/uploads/2024/11/What-we-offer-2025_web_V1.0.pdf</t>
  </si>
  <si>
    <t xml:space="preserve">Six Senses — Wellness &amp; Longevity</t>
  </si>
  <si>
    <t xml:space="preserve">Структура программ долголетия в отелях Six Senses</t>
  </si>
  <si>
    <t xml:space="preserve">https://www.sixsenses.com/en/wellness-spa/personalized-wellness/longevity/</t>
  </si>
  <si>
    <t xml:space="preserve">Six Senses 2025 Wellness Forecast (Hotel Online)</t>
  </si>
  <si>
    <t xml:space="preserve">Отраслевое освещение</t>
  </si>
  <si>
    <t xml:space="preserve">Контекст Six Senses Place, запуск женской велнес-программы</t>
  </si>
  <si>
    <t xml:space="preserve">https://www.hotel-online.com/news/six-senses-2025-wellness-forecast</t>
  </si>
  <si>
    <t xml:space="preserve">Anova IRM Germany — Diagnostic Work-Up</t>
  </si>
  <si>
    <t xml:space="preserve">Старт МРТ всего тела — €2 490</t>
  </si>
  <si>
    <t xml:space="preserve">https://anova-irm.com/en/diagnostics/diagnostic-work-up</t>
  </si>
  <si>
    <t xml:space="preserve">Radiologie Dr Jung — MRI cost overview</t>
  </si>
  <si>
    <t xml:space="preserve">МРТ всего тела при прямой оплате в Германии — €1 200–1 500</t>
  </si>
  <si>
    <t xml:space="preserve">https://www.radiologie-dr-jung.de/en/mri-cost-overview/</t>
  </si>
  <si>
    <t xml:space="preserve">Prenuvo — Pricing</t>
  </si>
  <si>
    <t xml:space="preserve">МРТ всего тела — $2 499 (бенчмарк США)</t>
  </si>
  <si>
    <t xml:space="preserve">https://prenuvo.com/pricing</t>
  </si>
  <si>
    <t xml:space="preserve">Ezra — MRI Pricing</t>
  </si>
  <si>
    <t xml:space="preserve">МРТ всего тела — $1 995 (бенчмарк США)</t>
  </si>
  <si>
    <t xml:space="preserve">https://www.ezra.com/pricing</t>
  </si>
  <si>
    <t xml:space="preserve">Sleep Foundation — Sleep Study Cost</t>
  </si>
  <si>
    <t xml:space="preserve">Отраслевой справочник</t>
  </si>
  <si>
    <t xml:space="preserve">Диапазон стоимости полисомнографии в США/ЕС</t>
  </si>
  <si>
    <t xml:space="preserve">https://www.sleepfoundation.org/sleep-studies/how-much-does-a-sleep-study-cost</t>
  </si>
  <si>
    <t xml:space="preserve">TruDiagnostic — TruAge</t>
  </si>
  <si>
    <t xml:space="preserve">Цена производителя/оператора</t>
  </si>
  <si>
    <t xml:space="preserve">Эпигенетический тест биологического возраста: $499; в Великобритании — £380</t>
  </si>
  <si>
    <t xml:space="preserve">https://shop.trudiagnostic.com/products/truage-complete-epigenetic-collection</t>
  </si>
  <si>
    <t xml:space="preserve">Longevity Advice — 11 Best Biological Age Tests 2024</t>
  </si>
  <si>
    <t xml:space="preserve">Отраслевое сравнение</t>
  </si>
  <si>
    <t xml:space="preserve">Розничные цены тестов биологического возраста (TruDiagnostic, GlycanAge, TruMe, EpiAging, Muhdo)</t>
  </si>
  <si>
    <t xml:space="preserve">https://www.longevityadvice.com/best-biological-age-tests/</t>
  </si>
  <si>
    <t xml:space="preserve">Viome — Microbiome test</t>
  </si>
  <si>
    <t xml:space="preserve">Базовая цена Viome — $119</t>
  </si>
  <si>
    <t xml:space="preserve">https://www.viome.com/</t>
  </si>
  <si>
    <t xml:space="preserve">InnerBody — Viome review</t>
  </si>
  <si>
    <t xml:space="preserve">Отраслевой обзор</t>
  </si>
  <si>
    <t xml:space="preserve">Контекст розничных цен Viome и микробиома</t>
  </si>
  <si>
    <t xml:space="preserve">https://www.innerbody.com/viome-review</t>
  </si>
  <si>
    <t xml:space="preserve">HVS — U.S. Hotel Development Cost Survey 2024</t>
  </si>
  <si>
    <t xml:space="preserve">Бенчмарк гостиничного рынка</t>
  </si>
  <si>
    <t xml:space="preserve">CapEx на номер: люкс — медиана выше $1 млн; полный сервис — выше $400 тыс.; midscale — $160–170 тыс.</t>
  </si>
  <si>
    <t xml:space="preserve">https://www.hvs.com/article/9999-HVS-US-Hotel-Development-Cost-Survey-2024</t>
  </si>
  <si>
    <t xml:space="preserve">HVS — U.S. Hotel Development Cost Survey 2025</t>
  </si>
  <si>
    <t xml:space="preserve">Перекрёстная проверка стоимости номеров класса люкс и full-service</t>
  </si>
  <si>
    <t xml:space="preserve">https://www.hvs.com/article/10219-hvs-us-hotel-development-cost-survey-2025</t>
  </si>
  <si>
    <t xml:space="preserve">Cushman &amp; Wakefield — Hotel Investor Compass 2024</t>
  </si>
  <si>
    <t xml:space="preserve">Отраслевой отчёт</t>
  </si>
  <si>
    <t xml:space="preserve">Спрос инвесторов в люксовом сегменте Европы и контекст размещения капитала</t>
  </si>
  <si>
    <t xml:space="preserve">https://www.cushmanwakefield.com/en/insights/hotel-investor-compass</t>
  </si>
  <si>
    <t xml:space="preserve">Cushman &amp; Wakefield — Hotel Investor Compass 2024 Spain</t>
  </si>
  <si>
    <t xml:space="preserve">Настроение иберийских инвесторов в люкс-отелях — 4,3 из 5</t>
  </si>
  <si>
    <t xml:space="preserve">https://www.cushmanwakefield.com/en/spain/news/2024/05/hotel-investor-campass-2024</t>
  </si>
  <si>
    <t xml:space="preserve">Statista — European hotel construction costs by city 2024</t>
  </si>
  <si>
    <t xml:space="preserve">Отраслевые данные</t>
  </si>
  <si>
    <t xml:space="preserve">Вариативность стоимости строительства отелей по европейским городам</t>
  </si>
  <si>
    <t xml:space="preserve">https://www.statista.com/statistics/1380696/hotel-construction-costs-european-cities/</t>
  </si>
  <si>
    <t xml:space="preserve">Global Wellness Institute — Wellness Real Estate 2024 (PDF)</t>
  </si>
  <si>
    <t xml:space="preserve">Велнес-недвижимость: $548 млрд в 2024 году с ростом до $1,1 трлн к 2029 году; тенденции интеграции долголетия</t>
  </si>
  <si>
    <t xml:space="preserve">https://globalwellnessinstitute.org/wp-content/uploads/2024/05/GWI-Wellness-Real-Estate-2024.pdf</t>
  </si>
  <si>
    <t xml:space="preserve">Global Wellness Institute — Build Well to Live Well 2025</t>
  </si>
  <si>
    <t xml:space="preserve">Статистика роста рынка велнес-недвижимости</t>
  </si>
  <si>
    <t xml:space="preserve">https://globalwellnessinstitute.org/press-room/press-releases/build-well-to-live-well-2025/</t>
  </si>
  <si>
    <t xml:space="preserve">Federal Register — License Exception MED, 89 FR (Apr 29 2024)</t>
  </si>
  <si>
    <t xml:space="preserve">Первичный регуляторный источник</t>
  </si>
  <si>
    <t xml:space="preserve">Санкционная рамка US BIS для медицинских устройств в Россию, Беларусь и оккупированные территории Украины</t>
  </si>
  <si>
    <t xml:space="preserve">https://www.federalregister.gov/documents/2024/04/29/2024-09076/amendment-to-existing-controls-on-russia-and-belarus-under-the-export-administration-regulations-ear</t>
  </si>
  <si>
    <t xml:space="preserve">BIS — License Exception Medical Devices (PDF)</t>
  </si>
  <si>
    <t xml:space="preserve">Допустимые позиции, охват EAR99, требования к учёту</t>
  </si>
  <si>
    <t xml:space="preserve">https://www.bis.gov/media/961</t>
  </si>
  <si>
    <t xml:space="preserve">European Commission — Sanctions FAQ Medicines and Medical Devices (PDF)</t>
  </si>
  <si>
    <t xml:space="preserve">Уточнения медицинского исключения EU 833/2014</t>
  </si>
  <si>
    <t xml:space="preserve">https://finance.ec.europa.eu/system/files/2023-02/faqs-sanctions-russia-medical_en.pdf</t>
  </si>
  <si>
    <t xml:space="preserve">EUR-Lex — Regulation 833/2014 (consolidated)</t>
  </si>
  <si>
    <t xml:space="preserve">База санкций ЕС, включая медицинские исключения</t>
  </si>
  <si>
    <t xml:space="preserve">https://eur-lex.europa.eu/eli/reg/2014/833/oj/eng</t>
  </si>
  <si>
    <t xml:space="preserve">Brace Law Firm — Parallel Import in Russia: Medicines &amp; Medical Devices</t>
  </si>
  <si>
    <t xml:space="preserve">Юридический анализ</t>
  </si>
  <si>
    <t xml:space="preserve">Постановление №506 (март 2022) и приказ №1532 — параллельный импорт медицинских изделий</t>
  </si>
  <si>
    <t xml:space="preserve">https://brace-lf.com/en/analytics/pharmaceutical-and-medical-law/parallel-import-russia-medicines-medical-devices</t>
  </si>
  <si>
    <t xml:space="preserve">Morgan Lewis — Update: Russia Legalizes Parallel Import of Certain Goods</t>
  </si>
  <si>
    <t xml:space="preserve">Перечень №506 из 55 категорий, включая фармацию и медицинские изделия</t>
  </si>
  <si>
    <t xml:space="preserve">https://www.morganlewis.com/pubs/2022/04/update-russia-legalizes-parallel-import-of-certain-goods</t>
  </si>
  <si>
    <t xml:space="preserve">Denuo — Regulation of parallel imports in 2024</t>
  </si>
  <si>
    <t xml:space="preserve">Продление механизма параллельного импорта до 2025 года</t>
  </si>
  <si>
    <t xml:space="preserve">https://denuo.legal/en/insights/news/240711/</t>
  </si>
  <si>
    <t xml:space="preserve">US ITA — Country Commercial Guide: Russia Medical Equipment</t>
  </si>
  <si>
    <t xml:space="preserve">Государственный коммерческий справочник</t>
  </si>
  <si>
    <t xml:space="preserve">Структура российского рынка медицинской техники, картина импортёров</t>
  </si>
  <si>
    <t xml:space="preserve">https://www.trade.gov/country-commercial-guides/russia-medical-equipment</t>
  </si>
  <si>
    <t xml:space="preserve">Securiti — Russian Federal Law No. 152-FZ explainer</t>
  </si>
  <si>
    <t xml:space="preserve">Справочник по комплаенсу</t>
  </si>
  <si>
    <t xml:space="preserve">Требования 152-ФЗ к локализации персональных и медицинских данных</t>
  </si>
  <si>
    <t xml:space="preserve">https://securiti.ai/russian-federal-law-no-152-fz/</t>
  </si>
  <si>
    <t xml:space="preserve">Konsu — New requirements for localization of personal data in Russia (July 2025)</t>
  </si>
  <si>
    <t xml:space="preserve">Обновления 152-ФЗ: 420-ФЗ (ноябрь 2024) — рост штрафов до 18 млн ₽; 23-ФЗ (февраль 2025)</t>
  </si>
  <si>
    <t xml:space="preserve">https://konsugroup.com/en/news/new-requirements-personal-data-protection-russia-2025-07/</t>
  </si>
  <si>
    <t xml:space="preserve">WTO — Russian Federation Tariff Profile (PDF)</t>
  </si>
  <si>
    <t xml:space="preserve">Базовая структура российского таможенного тарифа</t>
  </si>
  <si>
    <t xml:space="preserve">https://www.wto.org/english/res_e/statis_e/daily_update_e/tariff_profiles/RU_E.pdf</t>
  </si>
  <si>
    <t xml:space="preserve">Tonlexing — Customs Clearance in Russia 2025 guide</t>
  </si>
  <si>
    <t xml:space="preserve">Стандартный НДС 20% и сниженная ставка 10% для жизненно важных товаров (медицина)</t>
  </si>
  <si>
    <t xml:space="preserve">https://www.tonlexing.com/customs-clearance-in-russia/</t>
  </si>
  <si>
    <t xml:space="preserve">Mindray — Unlimited Potentials: Mindray's Story in Russia</t>
  </si>
  <si>
    <t xml:space="preserve">Публикация производителя</t>
  </si>
  <si>
    <t xml:space="preserve">Позиция Mindray на российском рынке (топ-3 импортируемой медтехники с 2007 года)</t>
  </si>
  <si>
    <t xml:space="preserve">https://www.mindray.com/en/media-center/blogs/unlimited-potentials-mindray-s-story-in-russia</t>
  </si>
  <si>
    <t xml:space="preserve">TAdviser — Medical Equipment (Russian Market)</t>
  </si>
  <si>
    <t xml:space="preserve">Объём рынка медтехники в России — 129,2 млрд ₽; доли брендов; динамика замещения</t>
  </si>
  <si>
    <t xml:space="preserve">https://tadviser.com/index.php/Article:Medical_Equipment_(Russian_Market)</t>
  </si>
  <si>
    <t xml:space="preserve">Schmidt &amp; Schmidt — New Rules for Medical Device Registration in Russia (Mar 2025)</t>
  </si>
  <si>
    <t xml:space="preserve">Регуляторный анализ</t>
  </si>
  <si>
    <t xml:space="preserve">Изменения регистрации медицинских изделий ЕАЭС/России и их влияние на сроки</t>
  </si>
  <si>
    <t xml:space="preserve">https://schmidt-export.com/news/new-rules-registration-medical-devices-starting-march-1-2025-russia</t>
  </si>
  <si>
    <t xml:space="preserve">FocusEconomics — Russia Exchange Rate Forecast</t>
  </si>
  <si>
    <t xml:space="preserve">Макроэкономические данные</t>
  </si>
  <si>
    <t xml:space="preserve">Курс RUB/USD в 2024 году (109,8 на конец 2024 против 89,4 на конец 2023)</t>
  </si>
  <si>
    <t xml:space="preserve">https://www.focus-economics.com/country-indicator/russia/exchange-rate/</t>
  </si>
  <si>
    <t xml:space="preserve">Asia Times — Ruble volatility exposes Russia's emerging economic crisis (Dec 2024)</t>
  </si>
  <si>
    <t xml:space="preserve">Макроэкономический анализ</t>
  </si>
  <si>
    <t xml:space="preserve">Контекст ослабления рубля для FX-методологии</t>
  </si>
  <si>
    <t xml:space="preserve">https://asiatimes.com/2024/12/ruble-volatility-exposes-russias-emerging-economic-crisis/</t>
  </si>
  <si>
    <t xml:space="preserve">Cooley — New License Exception Authorizes Medical Device Exports to Russia</t>
  </si>
  <si>
    <t xml:space="preserve">Практический комплаенс по лицензионному исключению MED</t>
  </si>
  <si>
    <t xml:space="preserve">https://www.cooley.com/news/insight/2024/2024-05-06-new-license-exception-authorizes-exports-of-previously-restricted-medical-devices-and-related-items</t>
  </si>
  <si>
    <t xml:space="preserve">Curtis — EU 14th Sanctions Package (Regulation 2024/1745)</t>
  </si>
  <si>
    <t xml:space="preserve">Поправки EU 833/2014 в 2024 году</t>
  </si>
  <si>
    <t xml:space="preserve">https://www.curtis.com/our-firm/news/the-eu-adopts-its-14th-sanctions-package-against-russia</t>
  </si>
  <si>
    <t xml:space="preserve">Hospitality Net — Six Senses 2025 Wellness Forecast</t>
  </si>
  <si>
    <t xml:space="preserve">Структура и контекст цен ретритов Six Senses</t>
  </si>
  <si>
    <t xml:space="preserve">https://www.hospitalitynet.org/news/4125285.html</t>
  </si>
  <si>
    <t xml:space="preserve">BodySpec — DEXA scan cost in major cities</t>
  </si>
  <si>
    <t xml:space="preserve">Розничные бенчмарки DEXA в США/Великобритании</t>
  </si>
  <si>
    <t xml:space="preserve">https://www.bodyspec.com/blog/post/how_much_does_a_dexa_scan_cost_in_major_cities</t>
  </si>
  <si>
    <t xml:space="preserve">Block Imaging — Bone Densitometer Price Guide</t>
  </si>
  <si>
    <t xml:space="preserve">Цены брокера refurb-оборудования</t>
  </si>
  <si>
    <t xml:space="preserve">Аппаратные и refurb-цены DEXA</t>
  </si>
  <si>
    <t xml:space="preserve">https://www.blockimaging.com/ge-and-hologic-bone-densitometer-price-cost-guide</t>
  </si>
  <si>
    <t xml:space="preserve">Healing Holidays — Lanserhof Tegernsee accommodation</t>
  </si>
  <si>
    <t xml:space="preserve">Публикация оператора/дистрибьютора</t>
  </si>
  <si>
    <t xml:space="preserve">Перекрёстная проверка цен номеров и итогов пакетов</t>
  </si>
  <si>
    <t xml:space="preserve">https://www.healingholidays.com/accommodation/germany/lanserhof-tegernsee</t>
  </si>
  <si>
    <t xml:space="preserve">Globetrender — Six Senses to open three urban wellness resorts in 2026</t>
  </si>
  <si>
    <t xml:space="preserve">Six Senses London (Whiteley) — мощность 109 номеров и 14 резиденций; открытие в 2026 году</t>
  </si>
  <si>
    <t xml:space="preserve">https://globetrender.com/2025/12/02/four-new-six-senses-resorts-2026/</t>
  </si>
  <si>
    <t xml:space="preserve">ОЦЕНКА ДОСТОВЕРНОСТИ</t>
  </si>
  <si>
    <t xml:space="preserve">Наиболее надёжно</t>
  </si>
  <si>
    <t xml:space="preserve">Цены по Западной Европе (€) и Северной Америке (USD) для кухни, спортзала, SPA и ИТ/PMS — взяты с актуальных страниц дилеров и из прайсов OEM (Rational, Technogym, Pilates, Klafs, Mews, Salesforce). Расхождение с фактической котировкой обычно ±10%.</t>
  </si>
  <si>
    <t xml:space="preserve">Умеренно надёжно</t>
  </si>
  <si>
    <t xml:space="preserve">Визуализация (МРТ, КТ, DEXA), лабораторные анализаторы и медицинская инфраструктура для ЕС и Северной Америки — взяты из прайсов refurb-брокеров (Block Imaging, Avante, Soma Tech) и публичных котировок OEM. По новому оборудованию расхождение составляет ±15%; refurb-предложения точнее.</t>
  </si>
  <si>
    <t xml:space="preserve">Самая слабая колонка — Россия (₽)</t>
  </si>
  <si>
    <t xml:space="preserve">Российские цены ТРИАНГУЛИРОВАНЫ, а не получены прямой котировкой. Метод: европейский прайс EUR + надбавка 25–40% по визуализации (премия параллельного импорта плюс FX-буфер) + 15–25% по SPA и восстановлению + 10–20% по лаборатории и ИТ; минус 10–25% на локально закупаемом FF&amp;E. Достоверность: средняя для SPA/ИТ, низкая для санкционной визуализации. Расхождение с фактической котировкой ±25–40%.</t>
  </si>
  <si>
    <t xml:space="preserve">Pass-through позиции</t>
  </si>
  <si>
    <t xml:space="preserve">Расширенные биомаркерные панели, киты CGM, киты микробиома, эпигенетические тесты возраста — это позиции с нулевым CapEx (расходники, оплачиваемые на гостя), учитываются как pass-through. Объёмы влияют на маржу, а не на CapEx.</t>
  </si>
  <si>
    <t xml:space="preserve">РЕКОМЕНДАЦИИ ПО ВЕРИФИКАЦИИ ПЕРЕД ФИКСАЦИЕЙ CapEx</t>
  </si>
  <si>
    <t xml:space="preserve">Российская визуализация — ОБЯЗАТЕЛЬНО</t>
  </si>
  <si>
    <t xml:space="preserve">Запросить котировку у российского брокера медицинской техники до фиксации CapEx. Рекомендованы: M-Equipment (Москва), MedTechMarket, Medtech-M либо консультант по закупкам, аффилированный с Сеченовским университетом. Особенно по позициям: МРТ 3 Тл, КТ 128 срезов, DEXA, маммография. Расхождение с оценками этой книги составит 25–40%.</t>
  </si>
  <si>
    <t xml:space="preserve">Российские SPA и баня — РЕКОМЕНДУЕТСЯ</t>
  </si>
  <si>
    <t xml:space="preserve">Подтвердить с российским SPA-генподрядчиком (Termopark, «Русская баня», Banya Project), поскольку цена банного комплекса варьируется в 2–3 раза в зависимости от технологии и породы (кедр, липа, дуб). Оценки в RUB предполагают поставку «под ключ» из бруса и могут занижать стоимость премиального кедра на 15–30%.</t>
  </si>
  <si>
    <t xml:space="preserve">Визуализация в Западной Европе — ОПЦИОНАЛЬНО</t>
  </si>
  <si>
    <t xml:space="preserve">Сверить с Block Imaging, Avante или Soma Tech по refurb-аналогам того же класса; прайс OEM обычно даёт скидку 10–15% на пакеты от €1 млн.</t>
  </si>
  <si>
    <t xml:space="preserve">ИТ / ПО — ОПЦИОНАЛЬНО</t>
  </si>
  <si>
    <t xml:space="preserve">Цены Mews, Salesforce и Athenahealth масштабируются количеством номеров и числом специалистов. Подтвердить котировкой поставщика на момент подписания. Подписочный рост обычно 5–8% в год.</t>
  </si>
  <si>
    <t xml:space="preserve">Цены процедур и пакетов — ОПЦИОНАЛЬНО</t>
  </si>
  <si>
    <t xml:space="preserve">Цены процедур привязаны к публичным данным Lanserhof, CLP и SHA, а также к самостоятельным европейским клиникам (Anova IRM, Radiologie Dr Jung, Prenuvo, Ezra). Российские целевые цены — позиционные оценки; следует свериться с публичными прайсами Сеченовского центра и клиники «Рассвет».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</si>
</sst>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\€#,##0;&quot;(€&quot;#,##0\);\-"/>
    <numFmt numFmtId="166" formatCode="\$#,##0;&quot;($&quot;#,##0\);\-"/>
    <numFmt numFmtId="167" formatCode="\₽#,##0;&quot;(₽&quot;#,##0\);\-"/>
    <numFmt numFmtId="168" formatCode="#,##0;\(#,##0\);\-"/>
    <numFmt numFmtId="169" formatCode="0.0%;\(0.0%\);\-"/>
    <numFmt numFmtId="170" formatCode="0.0"/>
    <numFmt numFmtId="171" formatCode="0"/>
    <numFmt numFmtId="172" formatCode="0.00"/>
    <numFmt numFmtId="173" formatCode="0.0%"/>
    <numFmt numFmtId="174" formatCode="#,##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b val="true"/>
      <sz val="18"/>
      <color rgb="FF1F4E78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61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u val="single"/>
      <sz val="11"/>
      <color rgb="FF0563C1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EB9C"/>
        <bgColor rgb="FFFFF2CC"/>
      </patternFill>
    </fill>
    <fill>
      <patternFill patternType="solid">
        <fgColor rgb="FFC6EFCE"/>
        <bgColor rgb="FFD9E1F2"/>
      </patternFill>
    </fill>
    <fill>
      <patternFill patternType="solid">
        <fgColor rgb="FFFFC7CE"/>
        <bgColor rgb="FFD9E1F2"/>
      </patternFill>
    </fill>
    <fill>
      <patternFill patternType="solid">
        <fgColor rgb="FFD9E1F2"/>
        <bgColor rgb="FFC6EFCE"/>
      </patternFill>
    </fill>
    <fill>
      <patternFill patternType="solid">
        <fgColor rgb="FFFFF2CC"/>
        <bgColor rgb="FFFFEB9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medium"/>
      <bottom style="double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3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lanserhof.com/en/lanserhof-tegernsee/treatments/package-longevity-tegernsee/" TargetMode="External"/><Relationship Id="rId2" Type="http://schemas.openxmlformats.org/officeDocument/2006/relationships/hyperlink" Target="https://lanserhof.com/en/lanserhof-lans/treatments/package-longevity-lans/" TargetMode="External"/><Relationship Id="rId3" Type="http://schemas.openxmlformats.org/officeDocument/2006/relationships/hyperlink" Target="https://www.serenityways.com/clinics/lanserhof-tegernsee" TargetMode="External"/><Relationship Id="rId4" Type="http://schemas.openxmlformats.org/officeDocument/2006/relationships/hyperlink" Target="https://shawellness.com/en/advanced-longevity/" TargetMode="External"/><Relationship Id="rId5" Type="http://schemas.openxmlformats.org/officeDocument/2006/relationships/hyperlink" Target="https://www.serenityways.com/clinics/sha-spain" TargetMode="External"/><Relationship Id="rId6" Type="http://schemas.openxmlformats.org/officeDocument/2006/relationships/hyperlink" Target="https://www.cliniquelaprairie.com/programs/master-detox/" TargetMode="External"/><Relationship Id="rId7" Type="http://schemas.openxmlformats.org/officeDocument/2006/relationships/hyperlink" Target="https://swissmedexpert.com/clinic-la-prairie" TargetMode="External"/><Relationship Id="rId8" Type="http://schemas.openxmlformats.org/officeDocument/2006/relationships/hyperlink" Target="https://www.chenot.com/chenot-palace/weggis/programmes/" TargetMode="External"/><Relationship Id="rId9" Type="http://schemas.openxmlformats.org/officeDocument/2006/relationships/hyperlink" Target="https://www.chenot.com/wp-content/uploads/2024/05/Chenot-Palace-Weggis-Brochure-EN.pdf" TargetMode="External"/><Relationship Id="rId10" Type="http://schemas.openxmlformats.org/officeDocument/2006/relationships/hyperlink" Target="https://www.vivamayr.com/en/downloads/" TargetMode="External"/><Relationship Id="rId11" Type="http://schemas.openxmlformats.org/officeDocument/2006/relationships/hyperlink" Target="https://www.vivamayr.com/app/uploads/2025/01/VIVAMAYR_MW_Preisliste_E_inkl.-Programme_15.01.2024.pdf" TargetMode="External"/><Relationship Id="rId12" Type="http://schemas.openxmlformats.org/officeDocument/2006/relationships/hyperlink" Target="https://www.buchinger-wilhelmi.com/en/buchinger-wilhelmi-lake-constance/arrangements-packages/" TargetMode="External"/><Relationship Id="rId13" Type="http://schemas.openxmlformats.org/officeDocument/2006/relationships/hyperlink" Target="https://www.buchinger-wilhelmi.com/wp-content/uploads/2024/11/What-we-offer-2025_web_V1.3.pdf" TargetMode="External"/><Relationship Id="rId14" Type="http://schemas.openxmlformats.org/officeDocument/2006/relationships/hyperlink" Target="https://www.buchinger-wilhelmi.com/wp-content/uploads/2024/11/What-we-offer-2025_web_V1.0.pdf" TargetMode="External"/><Relationship Id="rId15" Type="http://schemas.openxmlformats.org/officeDocument/2006/relationships/hyperlink" Target="https://www.sixsenses.com/en/wellness-spa/personalized-wellness/longevity/" TargetMode="External"/><Relationship Id="rId16" Type="http://schemas.openxmlformats.org/officeDocument/2006/relationships/hyperlink" Target="https://www.hotel-online.com/news/six-senses-2025-wellness-forecast" TargetMode="External"/><Relationship Id="rId17" Type="http://schemas.openxmlformats.org/officeDocument/2006/relationships/hyperlink" Target="https://anova-irm.com/en/diagnostics/diagnostic-work-up" TargetMode="External"/><Relationship Id="rId18" Type="http://schemas.openxmlformats.org/officeDocument/2006/relationships/hyperlink" Target="https://www.radiologie-dr-jung.de/en/mri-cost-overview/" TargetMode="External"/><Relationship Id="rId19" Type="http://schemas.openxmlformats.org/officeDocument/2006/relationships/hyperlink" Target="https://prenuvo.com/pricing" TargetMode="External"/><Relationship Id="rId20" Type="http://schemas.openxmlformats.org/officeDocument/2006/relationships/hyperlink" Target="https://www.ezra.com/pricing" TargetMode="External"/><Relationship Id="rId21" Type="http://schemas.openxmlformats.org/officeDocument/2006/relationships/hyperlink" Target="https://www.sleepfoundation.org/sleep-studies/how-much-does-a-sleep-study-cost" TargetMode="External"/><Relationship Id="rId22" Type="http://schemas.openxmlformats.org/officeDocument/2006/relationships/hyperlink" Target="https://shop.trudiagnostic.com/products/truage-complete-epigenetic-collection" TargetMode="External"/><Relationship Id="rId23" Type="http://schemas.openxmlformats.org/officeDocument/2006/relationships/hyperlink" Target="https://www.longevityadvice.com/best-biological-age-tests/" TargetMode="External"/><Relationship Id="rId24" Type="http://schemas.openxmlformats.org/officeDocument/2006/relationships/hyperlink" Target="https://www.viome.com/" TargetMode="External"/><Relationship Id="rId25" Type="http://schemas.openxmlformats.org/officeDocument/2006/relationships/hyperlink" Target="https://www.innerbody.com/viome-review" TargetMode="External"/><Relationship Id="rId26" Type="http://schemas.openxmlformats.org/officeDocument/2006/relationships/hyperlink" Target="https://www.hvs.com/article/9999-HVS-US-Hotel-Development-Cost-Survey-2024" TargetMode="External"/><Relationship Id="rId27" Type="http://schemas.openxmlformats.org/officeDocument/2006/relationships/hyperlink" Target="https://www.hvs.com/article/10219-hvs-us-hotel-development-cost-survey-2025" TargetMode="External"/><Relationship Id="rId28" Type="http://schemas.openxmlformats.org/officeDocument/2006/relationships/hyperlink" Target="https://www.cushmanwakefield.com/en/insights/hotel-investor-compass" TargetMode="External"/><Relationship Id="rId29" Type="http://schemas.openxmlformats.org/officeDocument/2006/relationships/hyperlink" Target="https://www.cushmanwakefield.com/en/spain/news/2024/05/hotel-investor-campass-2024" TargetMode="External"/><Relationship Id="rId30" Type="http://schemas.openxmlformats.org/officeDocument/2006/relationships/hyperlink" Target="https://www.statista.com/statistics/1380696/hotel-construction-costs-european-cities/" TargetMode="External"/><Relationship Id="rId31" Type="http://schemas.openxmlformats.org/officeDocument/2006/relationships/hyperlink" Target="https://globalwellnessinstitute.org/wp-content/uploads/2024/05/GWI-Wellness-Real-Estate-2024.pdf" TargetMode="External"/><Relationship Id="rId32" Type="http://schemas.openxmlformats.org/officeDocument/2006/relationships/hyperlink" Target="https://globalwellnessinstitute.org/press-room/press-releases/build-well-to-live-well-2025/" TargetMode="External"/><Relationship Id="rId33" Type="http://schemas.openxmlformats.org/officeDocument/2006/relationships/hyperlink" Target="https://www.federalregister.gov/documents/2024/04/29/2024-09076/amendment-to-existing-controls-on-russia-and-belarus-under-the-export-administration-regulations-ear" TargetMode="External"/><Relationship Id="rId34" Type="http://schemas.openxmlformats.org/officeDocument/2006/relationships/hyperlink" Target="https://www.bis.gov/media/961" TargetMode="External"/><Relationship Id="rId35" Type="http://schemas.openxmlformats.org/officeDocument/2006/relationships/hyperlink" Target="https://finance.ec.europa.eu/system/files/2023-02/faqs-sanctions-russia-medical_en.pdf" TargetMode="External"/><Relationship Id="rId36" Type="http://schemas.openxmlformats.org/officeDocument/2006/relationships/hyperlink" Target="https://eur-lex.europa.eu/eli/reg/2014/833/oj/eng" TargetMode="External"/><Relationship Id="rId37" Type="http://schemas.openxmlformats.org/officeDocument/2006/relationships/hyperlink" Target="https://brace-lf.com/en/analytics/pharmaceutical-and-medical-law/parallel-import-russia-medicines-medical-devices" TargetMode="External"/><Relationship Id="rId38" Type="http://schemas.openxmlformats.org/officeDocument/2006/relationships/hyperlink" Target="https://www.morganlewis.com/pubs/2022/04/update-russia-legalizes-parallel-import-of-certain-goods" TargetMode="External"/><Relationship Id="rId39" Type="http://schemas.openxmlformats.org/officeDocument/2006/relationships/hyperlink" Target="https://denuo.legal/en/insights/news/240711/" TargetMode="External"/><Relationship Id="rId40" Type="http://schemas.openxmlformats.org/officeDocument/2006/relationships/hyperlink" Target="https://www.trade.gov/country-commercial-guides/russia-medical-equipment" TargetMode="External"/><Relationship Id="rId41" Type="http://schemas.openxmlformats.org/officeDocument/2006/relationships/hyperlink" Target="https://securiti.ai/russian-federal-law-no-152-fz/" TargetMode="External"/><Relationship Id="rId42" Type="http://schemas.openxmlformats.org/officeDocument/2006/relationships/hyperlink" Target="https://konsugroup.com/en/news/new-requirements-personal-data-protection-russia-2025-07/" TargetMode="External"/><Relationship Id="rId43" Type="http://schemas.openxmlformats.org/officeDocument/2006/relationships/hyperlink" Target="https://www.wto.org/english/res_e/statis_e/daily_update_e/tariff_profiles/RU_E.pdf" TargetMode="External"/><Relationship Id="rId44" Type="http://schemas.openxmlformats.org/officeDocument/2006/relationships/hyperlink" Target="https://www.tonlexing.com/customs-clearance-in-russia/" TargetMode="External"/><Relationship Id="rId45" Type="http://schemas.openxmlformats.org/officeDocument/2006/relationships/hyperlink" Target="https://www.mindray.com/en/media-center/blogs/unlimited-potentials-mindray-s-story-in-russia" TargetMode="External"/><Relationship Id="rId46" Type="http://schemas.openxmlformats.org/officeDocument/2006/relationships/hyperlink" Target="https://tadviser.com/index.php/Article:Medical_Equipment_(Russian_Market)" TargetMode="External"/><Relationship Id="rId47" Type="http://schemas.openxmlformats.org/officeDocument/2006/relationships/hyperlink" Target="https://schmidt-export.com/news/new-rules-registration-medical-devices-starting-march-1-2025-russia" TargetMode="External"/><Relationship Id="rId48" Type="http://schemas.openxmlformats.org/officeDocument/2006/relationships/hyperlink" Target="https://www.focus-economics.com/country-indicator/russia/exchange-rate/" TargetMode="External"/><Relationship Id="rId49" Type="http://schemas.openxmlformats.org/officeDocument/2006/relationships/hyperlink" Target="https://asiatimes.com/2024/12/ruble-volatility-exposes-russias-emerging-economic-crisis/" TargetMode="External"/><Relationship Id="rId50" Type="http://schemas.openxmlformats.org/officeDocument/2006/relationships/hyperlink" Target="https://www.cooley.com/news/insight/2024/2024-05-06-new-license-exception-authorizes-exports-of-previously-restricted-medical-devices-and-related-items" TargetMode="External"/><Relationship Id="rId51" Type="http://schemas.openxmlformats.org/officeDocument/2006/relationships/hyperlink" Target="https://www.curtis.com/our-firm/news/the-eu-adopts-its-14th-sanctions-package-against-russia" TargetMode="External"/><Relationship Id="rId52" Type="http://schemas.openxmlformats.org/officeDocument/2006/relationships/hyperlink" Target="https://www.hospitalitynet.org/news/4125285.html" TargetMode="External"/><Relationship Id="rId53" Type="http://schemas.openxmlformats.org/officeDocument/2006/relationships/hyperlink" Target="https://www.bodyspec.com/blog/post/how_much_does_a_dexa_scan_cost_in_major_cities" TargetMode="External"/><Relationship Id="rId54" Type="http://schemas.openxmlformats.org/officeDocument/2006/relationships/hyperlink" Target="https://www.blockimaging.com/ge-and-hologic-bone-densitometer-price-cost-guide" TargetMode="External"/><Relationship Id="rId55" Type="http://schemas.openxmlformats.org/officeDocument/2006/relationships/hyperlink" Target="https://www.healingholidays.com/accommodation/germany/lanserhof-tegernsee" TargetMode="External"/><Relationship Id="rId56" Type="http://schemas.openxmlformats.org/officeDocument/2006/relationships/hyperlink" Target="https://globetrender.com/2025/12/02/four-new-six-senses-resorts-2026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10"/>
  </cols>
  <sheetData>
    <row r="1" customFormat="false" ht="15" hidden="false" customHeight="true" outlineLevel="0" collapsed="false">
      <c r="A1" s="2"/>
      <c r="B1" s="2"/>
      <c r="C1" s="2"/>
    </row>
    <row r="2" customFormat="false" ht="21.75" hidden="false" customHeight="true" outlineLevel="0" collapsed="false">
      <c r="A2" s="2"/>
      <c r="B2" s="3" t="s">
        <v>0</v>
      </c>
      <c r="C2" s="2"/>
    </row>
    <row r="3" customFormat="false" ht="15" hidden="false" customHeight="true" outlineLevel="0" collapsed="false">
      <c r="A3" s="2"/>
      <c r="B3" s="4" t="s">
        <v>1</v>
      </c>
      <c r="C3" s="2"/>
    </row>
    <row r="4" customFormat="false" ht="15" hidden="false" customHeight="true" outlineLevel="0" collapsed="false">
      <c r="A4" s="2"/>
      <c r="B4" s="2"/>
      <c r="C4" s="2"/>
    </row>
    <row r="5" customFormat="false" ht="15" hidden="false" customHeight="true" outlineLevel="0" collapsed="false">
      <c r="A5" s="2"/>
      <c r="B5" s="5" t="s">
        <v>2</v>
      </c>
      <c r="C5" s="6" t="s">
        <v>3</v>
      </c>
    </row>
    <row r="6" customFormat="false" ht="15" hidden="false" customHeight="true" outlineLevel="0" collapsed="false">
      <c r="A6" s="2"/>
      <c r="B6" s="5" t="s">
        <v>4</v>
      </c>
      <c r="C6" s="6" t="s">
        <v>5</v>
      </c>
    </row>
    <row r="7" customFormat="false" ht="15" hidden="false" customHeight="true" outlineLevel="0" collapsed="false">
      <c r="A7" s="2"/>
      <c r="B7" s="5" t="s">
        <v>6</v>
      </c>
      <c r="C7" s="6" t="s">
        <v>7</v>
      </c>
    </row>
    <row r="8" customFormat="false" ht="15" hidden="false" customHeight="true" outlineLevel="0" collapsed="false">
      <c r="A8" s="2"/>
      <c r="B8" s="5" t="s">
        <v>8</v>
      </c>
      <c r="C8" s="6" t="s">
        <v>9</v>
      </c>
    </row>
    <row r="9" customFormat="false" ht="15" hidden="false" customHeight="true" outlineLevel="0" collapsed="false">
      <c r="A9" s="2"/>
      <c r="B9" s="5" t="s">
        <v>10</v>
      </c>
      <c r="C9" s="6" t="s">
        <v>11</v>
      </c>
    </row>
    <row r="10" customFormat="false" ht="15" hidden="false" customHeight="true" outlineLevel="0" collapsed="false">
      <c r="A10" s="2"/>
      <c r="B10" s="2"/>
      <c r="C10" s="2"/>
    </row>
    <row r="11" customFormat="false" ht="15" hidden="false" customHeight="true" outlineLevel="0" collapsed="false">
      <c r="A11" s="2"/>
      <c r="B11" s="7" t="s">
        <v>12</v>
      </c>
      <c r="C11" s="2"/>
    </row>
    <row r="12" customFormat="false" ht="15" hidden="false" customHeight="true" outlineLevel="0" collapsed="false">
      <c r="A12" s="2"/>
      <c r="B12" s="5" t="s">
        <v>13</v>
      </c>
      <c r="C12" s="8" t="s">
        <v>14</v>
      </c>
    </row>
    <row r="13" customFormat="false" ht="15" hidden="false" customHeight="true" outlineLevel="0" collapsed="false">
      <c r="A13" s="2"/>
      <c r="B13" s="5" t="s">
        <v>15</v>
      </c>
      <c r="C13" s="8" t="s">
        <v>16</v>
      </c>
    </row>
    <row r="14" customFormat="false" ht="15" hidden="false" customHeight="true" outlineLevel="0" collapsed="false">
      <c r="A14" s="2"/>
      <c r="B14" s="5" t="s">
        <v>17</v>
      </c>
      <c r="C14" s="8" t="s">
        <v>18</v>
      </c>
    </row>
    <row r="15" customFormat="false" ht="15" hidden="false" customHeight="true" outlineLevel="0" collapsed="false">
      <c r="A15" s="2"/>
      <c r="B15" s="5" t="s">
        <v>19</v>
      </c>
      <c r="C15" s="8" t="s">
        <v>20</v>
      </c>
    </row>
    <row r="16" customFormat="false" ht="15" hidden="false" customHeight="true" outlineLevel="0" collapsed="false">
      <c r="A16" s="2"/>
      <c r="B16" s="5" t="s">
        <v>21</v>
      </c>
      <c r="C16" s="8" t="s">
        <v>22</v>
      </c>
    </row>
    <row r="17" customFormat="false" ht="15" hidden="false" customHeight="true" outlineLevel="0" collapsed="false">
      <c r="A17" s="2"/>
      <c r="B17" s="5" t="s">
        <v>23</v>
      </c>
      <c r="C17" s="8" t="s">
        <v>24</v>
      </c>
    </row>
    <row r="18" customFormat="false" ht="15" hidden="false" customHeight="true" outlineLevel="0" collapsed="false">
      <c r="A18" s="2"/>
      <c r="B18" s="2"/>
      <c r="C18" s="2"/>
    </row>
    <row r="19" customFormat="false" ht="15" hidden="false" customHeight="true" outlineLevel="0" collapsed="false">
      <c r="A19" s="2"/>
      <c r="B19" s="2"/>
      <c r="C19" s="2"/>
    </row>
    <row r="20" customFormat="false" ht="15" hidden="false" customHeight="true" outlineLevel="0" collapsed="false">
      <c r="A20" s="2"/>
      <c r="B20" s="7" t="s">
        <v>25</v>
      </c>
      <c r="C20" s="2"/>
    </row>
    <row r="21" customFormat="false" ht="45" hidden="false" customHeight="true" outlineLevel="0" collapsed="false">
      <c r="A21" s="2"/>
      <c r="B21" s="5" t="s">
        <v>26</v>
      </c>
      <c r="C21" s="8" t="s">
        <v>27</v>
      </c>
    </row>
    <row r="22" customFormat="false" ht="45" hidden="false" customHeight="true" outlineLevel="0" collapsed="false">
      <c r="A22" s="2"/>
      <c r="B22" s="5" t="s">
        <v>28</v>
      </c>
      <c r="C22" s="8" t="s">
        <v>29</v>
      </c>
    </row>
    <row r="23" customFormat="false" ht="45" hidden="false" customHeight="true" outlineLevel="0" collapsed="false">
      <c r="A23" s="2"/>
      <c r="B23" s="5" t="s">
        <v>30</v>
      </c>
      <c r="C23" s="8" t="s">
        <v>31</v>
      </c>
    </row>
    <row r="24" customFormat="false" ht="45" hidden="false" customHeight="true" outlineLevel="0" collapsed="false">
      <c r="A24" s="2"/>
      <c r="B24" s="5" t="s">
        <v>32</v>
      </c>
      <c r="C24" s="8" t="s">
        <v>33</v>
      </c>
    </row>
    <row r="25" customFormat="false" ht="15" hidden="false" customHeight="true" outlineLevel="0" collapsed="false">
      <c r="A25" s="2"/>
      <c r="B25" s="2"/>
      <c r="C25" s="2"/>
    </row>
    <row r="26" customFormat="false" ht="15" hidden="false" customHeight="true" outlineLevel="0" collapsed="false">
      <c r="A26" s="2"/>
      <c r="B26" s="2"/>
      <c r="C26" s="2"/>
    </row>
    <row r="27" customFormat="false" ht="15" hidden="false" customHeight="true" outlineLevel="0" collapsed="false">
      <c r="A27" s="2"/>
      <c r="B27" s="7" t="s">
        <v>34</v>
      </c>
      <c r="C27" s="2"/>
    </row>
    <row r="28" customFormat="false" ht="15" hidden="false" customHeight="true" outlineLevel="0" collapsed="false">
      <c r="A28" s="2"/>
      <c r="B28" s="9" t="s">
        <v>35</v>
      </c>
      <c r="C28" s="9" t="s">
        <v>36</v>
      </c>
    </row>
    <row r="29" customFormat="false" ht="15" hidden="false" customHeight="true" outlineLevel="0" collapsed="false">
      <c r="A29" s="2"/>
      <c r="B29" s="10" t="s">
        <v>37</v>
      </c>
      <c r="C29" s="10" t="s">
        <v>38</v>
      </c>
    </row>
    <row r="30" customFormat="false" ht="15" hidden="false" customHeight="true" outlineLevel="0" collapsed="false">
      <c r="A30" s="2"/>
      <c r="B30" s="11" t="s">
        <v>39</v>
      </c>
      <c r="C30" s="11" t="s">
        <v>40</v>
      </c>
    </row>
    <row r="31" customFormat="false" ht="15" hidden="false" customHeight="true" outlineLevel="0" collapsed="false">
      <c r="A31" s="2"/>
      <c r="B31" s="5" t="s">
        <v>41</v>
      </c>
      <c r="C31" s="2" t="s">
        <v>42</v>
      </c>
    </row>
    <row r="32" customFormat="false" ht="15" hidden="false" customHeight="true" outlineLevel="0" collapsed="false">
      <c r="A32" s="2"/>
      <c r="B32" s="2"/>
      <c r="C32" s="2"/>
    </row>
    <row r="33" customFormat="false" ht="15" hidden="false" customHeight="true" outlineLevel="0" collapsed="false">
      <c r="A33" s="2"/>
      <c r="B33" s="7" t="s">
        <v>43</v>
      </c>
      <c r="C33" s="2"/>
    </row>
    <row r="34" customFormat="false" ht="26.25" hidden="false" customHeight="true" outlineLevel="0" collapsed="false">
      <c r="A34" s="2"/>
      <c r="B34" s="2"/>
      <c r="C34" s="8" t="s">
        <v>44</v>
      </c>
    </row>
    <row r="35" customFormat="false" ht="26.25" hidden="false" customHeight="true" outlineLevel="0" collapsed="false">
      <c r="A35" s="2"/>
      <c r="B35" s="2"/>
      <c r="C35" s="8" t="s">
        <v>45</v>
      </c>
    </row>
    <row r="36" customFormat="false" ht="26.25" hidden="false" customHeight="true" outlineLevel="0" collapsed="false">
      <c r="A36" s="2"/>
      <c r="B36" s="2"/>
      <c r="C36" s="8" t="s">
        <v>46</v>
      </c>
    </row>
    <row r="37" customFormat="false" ht="26.25" hidden="false" customHeight="true" outlineLevel="0" collapsed="false">
      <c r="A37" s="2"/>
      <c r="B37" s="2"/>
      <c r="C37" s="8" t="s">
        <v>47</v>
      </c>
    </row>
    <row r="38" customFormat="false" ht="15" hidden="false" customHeight="true" outlineLevel="0" collapsed="false">
      <c r="A38" s="2"/>
      <c r="B38" s="2"/>
      <c r="C38" s="8" t="s">
        <v>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3" min="2" style="1" width="22"/>
    <col collapsed="false" customWidth="true" hidden="false" outlineLevel="0" max="4" min="4" style="1" width="50"/>
    <col collapsed="false" customWidth="true" hidden="false" outlineLevel="0" max="5" min="5" style="1" width="38"/>
    <col collapsed="false" customWidth="true" hidden="false" outlineLevel="0" max="6" min="6" style="1" width="50"/>
    <col collapsed="false" customWidth="true" hidden="false" outlineLevel="0" max="8" min="7" style="1" width="22"/>
    <col collapsed="false" customWidth="true" hidden="false" outlineLevel="0" max="11" min="9" style="1" width="18"/>
    <col collapsed="false" customWidth="true" hidden="false" outlineLevel="0" max="12" min="12" style="1" width="14"/>
    <col collapsed="false" customWidth="true" hidden="false" outlineLevel="0" max="13" min="13" style="1" width="18"/>
    <col collapsed="false" customWidth="true" hidden="false" outlineLevel="0" max="14" min="14" style="1" width="12"/>
    <col collapsed="false" customWidth="true" hidden="false" outlineLevel="0" max="15" min="15" style="1" width="10"/>
    <col collapsed="false" customWidth="true" hidden="false" outlineLevel="0" max="16" min="16" style="1" width="12"/>
    <col collapsed="false" customWidth="true" hidden="false" outlineLevel="0" max="17" min="17" style="1" width="10"/>
    <col collapsed="false" customWidth="true" hidden="false" outlineLevel="0" max="18" min="18" style="1" width="50"/>
    <col collapsed="false" customWidth="true" hidden="false" outlineLevel="0" max="20" min="19" style="1" width="12"/>
    <col collapsed="false" customWidth="true" hidden="false" outlineLevel="0" max="21" min="21" style="1" width="60"/>
    <col collapsed="false" customWidth="true" hidden="false" outlineLevel="0" max="25" min="22" style="1" width="14"/>
  </cols>
  <sheetData>
    <row r="1" customFormat="false" ht="36" hidden="false" customHeight="true" outlineLevel="0" collapsed="false">
      <c r="A1" s="12" t="s">
        <v>49</v>
      </c>
      <c r="B1" s="12" t="s">
        <v>50</v>
      </c>
      <c r="C1" s="12" t="s">
        <v>51</v>
      </c>
      <c r="D1" s="12" t="s">
        <v>52</v>
      </c>
      <c r="E1" s="12" t="s">
        <v>53</v>
      </c>
      <c r="F1" s="12" t="s">
        <v>54</v>
      </c>
      <c r="G1" s="12" t="s">
        <v>55</v>
      </c>
      <c r="H1" s="12" t="s">
        <v>56</v>
      </c>
      <c r="I1" s="12" t="s">
        <v>57</v>
      </c>
      <c r="J1" s="12" t="s">
        <v>58</v>
      </c>
      <c r="K1" s="12" t="s">
        <v>59</v>
      </c>
      <c r="L1" s="12" t="s">
        <v>60</v>
      </c>
      <c r="M1" s="12" t="s">
        <v>61</v>
      </c>
      <c r="N1" s="12" t="s">
        <v>62</v>
      </c>
      <c r="O1" s="12" t="s">
        <v>63</v>
      </c>
      <c r="P1" s="12" t="s">
        <v>64</v>
      </c>
      <c r="Q1" s="12" t="s">
        <v>65</v>
      </c>
      <c r="R1" s="12" t="s">
        <v>66</v>
      </c>
      <c r="S1" s="12" t="s">
        <v>67</v>
      </c>
      <c r="T1" s="12" t="s">
        <v>68</v>
      </c>
      <c r="U1" s="12" t="s">
        <v>69</v>
      </c>
      <c r="V1" s="12" t="s">
        <v>70</v>
      </c>
      <c r="W1" s="12" t="s">
        <v>71</v>
      </c>
      <c r="X1" s="12" t="s">
        <v>72</v>
      </c>
      <c r="Y1" s="12" t="s">
        <v>73</v>
      </c>
    </row>
    <row r="2" customFormat="false" ht="30" hidden="false" customHeight="true" outlineLevel="0" collapsed="false">
      <c r="A2" s="6" t="n">
        <v>1</v>
      </c>
      <c r="B2" s="6" t="s">
        <v>74</v>
      </c>
      <c r="C2" s="6" t="s">
        <v>75</v>
      </c>
      <c r="D2" s="6" t="s">
        <v>76</v>
      </c>
      <c r="E2" s="6" t="s">
        <v>77</v>
      </c>
      <c r="F2" s="13" t="s">
        <v>78</v>
      </c>
      <c r="G2" s="6" t="s">
        <v>30</v>
      </c>
      <c r="H2" s="6" t="s">
        <v>30</v>
      </c>
      <c r="I2" s="14" t="n">
        <v>180000</v>
      </c>
      <c r="J2" s="15" t="n">
        <v>215000</v>
      </c>
      <c r="K2" s="15" t="n">
        <v>175000</v>
      </c>
      <c r="L2" s="6" t="s">
        <v>79</v>
      </c>
      <c r="M2" s="16" t="n">
        <v>25000000</v>
      </c>
      <c r="N2" s="17" t="n">
        <v>1</v>
      </c>
      <c r="O2" s="17" t="n">
        <v>8</v>
      </c>
      <c r="P2" s="18" t="n">
        <v>0.1</v>
      </c>
      <c r="Q2" s="19" t="n">
        <v>0.6</v>
      </c>
      <c r="R2" s="13" t="s">
        <v>80</v>
      </c>
      <c r="S2" s="20" t="s">
        <v>81</v>
      </c>
      <c r="T2" s="6" t="s">
        <v>82</v>
      </c>
      <c r="U2" s="13" t="s">
        <v>83</v>
      </c>
      <c r="V2" s="21"/>
      <c r="W2" s="22"/>
      <c r="X2" s="22"/>
      <c r="Y2" s="23"/>
    </row>
    <row r="3" customFormat="false" ht="30" hidden="false" customHeight="true" outlineLevel="0" collapsed="false">
      <c r="A3" s="6" t="n">
        <v>2</v>
      </c>
      <c r="B3" s="6" t="s">
        <v>74</v>
      </c>
      <c r="C3" s="6" t="s">
        <v>84</v>
      </c>
      <c r="D3" s="6" t="s">
        <v>85</v>
      </c>
      <c r="E3" s="6" t="s">
        <v>86</v>
      </c>
      <c r="F3" s="13" t="s">
        <v>87</v>
      </c>
      <c r="G3" s="6" t="s">
        <v>32</v>
      </c>
      <c r="H3" s="6" t="s">
        <v>32</v>
      </c>
      <c r="I3" s="14" t="n">
        <v>100000</v>
      </c>
      <c r="J3" s="15" t="n">
        <v>120000</v>
      </c>
      <c r="K3" s="15" t="n">
        <v>95000</v>
      </c>
      <c r="L3" s="6" t="s">
        <v>79</v>
      </c>
      <c r="M3" s="16" t="n">
        <v>14000000</v>
      </c>
      <c r="N3" s="17" t="n">
        <v>1</v>
      </c>
      <c r="O3" s="17" t="n">
        <v>7</v>
      </c>
      <c r="P3" s="18" t="n">
        <v>0.1</v>
      </c>
      <c r="Q3" s="19" t="n">
        <v>0.4</v>
      </c>
      <c r="R3" s="13" t="s">
        <v>88</v>
      </c>
      <c r="S3" s="20" t="s">
        <v>81</v>
      </c>
      <c r="T3" s="6" t="s">
        <v>82</v>
      </c>
      <c r="U3" s="13" t="s">
        <v>89</v>
      </c>
      <c r="V3" s="21"/>
      <c r="W3" s="22"/>
      <c r="X3" s="22"/>
      <c r="Y3" s="23"/>
    </row>
    <row r="4" customFormat="false" ht="30" hidden="false" customHeight="true" outlineLevel="0" collapsed="false">
      <c r="A4" s="6" t="n">
        <v>3</v>
      </c>
      <c r="B4" s="6" t="s">
        <v>74</v>
      </c>
      <c r="C4" s="6" t="s">
        <v>90</v>
      </c>
      <c r="D4" s="6" t="s">
        <v>91</v>
      </c>
      <c r="E4" s="6" t="s">
        <v>92</v>
      </c>
      <c r="F4" s="13" t="s">
        <v>93</v>
      </c>
      <c r="G4" s="6" t="s">
        <v>30</v>
      </c>
      <c r="H4" s="6" t="s">
        <v>28</v>
      </c>
      <c r="I4" s="14" t="n">
        <v>130000</v>
      </c>
      <c r="J4" s="15" t="n">
        <v>150000</v>
      </c>
      <c r="K4" s="15" t="n">
        <v>125000</v>
      </c>
      <c r="L4" s="6" t="s">
        <v>79</v>
      </c>
      <c r="M4" s="16" t="n">
        <v>18000000</v>
      </c>
      <c r="N4" s="17" t="n">
        <v>1</v>
      </c>
      <c r="O4" s="17" t="n">
        <v>7</v>
      </c>
      <c r="P4" s="18" t="n">
        <v>0.1</v>
      </c>
      <c r="Q4" s="19" t="n">
        <v>0.4</v>
      </c>
      <c r="R4" s="13" t="s">
        <v>94</v>
      </c>
      <c r="S4" s="20" t="s">
        <v>81</v>
      </c>
      <c r="T4" s="6" t="s">
        <v>82</v>
      </c>
      <c r="U4" s="13" t="s">
        <v>95</v>
      </c>
      <c r="V4" s="21"/>
      <c r="W4" s="22"/>
      <c r="X4" s="22"/>
      <c r="Y4" s="23"/>
    </row>
    <row r="5" customFormat="false" ht="30" hidden="false" customHeight="true" outlineLevel="0" collapsed="false">
      <c r="A5" s="6" t="n">
        <v>4</v>
      </c>
      <c r="B5" s="6" t="s">
        <v>74</v>
      </c>
      <c r="C5" s="6" t="s">
        <v>96</v>
      </c>
      <c r="D5" s="6" t="s">
        <v>97</v>
      </c>
      <c r="E5" s="6" t="s">
        <v>98</v>
      </c>
      <c r="F5" s="13" t="s">
        <v>99</v>
      </c>
      <c r="G5" s="6" t="s">
        <v>28</v>
      </c>
      <c r="H5" s="6" t="s">
        <v>28</v>
      </c>
      <c r="I5" s="14" t="n">
        <v>65000</v>
      </c>
      <c r="J5" s="15" t="n">
        <v>75000</v>
      </c>
      <c r="K5" s="15" t="n">
        <v>60000</v>
      </c>
      <c r="L5" s="6" t="s">
        <v>79</v>
      </c>
      <c r="M5" s="16" t="n">
        <v>9000000</v>
      </c>
      <c r="N5" s="17" t="n">
        <v>1</v>
      </c>
      <c r="O5" s="17" t="n">
        <v>7</v>
      </c>
      <c r="P5" s="18" t="n">
        <v>0.12</v>
      </c>
      <c r="Q5" s="19" t="n">
        <v>0.4</v>
      </c>
      <c r="R5" s="13" t="s">
        <v>100</v>
      </c>
      <c r="S5" s="20" t="s">
        <v>81</v>
      </c>
      <c r="T5" s="6" t="s">
        <v>82</v>
      </c>
      <c r="U5" s="13" t="s">
        <v>101</v>
      </c>
      <c r="V5" s="21"/>
      <c r="W5" s="22"/>
      <c r="X5" s="22"/>
      <c r="Y5" s="23"/>
    </row>
    <row r="6" customFormat="false" ht="30" hidden="false" customHeight="true" outlineLevel="0" collapsed="false">
      <c r="A6" s="6" t="n">
        <v>5</v>
      </c>
      <c r="B6" s="6" t="s">
        <v>74</v>
      </c>
      <c r="C6" s="6" t="s">
        <v>102</v>
      </c>
      <c r="D6" s="6" t="s">
        <v>103</v>
      </c>
      <c r="E6" s="6" t="s">
        <v>104</v>
      </c>
      <c r="F6" s="13" t="s">
        <v>105</v>
      </c>
      <c r="G6" s="6" t="s">
        <v>28</v>
      </c>
      <c r="H6" s="6" t="s">
        <v>28</v>
      </c>
      <c r="I6" s="14" t="n">
        <v>65000</v>
      </c>
      <c r="J6" s="15" t="n">
        <v>78000</v>
      </c>
      <c r="K6" s="15" t="n">
        <v>60000</v>
      </c>
      <c r="L6" s="6" t="s">
        <v>79</v>
      </c>
      <c r="M6" s="16" t="n">
        <v>9000000</v>
      </c>
      <c r="N6" s="17" t="n">
        <v>1</v>
      </c>
      <c r="O6" s="17" t="n">
        <v>10</v>
      </c>
      <c r="P6" s="18" t="n">
        <v>0.04</v>
      </c>
      <c r="Q6" s="19" t="n">
        <v>0.2</v>
      </c>
      <c r="R6" s="13" t="s">
        <v>106</v>
      </c>
      <c r="S6" s="20" t="s">
        <v>81</v>
      </c>
      <c r="T6" s="6" t="s">
        <v>82</v>
      </c>
      <c r="U6" s="13" t="s">
        <v>107</v>
      </c>
      <c r="V6" s="21"/>
      <c r="W6" s="22"/>
      <c r="X6" s="22"/>
      <c r="Y6" s="23"/>
    </row>
    <row r="7" customFormat="false" ht="30" hidden="false" customHeight="true" outlineLevel="0" collapsed="false">
      <c r="A7" s="6" t="n">
        <v>6</v>
      </c>
      <c r="B7" s="6" t="s">
        <v>74</v>
      </c>
      <c r="C7" s="6" t="s">
        <v>108</v>
      </c>
      <c r="D7" s="6" t="s">
        <v>109</v>
      </c>
      <c r="E7" s="6" t="s">
        <v>110</v>
      </c>
      <c r="F7" s="13" t="s">
        <v>111</v>
      </c>
      <c r="G7" s="6" t="s">
        <v>28</v>
      </c>
      <c r="H7" s="6" t="s">
        <v>28</v>
      </c>
      <c r="I7" s="14" t="n">
        <v>35000</v>
      </c>
      <c r="J7" s="15" t="n">
        <v>42000</v>
      </c>
      <c r="K7" s="15" t="n">
        <v>33000</v>
      </c>
      <c r="L7" s="6" t="s">
        <v>79</v>
      </c>
      <c r="M7" s="16" t="n">
        <v>4800000</v>
      </c>
      <c r="N7" s="17" t="n">
        <v>2</v>
      </c>
      <c r="O7" s="17" t="n">
        <v>8</v>
      </c>
      <c r="P7" s="18" t="n">
        <v>0.07</v>
      </c>
      <c r="Q7" s="19" t="n">
        <v>0.6</v>
      </c>
      <c r="R7" s="13" t="s">
        <v>112</v>
      </c>
      <c r="S7" s="20" t="s">
        <v>81</v>
      </c>
      <c r="T7" s="6" t="s">
        <v>82</v>
      </c>
      <c r="U7" s="13" t="s">
        <v>113</v>
      </c>
      <c r="V7" s="21"/>
      <c r="W7" s="22"/>
      <c r="X7" s="22"/>
      <c r="Y7" s="23"/>
    </row>
    <row r="8" customFormat="false" ht="30" hidden="false" customHeight="true" outlineLevel="0" collapsed="false">
      <c r="A8" s="6" t="n">
        <v>7</v>
      </c>
      <c r="B8" s="6" t="s">
        <v>74</v>
      </c>
      <c r="C8" s="6" t="s">
        <v>114</v>
      </c>
      <c r="D8" s="6" t="s">
        <v>115</v>
      </c>
      <c r="E8" s="6" t="s">
        <v>116</v>
      </c>
      <c r="F8" s="13" t="s">
        <v>117</v>
      </c>
      <c r="G8" s="6" t="s">
        <v>30</v>
      </c>
      <c r="H8" s="6" t="s">
        <v>30</v>
      </c>
      <c r="I8" s="14" t="n">
        <v>90000</v>
      </c>
      <c r="J8" s="15" t="n">
        <v>105000</v>
      </c>
      <c r="K8" s="15" t="n">
        <v>85000</v>
      </c>
      <c r="L8" s="6" t="s">
        <v>79</v>
      </c>
      <c r="M8" s="16" t="n">
        <v>12500000</v>
      </c>
      <c r="N8" s="17" t="n">
        <v>1</v>
      </c>
      <c r="O8" s="17" t="n">
        <v>8</v>
      </c>
      <c r="P8" s="18" t="n">
        <v>0.1</v>
      </c>
      <c r="Q8" s="19" t="n">
        <v>0.5</v>
      </c>
      <c r="R8" s="13" t="s">
        <v>118</v>
      </c>
      <c r="S8" s="20" t="s">
        <v>81</v>
      </c>
      <c r="T8" s="6" t="s">
        <v>82</v>
      </c>
      <c r="U8" s="13" t="s">
        <v>119</v>
      </c>
      <c r="V8" s="21"/>
      <c r="W8" s="22"/>
      <c r="X8" s="22"/>
      <c r="Y8" s="23"/>
    </row>
    <row r="9" customFormat="false" ht="30" hidden="false" customHeight="true" outlineLevel="0" collapsed="false">
      <c r="A9" s="6" t="n">
        <v>8</v>
      </c>
      <c r="B9" s="6" t="s">
        <v>120</v>
      </c>
      <c r="C9" s="6" t="s">
        <v>121</v>
      </c>
      <c r="D9" s="6" t="s">
        <v>122</v>
      </c>
      <c r="E9" s="6" t="s">
        <v>123</v>
      </c>
      <c r="F9" s="13" t="s">
        <v>124</v>
      </c>
      <c r="G9" s="6" t="s">
        <v>26</v>
      </c>
      <c r="H9" s="6" t="s">
        <v>30</v>
      </c>
      <c r="I9" s="14" t="n">
        <v>50000</v>
      </c>
      <c r="J9" s="15" t="n">
        <v>58000</v>
      </c>
      <c r="K9" s="15" t="n">
        <v>48000</v>
      </c>
      <c r="L9" s="6" t="s">
        <v>79</v>
      </c>
      <c r="M9" s="16" t="n">
        <v>6600000</v>
      </c>
      <c r="N9" s="17" t="n">
        <v>1</v>
      </c>
      <c r="O9" s="17" t="n">
        <v>12</v>
      </c>
      <c r="P9" s="18" t="n">
        <v>0.05</v>
      </c>
      <c r="Q9" s="19" t="n">
        <v>0.2</v>
      </c>
      <c r="R9" s="13" t="s">
        <v>125</v>
      </c>
      <c r="S9" s="20" t="s">
        <v>81</v>
      </c>
      <c r="T9" s="6" t="s">
        <v>82</v>
      </c>
      <c r="U9" s="13" t="s">
        <v>126</v>
      </c>
      <c r="V9" s="21"/>
      <c r="W9" s="22"/>
      <c r="X9" s="22"/>
      <c r="Y9" s="23"/>
    </row>
    <row r="10" customFormat="false" ht="30" hidden="false" customHeight="true" outlineLevel="0" collapsed="false">
      <c r="A10" s="6" t="n">
        <v>9</v>
      </c>
      <c r="B10" s="6" t="s">
        <v>120</v>
      </c>
      <c r="C10" s="6" t="s">
        <v>127</v>
      </c>
      <c r="D10" s="6" t="s">
        <v>128</v>
      </c>
      <c r="E10" s="6" t="s">
        <v>129</v>
      </c>
      <c r="F10" s="13" t="s">
        <v>130</v>
      </c>
      <c r="G10" s="6" t="s">
        <v>26</v>
      </c>
      <c r="H10" s="6" t="s">
        <v>30</v>
      </c>
      <c r="I10" s="14" t="n">
        <v>28000</v>
      </c>
      <c r="J10" s="15" t="n">
        <v>32600</v>
      </c>
      <c r="K10" s="15" t="n">
        <v>26000</v>
      </c>
      <c r="L10" s="6" t="s">
        <v>79</v>
      </c>
      <c r="M10" s="16" t="n">
        <v>3700000</v>
      </c>
      <c r="N10" s="17" t="n">
        <v>2</v>
      </c>
      <c r="O10" s="17" t="n">
        <v>8</v>
      </c>
      <c r="P10" s="18" t="n">
        <v>0.05</v>
      </c>
      <c r="Q10" s="19" t="n">
        <v>0.3</v>
      </c>
      <c r="R10" s="13" t="s">
        <v>131</v>
      </c>
      <c r="S10" s="24" t="s">
        <v>132</v>
      </c>
      <c r="T10" s="6" t="s">
        <v>82</v>
      </c>
      <c r="U10" s="13" t="s">
        <v>133</v>
      </c>
      <c r="V10" s="21"/>
      <c r="W10" s="22"/>
      <c r="X10" s="22"/>
      <c r="Y10" s="23"/>
    </row>
    <row r="11" customFormat="false" ht="30" hidden="false" customHeight="true" outlineLevel="0" collapsed="false">
      <c r="A11" s="6" t="n">
        <v>10</v>
      </c>
      <c r="B11" s="6" t="s">
        <v>120</v>
      </c>
      <c r="C11" s="6" t="s">
        <v>134</v>
      </c>
      <c r="D11" s="6" t="s">
        <v>135</v>
      </c>
      <c r="E11" s="6" t="s">
        <v>136</v>
      </c>
      <c r="F11" s="13" t="s">
        <v>137</v>
      </c>
      <c r="G11" s="6" t="s">
        <v>28</v>
      </c>
      <c r="H11" s="6" t="s">
        <v>30</v>
      </c>
      <c r="I11" s="14" t="n">
        <v>45000</v>
      </c>
      <c r="J11" s="15" t="n">
        <v>52000</v>
      </c>
      <c r="K11" s="15" t="n">
        <v>42000</v>
      </c>
      <c r="L11" s="6" t="s">
        <v>79</v>
      </c>
      <c r="M11" s="16" t="n">
        <v>6000000</v>
      </c>
      <c r="N11" s="17" t="n">
        <v>1</v>
      </c>
      <c r="O11" s="17" t="n">
        <v>10</v>
      </c>
      <c r="P11" s="18" t="n">
        <v>0.08</v>
      </c>
      <c r="Q11" s="19" t="n">
        <v>0.4</v>
      </c>
      <c r="R11" s="13" t="s">
        <v>138</v>
      </c>
      <c r="S11" s="20" t="s">
        <v>81</v>
      </c>
      <c r="T11" s="6" t="s">
        <v>82</v>
      </c>
      <c r="U11" s="13" t="s">
        <v>139</v>
      </c>
      <c r="V11" s="21"/>
      <c r="W11" s="22"/>
      <c r="X11" s="22"/>
      <c r="Y11" s="23"/>
    </row>
    <row r="12" customFormat="false" ht="30" hidden="false" customHeight="true" outlineLevel="0" collapsed="false">
      <c r="A12" s="6" t="n">
        <v>11</v>
      </c>
      <c r="B12" s="6" t="s">
        <v>120</v>
      </c>
      <c r="C12" s="6" t="s">
        <v>140</v>
      </c>
      <c r="D12" s="6" t="s">
        <v>141</v>
      </c>
      <c r="E12" s="6" t="s">
        <v>142</v>
      </c>
      <c r="F12" s="13" t="s">
        <v>143</v>
      </c>
      <c r="G12" s="6" t="s">
        <v>28</v>
      </c>
      <c r="H12" s="6" t="s">
        <v>30</v>
      </c>
      <c r="I12" s="14" t="n">
        <v>95000</v>
      </c>
      <c r="J12" s="15" t="n">
        <v>115000</v>
      </c>
      <c r="K12" s="15" t="n">
        <v>90000</v>
      </c>
      <c r="L12" s="6" t="s">
        <v>79</v>
      </c>
      <c r="M12" s="16" t="n">
        <v>13100000</v>
      </c>
      <c r="N12" s="17" t="n">
        <v>1</v>
      </c>
      <c r="O12" s="17" t="n">
        <v>12</v>
      </c>
      <c r="P12" s="18" t="n">
        <v>0.07</v>
      </c>
      <c r="Q12" s="19" t="n">
        <v>0.4</v>
      </c>
      <c r="R12" s="13" t="s">
        <v>144</v>
      </c>
      <c r="S12" s="20" t="s">
        <v>81</v>
      </c>
      <c r="T12" s="6" t="s">
        <v>82</v>
      </c>
      <c r="U12" s="13" t="s">
        <v>145</v>
      </c>
      <c r="V12" s="21"/>
      <c r="W12" s="22"/>
      <c r="X12" s="22"/>
      <c r="Y12" s="23"/>
    </row>
    <row r="13" customFormat="false" ht="30" hidden="false" customHeight="true" outlineLevel="0" collapsed="false">
      <c r="A13" s="6" t="n">
        <v>12</v>
      </c>
      <c r="B13" s="6" t="s">
        <v>120</v>
      </c>
      <c r="C13" s="6" t="s">
        <v>146</v>
      </c>
      <c r="D13" s="6" t="s">
        <v>147</v>
      </c>
      <c r="E13" s="6" t="s">
        <v>148</v>
      </c>
      <c r="F13" s="13" t="s">
        <v>149</v>
      </c>
      <c r="G13" s="6" t="s">
        <v>28</v>
      </c>
      <c r="H13" s="6" t="s">
        <v>30</v>
      </c>
      <c r="I13" s="14" t="n">
        <v>45000</v>
      </c>
      <c r="J13" s="15" t="n">
        <v>52000</v>
      </c>
      <c r="K13" s="15" t="n">
        <v>42000</v>
      </c>
      <c r="L13" s="6" t="s">
        <v>79</v>
      </c>
      <c r="M13" s="16" t="n">
        <v>6000000</v>
      </c>
      <c r="N13" s="17" t="n">
        <v>1</v>
      </c>
      <c r="O13" s="17" t="n">
        <v>15</v>
      </c>
      <c r="P13" s="18" t="n">
        <v>0.04</v>
      </c>
      <c r="Q13" s="19" t="n">
        <v>0.2</v>
      </c>
      <c r="R13" s="13" t="s">
        <v>150</v>
      </c>
      <c r="S13" s="20" t="s">
        <v>81</v>
      </c>
      <c r="T13" s="6" t="s">
        <v>82</v>
      </c>
      <c r="U13" s="13" t="s">
        <v>151</v>
      </c>
      <c r="V13" s="21"/>
      <c r="W13" s="22"/>
      <c r="X13" s="22"/>
      <c r="Y13" s="23"/>
    </row>
    <row r="14" customFormat="false" ht="30" hidden="false" customHeight="true" outlineLevel="0" collapsed="false">
      <c r="A14" s="6" t="n">
        <v>13</v>
      </c>
      <c r="B14" s="6" t="s">
        <v>120</v>
      </c>
      <c r="C14" s="6" t="s">
        <v>152</v>
      </c>
      <c r="D14" s="6" t="s">
        <v>153</v>
      </c>
      <c r="E14" s="6" t="s">
        <v>154</v>
      </c>
      <c r="F14" s="13" t="s">
        <v>155</v>
      </c>
      <c r="G14" s="6" t="s">
        <v>28</v>
      </c>
      <c r="H14" s="6" t="s">
        <v>30</v>
      </c>
      <c r="I14" s="14" t="n">
        <v>130000</v>
      </c>
      <c r="J14" s="15" t="n">
        <v>150000</v>
      </c>
      <c r="K14" s="15" t="n">
        <v>125000</v>
      </c>
      <c r="L14" s="6" t="s">
        <v>79</v>
      </c>
      <c r="M14" s="16" t="n">
        <v>17500000</v>
      </c>
      <c r="N14" s="17" t="n">
        <v>1</v>
      </c>
      <c r="O14" s="17" t="n">
        <v>10</v>
      </c>
      <c r="P14" s="18" t="n">
        <v>0.07</v>
      </c>
      <c r="Q14" s="19" t="n">
        <v>0.5</v>
      </c>
      <c r="R14" s="13" t="s">
        <v>156</v>
      </c>
      <c r="S14" s="20" t="s">
        <v>81</v>
      </c>
      <c r="T14" s="6" t="s">
        <v>82</v>
      </c>
      <c r="U14" s="13" t="s">
        <v>157</v>
      </c>
      <c r="V14" s="21"/>
      <c r="W14" s="22"/>
      <c r="X14" s="22"/>
      <c r="Y14" s="23"/>
    </row>
    <row r="15" customFormat="false" ht="30" hidden="false" customHeight="true" outlineLevel="0" collapsed="false">
      <c r="A15" s="6" t="n">
        <v>14</v>
      </c>
      <c r="B15" s="6" t="s">
        <v>120</v>
      </c>
      <c r="C15" s="6" t="s">
        <v>158</v>
      </c>
      <c r="D15" s="6" t="s">
        <v>159</v>
      </c>
      <c r="E15" s="6" t="s">
        <v>160</v>
      </c>
      <c r="F15" s="13" t="s">
        <v>161</v>
      </c>
      <c r="G15" s="6" t="s">
        <v>28</v>
      </c>
      <c r="H15" s="6" t="s">
        <v>30</v>
      </c>
      <c r="I15" s="14" t="n">
        <v>70000</v>
      </c>
      <c r="J15" s="15" t="n">
        <v>80000</v>
      </c>
      <c r="K15" s="15" t="n">
        <v>65000</v>
      </c>
      <c r="L15" s="6" t="s">
        <v>79</v>
      </c>
      <c r="M15" s="16" t="n">
        <v>9300000</v>
      </c>
      <c r="N15" s="17" t="n">
        <v>1</v>
      </c>
      <c r="O15" s="17" t="n">
        <v>12</v>
      </c>
      <c r="P15" s="18" t="n">
        <v>0.06</v>
      </c>
      <c r="Q15" s="19" t="n">
        <v>0.4</v>
      </c>
      <c r="R15" s="13" t="s">
        <v>162</v>
      </c>
      <c r="S15" s="20" t="s">
        <v>81</v>
      </c>
      <c r="T15" s="6" t="s">
        <v>82</v>
      </c>
      <c r="U15" s="13" t="s">
        <v>163</v>
      </c>
      <c r="V15" s="21"/>
      <c r="W15" s="22"/>
      <c r="X15" s="22"/>
      <c r="Y15" s="23"/>
    </row>
    <row r="16" customFormat="false" ht="30" hidden="false" customHeight="true" outlineLevel="0" collapsed="false">
      <c r="A16" s="6" t="n">
        <v>15</v>
      </c>
      <c r="B16" s="6" t="s">
        <v>164</v>
      </c>
      <c r="C16" s="6" t="s">
        <v>165</v>
      </c>
      <c r="D16" s="6" t="s">
        <v>166</v>
      </c>
      <c r="E16" s="6" t="s">
        <v>167</v>
      </c>
      <c r="F16" s="13" t="s">
        <v>168</v>
      </c>
      <c r="G16" s="6" t="s">
        <v>28</v>
      </c>
      <c r="H16" s="6" t="s">
        <v>30</v>
      </c>
      <c r="I16" s="14" t="n">
        <v>3500</v>
      </c>
      <c r="J16" s="15" t="n">
        <v>4000</v>
      </c>
      <c r="K16" s="15" t="n">
        <v>2500</v>
      </c>
      <c r="L16" s="6" t="s">
        <v>169</v>
      </c>
      <c r="M16" s="16" t="n">
        <v>480000</v>
      </c>
      <c r="N16" s="17" t="n">
        <v>4</v>
      </c>
      <c r="O16" s="17" t="n">
        <v>6</v>
      </c>
      <c r="P16" s="18" t="n">
        <v>0.05</v>
      </c>
      <c r="Q16" s="19" t="n">
        <v>0</v>
      </c>
      <c r="R16" s="13" t="s">
        <v>170</v>
      </c>
      <c r="S16" s="24" t="s">
        <v>132</v>
      </c>
      <c r="T16" s="6" t="s">
        <v>82</v>
      </c>
      <c r="U16" s="13" t="s">
        <v>171</v>
      </c>
      <c r="V16" s="21"/>
      <c r="W16" s="22"/>
      <c r="X16" s="22"/>
      <c r="Y16" s="23"/>
    </row>
    <row r="17" customFormat="false" ht="30" hidden="false" customHeight="true" outlineLevel="0" collapsed="false">
      <c r="A17" s="6" t="n">
        <v>16</v>
      </c>
      <c r="B17" s="6" t="s">
        <v>164</v>
      </c>
      <c r="C17" s="6" t="s">
        <v>172</v>
      </c>
      <c r="D17" s="6" t="s">
        <v>173</v>
      </c>
      <c r="E17" s="6" t="s">
        <v>174</v>
      </c>
      <c r="F17" s="13" t="s">
        <v>175</v>
      </c>
      <c r="G17" s="6" t="s">
        <v>30</v>
      </c>
      <c r="H17" s="6" t="s">
        <v>30</v>
      </c>
      <c r="I17" s="14" t="n">
        <v>55000</v>
      </c>
      <c r="J17" s="15" t="n">
        <v>65000</v>
      </c>
      <c r="K17" s="15" t="n">
        <v>45000</v>
      </c>
      <c r="L17" s="6" t="s">
        <v>169</v>
      </c>
      <c r="M17" s="16" t="n">
        <v>7600000</v>
      </c>
      <c r="N17" s="17" t="n">
        <v>1</v>
      </c>
      <c r="O17" s="17" t="n">
        <v>10</v>
      </c>
      <c r="P17" s="18" t="n">
        <v>0.07</v>
      </c>
      <c r="Q17" s="19" t="n">
        <v>0.3</v>
      </c>
      <c r="R17" s="13" t="s">
        <v>176</v>
      </c>
      <c r="S17" s="20" t="s">
        <v>81</v>
      </c>
      <c r="T17" s="6" t="s">
        <v>82</v>
      </c>
      <c r="U17" s="13" t="s">
        <v>177</v>
      </c>
      <c r="V17" s="21"/>
      <c r="W17" s="22"/>
      <c r="X17" s="22"/>
      <c r="Y17" s="23"/>
    </row>
    <row r="18" customFormat="false" ht="30" hidden="false" customHeight="true" outlineLevel="0" collapsed="false">
      <c r="A18" s="6" t="n">
        <v>17</v>
      </c>
      <c r="B18" s="6" t="s">
        <v>164</v>
      </c>
      <c r="C18" s="6" t="s">
        <v>178</v>
      </c>
      <c r="D18" s="6" t="s">
        <v>179</v>
      </c>
      <c r="E18" s="6" t="s">
        <v>180</v>
      </c>
      <c r="F18" s="13" t="s">
        <v>181</v>
      </c>
      <c r="G18" s="6" t="s">
        <v>30</v>
      </c>
      <c r="H18" s="6" t="s">
        <v>30</v>
      </c>
      <c r="I18" s="14" t="n">
        <v>65000</v>
      </c>
      <c r="J18" s="15" t="n">
        <v>75000</v>
      </c>
      <c r="K18" s="15" t="n">
        <v>55000</v>
      </c>
      <c r="L18" s="6" t="s">
        <v>169</v>
      </c>
      <c r="M18" s="16" t="n">
        <v>9000000</v>
      </c>
      <c r="N18" s="17" t="n">
        <v>1</v>
      </c>
      <c r="O18" s="17" t="n">
        <v>8</v>
      </c>
      <c r="P18" s="18" t="n">
        <v>0.1</v>
      </c>
      <c r="Q18" s="19" t="n">
        <v>0.5</v>
      </c>
      <c r="R18" s="13" t="s">
        <v>182</v>
      </c>
      <c r="S18" s="24" t="s">
        <v>132</v>
      </c>
      <c r="T18" s="6" t="s">
        <v>82</v>
      </c>
      <c r="U18" s="13" t="s">
        <v>183</v>
      </c>
      <c r="V18" s="21"/>
      <c r="W18" s="22"/>
      <c r="X18" s="22"/>
      <c r="Y18" s="23"/>
    </row>
    <row r="19" customFormat="false" ht="30" hidden="false" customHeight="true" outlineLevel="0" collapsed="false">
      <c r="A19" s="6" t="n">
        <v>18</v>
      </c>
      <c r="B19" s="6" t="s">
        <v>164</v>
      </c>
      <c r="C19" s="6" t="s">
        <v>184</v>
      </c>
      <c r="D19" s="6" t="s">
        <v>185</v>
      </c>
      <c r="E19" s="6" t="s">
        <v>186</v>
      </c>
      <c r="F19" s="13" t="s">
        <v>187</v>
      </c>
      <c r="G19" s="6" t="s">
        <v>28</v>
      </c>
      <c r="H19" s="6" t="s">
        <v>30</v>
      </c>
      <c r="I19" s="14" t="n">
        <v>4500</v>
      </c>
      <c r="J19" s="15" t="n">
        <v>5000</v>
      </c>
      <c r="K19" s="15" t="n">
        <v>3500</v>
      </c>
      <c r="L19" s="6" t="s">
        <v>169</v>
      </c>
      <c r="M19" s="16" t="n">
        <v>620000</v>
      </c>
      <c r="N19" s="17" t="n">
        <v>3</v>
      </c>
      <c r="O19" s="17" t="n">
        <v>8</v>
      </c>
      <c r="P19" s="18" t="n">
        <v>0.05</v>
      </c>
      <c r="Q19" s="19" t="n">
        <v>0</v>
      </c>
      <c r="R19" s="13" t="s">
        <v>188</v>
      </c>
      <c r="S19" s="24" t="s">
        <v>132</v>
      </c>
      <c r="T19" s="6" t="s">
        <v>82</v>
      </c>
      <c r="U19" s="13" t="s">
        <v>189</v>
      </c>
      <c r="V19" s="21"/>
      <c r="W19" s="22"/>
      <c r="X19" s="22"/>
      <c r="Y19" s="23"/>
    </row>
    <row r="20" customFormat="false" ht="30" hidden="false" customHeight="true" outlineLevel="0" collapsed="false">
      <c r="A20" s="6" t="n">
        <v>19</v>
      </c>
      <c r="B20" s="6" t="s">
        <v>164</v>
      </c>
      <c r="C20" s="6" t="s">
        <v>184</v>
      </c>
      <c r="D20" s="6" t="s">
        <v>190</v>
      </c>
      <c r="E20" s="6" t="s">
        <v>191</v>
      </c>
      <c r="F20" s="13" t="s">
        <v>192</v>
      </c>
      <c r="G20" s="6" t="s">
        <v>32</v>
      </c>
      <c r="H20" s="6" t="s">
        <v>32</v>
      </c>
      <c r="I20" s="14" t="n">
        <v>0</v>
      </c>
      <c r="J20" s="15" t="n">
        <v>0</v>
      </c>
      <c r="K20" s="15" t="n">
        <v>0</v>
      </c>
      <c r="L20" s="6" t="s">
        <v>193</v>
      </c>
      <c r="M20" s="16" t="n">
        <v>0</v>
      </c>
      <c r="N20" s="17" t="n">
        <v>0</v>
      </c>
      <c r="O20" s="17" t="n">
        <v>0</v>
      </c>
      <c r="P20" s="18" t="n">
        <v>0</v>
      </c>
      <c r="Q20" s="19" t="n">
        <v>0</v>
      </c>
      <c r="R20" s="13" t="s">
        <v>194</v>
      </c>
      <c r="S20" s="24" t="s">
        <v>132</v>
      </c>
      <c r="T20" s="6" t="s">
        <v>82</v>
      </c>
      <c r="U20" s="13" t="s">
        <v>195</v>
      </c>
      <c r="V20" s="21"/>
      <c r="W20" s="22"/>
      <c r="X20" s="22"/>
      <c r="Y20" s="23"/>
    </row>
    <row r="21" customFormat="false" ht="30" hidden="false" customHeight="true" outlineLevel="0" collapsed="false">
      <c r="A21" s="6" t="n">
        <v>20</v>
      </c>
      <c r="B21" s="6" t="s">
        <v>164</v>
      </c>
      <c r="C21" s="6" t="s">
        <v>196</v>
      </c>
      <c r="D21" s="6" t="s">
        <v>197</v>
      </c>
      <c r="E21" s="6" t="s">
        <v>198</v>
      </c>
      <c r="F21" s="13" t="s">
        <v>199</v>
      </c>
      <c r="G21" s="6" t="s">
        <v>28</v>
      </c>
      <c r="H21" s="6" t="s">
        <v>30</v>
      </c>
      <c r="I21" s="14" t="n">
        <v>12000</v>
      </c>
      <c r="J21" s="15" t="n">
        <v>14000</v>
      </c>
      <c r="K21" s="15" t="n">
        <v>9000</v>
      </c>
      <c r="L21" s="6" t="s">
        <v>169</v>
      </c>
      <c r="M21" s="16" t="n">
        <v>1650000</v>
      </c>
      <c r="N21" s="17" t="n">
        <v>3</v>
      </c>
      <c r="O21" s="17" t="n">
        <v>7</v>
      </c>
      <c r="P21" s="18" t="n">
        <v>0.07</v>
      </c>
      <c r="Q21" s="19" t="n">
        <v>0</v>
      </c>
      <c r="R21" s="13" t="s">
        <v>200</v>
      </c>
      <c r="S21" s="20" t="s">
        <v>81</v>
      </c>
      <c r="T21" s="6" t="s">
        <v>82</v>
      </c>
      <c r="U21" s="13" t="s">
        <v>201</v>
      </c>
      <c r="V21" s="21"/>
      <c r="W21" s="22"/>
      <c r="X21" s="22"/>
      <c r="Y21" s="23"/>
    </row>
    <row r="22" customFormat="false" ht="30" hidden="false" customHeight="true" outlineLevel="0" collapsed="false">
      <c r="A22" s="6" t="n">
        <v>21</v>
      </c>
      <c r="B22" s="6" t="s">
        <v>164</v>
      </c>
      <c r="C22" s="6" t="s">
        <v>202</v>
      </c>
      <c r="D22" s="6" t="s">
        <v>203</v>
      </c>
      <c r="E22" s="6" t="s">
        <v>204</v>
      </c>
      <c r="F22" s="13" t="s">
        <v>205</v>
      </c>
      <c r="G22" s="6" t="s">
        <v>30</v>
      </c>
      <c r="H22" s="6" t="s">
        <v>30</v>
      </c>
      <c r="I22" s="14" t="n">
        <v>25000</v>
      </c>
      <c r="J22" s="15" t="n">
        <v>28000</v>
      </c>
      <c r="K22" s="15" t="n">
        <v>18000</v>
      </c>
      <c r="L22" s="6" t="s">
        <v>169</v>
      </c>
      <c r="M22" s="16" t="n">
        <v>3450000</v>
      </c>
      <c r="N22" s="17" t="n">
        <v>2</v>
      </c>
      <c r="O22" s="17" t="n">
        <v>8</v>
      </c>
      <c r="P22" s="18" t="n">
        <v>0.05</v>
      </c>
      <c r="Q22" s="19" t="n">
        <v>0</v>
      </c>
      <c r="R22" s="13" t="s">
        <v>206</v>
      </c>
      <c r="S22" s="24" t="s">
        <v>132</v>
      </c>
      <c r="T22" s="6" t="s">
        <v>82</v>
      </c>
      <c r="U22" s="13" t="s">
        <v>207</v>
      </c>
      <c r="V22" s="21"/>
      <c r="W22" s="22"/>
      <c r="X22" s="22"/>
      <c r="Y22" s="23"/>
    </row>
    <row r="23" customFormat="false" ht="30" hidden="false" customHeight="true" outlineLevel="0" collapsed="false">
      <c r="A23" s="6" t="n">
        <v>22</v>
      </c>
      <c r="B23" s="6" t="s">
        <v>164</v>
      </c>
      <c r="C23" s="6" t="s">
        <v>208</v>
      </c>
      <c r="D23" s="6" t="s">
        <v>209</v>
      </c>
      <c r="E23" s="6" t="s">
        <v>210</v>
      </c>
      <c r="F23" s="13" t="s">
        <v>211</v>
      </c>
      <c r="G23" s="6" t="s">
        <v>28</v>
      </c>
      <c r="H23" s="6" t="s">
        <v>30</v>
      </c>
      <c r="I23" s="14" t="n">
        <v>9000</v>
      </c>
      <c r="J23" s="15" t="n">
        <v>10000</v>
      </c>
      <c r="K23" s="15" t="n">
        <v>7000</v>
      </c>
      <c r="L23" s="6" t="s">
        <v>169</v>
      </c>
      <c r="M23" s="16" t="n">
        <v>1240000</v>
      </c>
      <c r="N23" s="17" t="n">
        <v>1</v>
      </c>
      <c r="O23" s="17" t="n">
        <v>7</v>
      </c>
      <c r="P23" s="18" t="n">
        <v>0.06</v>
      </c>
      <c r="Q23" s="19" t="n">
        <v>0</v>
      </c>
      <c r="R23" s="13" t="s">
        <v>212</v>
      </c>
      <c r="S23" s="20" t="s">
        <v>81</v>
      </c>
      <c r="T23" s="6" t="s">
        <v>82</v>
      </c>
      <c r="U23" s="13" t="s">
        <v>213</v>
      </c>
      <c r="V23" s="21"/>
      <c r="W23" s="22"/>
      <c r="X23" s="22"/>
      <c r="Y23" s="23"/>
    </row>
    <row r="24" customFormat="false" ht="30" hidden="false" customHeight="true" outlineLevel="0" collapsed="false">
      <c r="A24" s="6" t="n">
        <v>23</v>
      </c>
      <c r="B24" s="6" t="s">
        <v>164</v>
      </c>
      <c r="C24" s="6" t="s">
        <v>214</v>
      </c>
      <c r="D24" s="6" t="s">
        <v>215</v>
      </c>
      <c r="E24" s="6" t="s">
        <v>216</v>
      </c>
      <c r="F24" s="13" t="s">
        <v>217</v>
      </c>
      <c r="G24" s="6" t="s">
        <v>28</v>
      </c>
      <c r="H24" s="6" t="s">
        <v>30</v>
      </c>
      <c r="I24" s="14" t="n">
        <v>28000</v>
      </c>
      <c r="J24" s="15" t="n">
        <v>32000</v>
      </c>
      <c r="K24" s="15" t="n">
        <v>22000</v>
      </c>
      <c r="L24" s="6" t="s">
        <v>169</v>
      </c>
      <c r="M24" s="16" t="n">
        <v>3850000</v>
      </c>
      <c r="N24" s="17" t="n">
        <v>1</v>
      </c>
      <c r="O24" s="17" t="n">
        <v>8</v>
      </c>
      <c r="P24" s="18" t="n">
        <v>0.07</v>
      </c>
      <c r="Q24" s="19" t="n">
        <v>0.5</v>
      </c>
      <c r="R24" s="13" t="s">
        <v>218</v>
      </c>
      <c r="S24" s="24" t="s">
        <v>132</v>
      </c>
      <c r="T24" s="6" t="s">
        <v>82</v>
      </c>
      <c r="U24" s="13" t="s">
        <v>219</v>
      </c>
      <c r="V24" s="21"/>
      <c r="W24" s="22"/>
      <c r="X24" s="22"/>
      <c r="Y24" s="23"/>
    </row>
    <row r="25" customFormat="false" ht="30" hidden="false" customHeight="true" outlineLevel="0" collapsed="false">
      <c r="A25" s="6" t="n">
        <v>24</v>
      </c>
      <c r="B25" s="6" t="s">
        <v>164</v>
      </c>
      <c r="C25" s="6" t="s">
        <v>214</v>
      </c>
      <c r="D25" s="6" t="s">
        <v>220</v>
      </c>
      <c r="E25" s="6" t="s">
        <v>221</v>
      </c>
      <c r="F25" s="13" t="s">
        <v>222</v>
      </c>
      <c r="G25" s="6" t="s">
        <v>28</v>
      </c>
      <c r="H25" s="6" t="s">
        <v>30</v>
      </c>
      <c r="I25" s="14" t="n">
        <v>22000</v>
      </c>
      <c r="J25" s="15" t="n">
        <v>25000</v>
      </c>
      <c r="K25" s="15" t="n">
        <v>17000</v>
      </c>
      <c r="L25" s="6" t="s">
        <v>169</v>
      </c>
      <c r="M25" s="16" t="n">
        <v>3000000</v>
      </c>
      <c r="N25" s="17" t="n">
        <v>1</v>
      </c>
      <c r="O25" s="17" t="n">
        <v>10</v>
      </c>
      <c r="P25" s="18" t="n">
        <v>0.05</v>
      </c>
      <c r="Q25" s="19" t="n">
        <v>0</v>
      </c>
      <c r="R25" s="13" t="s">
        <v>223</v>
      </c>
      <c r="S25" s="20" t="s">
        <v>81</v>
      </c>
      <c r="T25" s="6" t="s">
        <v>82</v>
      </c>
      <c r="U25" s="13" t="s">
        <v>224</v>
      </c>
      <c r="V25" s="21"/>
      <c r="W25" s="22"/>
      <c r="X25" s="22"/>
      <c r="Y25" s="23"/>
    </row>
    <row r="26" customFormat="false" ht="30" hidden="false" customHeight="true" outlineLevel="0" collapsed="false">
      <c r="A26" s="6" t="n">
        <v>25</v>
      </c>
      <c r="B26" s="6" t="s">
        <v>164</v>
      </c>
      <c r="C26" s="6" t="s">
        <v>225</v>
      </c>
      <c r="D26" s="6" t="s">
        <v>226</v>
      </c>
      <c r="E26" s="6" t="s">
        <v>227</v>
      </c>
      <c r="F26" s="13" t="s">
        <v>228</v>
      </c>
      <c r="G26" s="6" t="s">
        <v>30</v>
      </c>
      <c r="H26" s="6" t="s">
        <v>30</v>
      </c>
      <c r="I26" s="14" t="n">
        <v>18000</v>
      </c>
      <c r="J26" s="15" t="n">
        <v>21000</v>
      </c>
      <c r="K26" s="15" t="n">
        <v>14000</v>
      </c>
      <c r="L26" s="6" t="s">
        <v>169</v>
      </c>
      <c r="M26" s="16" t="n">
        <v>2500000</v>
      </c>
      <c r="N26" s="17" t="n">
        <v>1</v>
      </c>
      <c r="O26" s="17" t="n">
        <v>7</v>
      </c>
      <c r="P26" s="18" t="n">
        <v>0.06</v>
      </c>
      <c r="Q26" s="19" t="n">
        <v>0</v>
      </c>
      <c r="R26" s="13" t="s">
        <v>229</v>
      </c>
      <c r="S26" s="20" t="s">
        <v>81</v>
      </c>
      <c r="T26" s="6" t="s">
        <v>82</v>
      </c>
      <c r="U26" s="13" t="s">
        <v>230</v>
      </c>
      <c r="V26" s="21"/>
      <c r="W26" s="22"/>
      <c r="X26" s="22"/>
      <c r="Y26" s="23"/>
    </row>
    <row r="27" customFormat="false" ht="30" hidden="false" customHeight="true" outlineLevel="0" collapsed="false">
      <c r="A27" s="6" t="n">
        <v>26</v>
      </c>
      <c r="B27" s="6" t="s">
        <v>164</v>
      </c>
      <c r="C27" s="6" t="s">
        <v>231</v>
      </c>
      <c r="D27" s="6" t="s">
        <v>232</v>
      </c>
      <c r="E27" s="6" t="s">
        <v>233</v>
      </c>
      <c r="F27" s="13" t="s">
        <v>234</v>
      </c>
      <c r="G27" s="6" t="s">
        <v>28</v>
      </c>
      <c r="H27" s="6" t="s">
        <v>30</v>
      </c>
      <c r="I27" s="14" t="n">
        <v>6500</v>
      </c>
      <c r="J27" s="15" t="n">
        <v>7500</v>
      </c>
      <c r="K27" s="15" t="n">
        <v>4500</v>
      </c>
      <c r="L27" s="6" t="s">
        <v>169</v>
      </c>
      <c r="M27" s="16" t="n">
        <v>900000</v>
      </c>
      <c r="N27" s="17" t="n">
        <v>6</v>
      </c>
      <c r="O27" s="17" t="n">
        <v>8</v>
      </c>
      <c r="P27" s="18" t="n">
        <v>0.06</v>
      </c>
      <c r="Q27" s="19" t="n">
        <v>0</v>
      </c>
      <c r="R27" s="13" t="s">
        <v>235</v>
      </c>
      <c r="S27" s="24" t="s">
        <v>132</v>
      </c>
      <c r="T27" s="6" t="s">
        <v>82</v>
      </c>
      <c r="U27" s="13" t="s">
        <v>236</v>
      </c>
      <c r="V27" s="21"/>
      <c r="W27" s="22"/>
      <c r="X27" s="22"/>
      <c r="Y27" s="23"/>
    </row>
    <row r="28" customFormat="false" ht="30" hidden="false" customHeight="true" outlineLevel="0" collapsed="false">
      <c r="A28" s="6" t="n">
        <v>27</v>
      </c>
      <c r="B28" s="6" t="s">
        <v>237</v>
      </c>
      <c r="C28" s="6" t="s">
        <v>238</v>
      </c>
      <c r="D28" s="6" t="s">
        <v>239</v>
      </c>
      <c r="E28" s="6" t="s">
        <v>240</v>
      </c>
      <c r="F28" s="13" t="s">
        <v>241</v>
      </c>
      <c r="G28" s="6" t="s">
        <v>26</v>
      </c>
      <c r="H28" s="6" t="s">
        <v>28</v>
      </c>
      <c r="I28" s="14" t="n">
        <v>55000</v>
      </c>
      <c r="J28" s="15" t="n">
        <v>66000</v>
      </c>
      <c r="K28" s="15" t="n">
        <v>52000</v>
      </c>
      <c r="L28" s="6" t="s">
        <v>79</v>
      </c>
      <c r="M28" s="16" t="n">
        <v>7600000</v>
      </c>
      <c r="N28" s="17" t="n">
        <v>2</v>
      </c>
      <c r="O28" s="17" t="n">
        <v>20</v>
      </c>
      <c r="P28" s="18" t="n">
        <v>0.03</v>
      </c>
      <c r="Q28" s="19" t="n">
        <v>0.1</v>
      </c>
      <c r="R28" s="13" t="s">
        <v>242</v>
      </c>
      <c r="S28" s="24" t="s">
        <v>132</v>
      </c>
      <c r="T28" s="6" t="s">
        <v>82</v>
      </c>
      <c r="U28" s="13" t="s">
        <v>243</v>
      </c>
      <c r="V28" s="21"/>
      <c r="W28" s="22"/>
      <c r="X28" s="22"/>
      <c r="Y28" s="23"/>
    </row>
    <row r="29" customFormat="false" ht="30" hidden="false" customHeight="true" outlineLevel="0" collapsed="false">
      <c r="A29" s="6" t="n">
        <v>28</v>
      </c>
      <c r="B29" s="6" t="s">
        <v>237</v>
      </c>
      <c r="C29" s="6" t="s">
        <v>244</v>
      </c>
      <c r="D29" s="6" t="s">
        <v>245</v>
      </c>
      <c r="E29" s="6" t="s">
        <v>246</v>
      </c>
      <c r="F29" s="13" t="s">
        <v>247</v>
      </c>
      <c r="G29" s="6" t="s">
        <v>26</v>
      </c>
      <c r="H29" s="6" t="s">
        <v>30</v>
      </c>
      <c r="I29" s="14" t="n">
        <v>60000</v>
      </c>
      <c r="J29" s="15" t="n">
        <v>72000</v>
      </c>
      <c r="K29" s="15" t="n">
        <v>56000</v>
      </c>
      <c r="L29" s="6" t="s">
        <v>79</v>
      </c>
      <c r="M29" s="16" t="n">
        <v>8200000</v>
      </c>
      <c r="N29" s="17" t="n">
        <v>2</v>
      </c>
      <c r="O29" s="17" t="n">
        <v>12</v>
      </c>
      <c r="P29" s="18" t="n">
        <v>0.05</v>
      </c>
      <c r="Q29" s="19" t="n">
        <v>0.5</v>
      </c>
      <c r="R29" s="13" t="s">
        <v>248</v>
      </c>
      <c r="S29" s="20" t="s">
        <v>81</v>
      </c>
      <c r="T29" s="6" t="s">
        <v>82</v>
      </c>
      <c r="U29" s="13" t="s">
        <v>249</v>
      </c>
      <c r="V29" s="21"/>
      <c r="W29" s="22"/>
      <c r="X29" s="22"/>
      <c r="Y29" s="23"/>
    </row>
    <row r="30" customFormat="false" ht="30" hidden="false" customHeight="true" outlineLevel="0" collapsed="false">
      <c r="A30" s="6" t="n">
        <v>29</v>
      </c>
      <c r="B30" s="6" t="s">
        <v>237</v>
      </c>
      <c r="C30" s="6" t="s">
        <v>250</v>
      </c>
      <c r="D30" s="6" t="s">
        <v>251</v>
      </c>
      <c r="E30" s="6" t="s">
        <v>252</v>
      </c>
      <c r="F30" s="13" t="s">
        <v>253</v>
      </c>
      <c r="G30" s="6" t="s">
        <v>26</v>
      </c>
      <c r="H30" s="6" t="s">
        <v>28</v>
      </c>
      <c r="I30" s="14" t="n">
        <v>30000</v>
      </c>
      <c r="J30" s="15" t="n">
        <v>36000</v>
      </c>
      <c r="K30" s="15" t="n">
        <v>28000</v>
      </c>
      <c r="L30" s="6" t="s">
        <v>79</v>
      </c>
      <c r="M30" s="16" t="n">
        <v>4100000</v>
      </c>
      <c r="N30" s="17" t="n">
        <v>2</v>
      </c>
      <c r="O30" s="17" t="n">
        <v>15</v>
      </c>
      <c r="P30" s="18" t="n">
        <v>0.06</v>
      </c>
      <c r="Q30" s="19" t="n">
        <v>0.1</v>
      </c>
      <c r="R30" s="13" t="s">
        <v>254</v>
      </c>
      <c r="S30" s="20" t="s">
        <v>81</v>
      </c>
      <c r="T30" s="6" t="s">
        <v>82</v>
      </c>
      <c r="U30" s="13" t="s">
        <v>255</v>
      </c>
      <c r="V30" s="21"/>
      <c r="W30" s="22"/>
      <c r="X30" s="22"/>
      <c r="Y30" s="23"/>
    </row>
    <row r="31" customFormat="false" ht="30" hidden="false" customHeight="true" outlineLevel="0" collapsed="false">
      <c r="A31" s="6" t="n">
        <v>30</v>
      </c>
      <c r="B31" s="6" t="s">
        <v>237</v>
      </c>
      <c r="C31" s="6" t="s">
        <v>256</v>
      </c>
      <c r="D31" s="6" t="s">
        <v>257</v>
      </c>
      <c r="E31" s="6" t="s">
        <v>258</v>
      </c>
      <c r="F31" s="13" t="s">
        <v>259</v>
      </c>
      <c r="G31" s="6" t="s">
        <v>26</v>
      </c>
      <c r="H31" s="6" t="s">
        <v>26</v>
      </c>
      <c r="I31" s="14" t="n">
        <v>14000</v>
      </c>
      <c r="J31" s="15" t="n">
        <v>16500</v>
      </c>
      <c r="K31" s="15" t="n">
        <v>13000</v>
      </c>
      <c r="L31" s="6" t="s">
        <v>79</v>
      </c>
      <c r="M31" s="16" t="n">
        <v>1900000</v>
      </c>
      <c r="N31" s="17" t="n">
        <v>2</v>
      </c>
      <c r="O31" s="17" t="n">
        <v>12</v>
      </c>
      <c r="P31" s="18" t="n">
        <v>0.03</v>
      </c>
      <c r="Q31" s="19" t="n">
        <v>0.05</v>
      </c>
      <c r="R31" s="13" t="s">
        <v>260</v>
      </c>
      <c r="S31" s="24" t="s">
        <v>132</v>
      </c>
      <c r="T31" s="6" t="s">
        <v>82</v>
      </c>
      <c r="U31" s="13" t="s">
        <v>261</v>
      </c>
      <c r="V31" s="21"/>
      <c r="W31" s="22"/>
      <c r="X31" s="22"/>
      <c r="Y31" s="23"/>
    </row>
    <row r="32" customFormat="false" ht="30" hidden="false" customHeight="true" outlineLevel="0" collapsed="false">
      <c r="A32" s="6" t="n">
        <v>31</v>
      </c>
      <c r="B32" s="6" t="s">
        <v>237</v>
      </c>
      <c r="C32" s="6" t="s">
        <v>262</v>
      </c>
      <c r="D32" s="6" t="s">
        <v>263</v>
      </c>
      <c r="E32" s="6" t="s">
        <v>264</v>
      </c>
      <c r="F32" s="13" t="s">
        <v>265</v>
      </c>
      <c r="G32" s="6" t="s">
        <v>26</v>
      </c>
      <c r="H32" s="6" t="s">
        <v>28</v>
      </c>
      <c r="I32" s="14" t="n">
        <v>16000</v>
      </c>
      <c r="J32" s="15" t="n">
        <v>19000</v>
      </c>
      <c r="K32" s="15" t="n">
        <v>15000</v>
      </c>
      <c r="L32" s="6" t="s">
        <v>79</v>
      </c>
      <c r="M32" s="16" t="n">
        <v>2200000</v>
      </c>
      <c r="N32" s="17" t="n">
        <v>2</v>
      </c>
      <c r="O32" s="17" t="n">
        <v>8</v>
      </c>
      <c r="P32" s="18" t="n">
        <v>0.06</v>
      </c>
      <c r="Q32" s="19" t="n">
        <v>0.2</v>
      </c>
      <c r="R32" s="13" t="s">
        <v>266</v>
      </c>
      <c r="S32" s="24" t="s">
        <v>132</v>
      </c>
      <c r="T32" s="6" t="s">
        <v>82</v>
      </c>
      <c r="U32" s="13" t="s">
        <v>267</v>
      </c>
      <c r="V32" s="21"/>
      <c r="W32" s="22"/>
      <c r="X32" s="22"/>
      <c r="Y32" s="23"/>
    </row>
    <row r="33" customFormat="false" ht="30" hidden="false" customHeight="true" outlineLevel="0" collapsed="false">
      <c r="A33" s="6" t="n">
        <v>32</v>
      </c>
      <c r="B33" s="6" t="s">
        <v>237</v>
      </c>
      <c r="C33" s="6" t="s">
        <v>268</v>
      </c>
      <c r="D33" s="6" t="s">
        <v>269</v>
      </c>
      <c r="E33" s="6" t="s">
        <v>270</v>
      </c>
      <c r="F33" s="13" t="s">
        <v>271</v>
      </c>
      <c r="G33" s="6" t="s">
        <v>26</v>
      </c>
      <c r="H33" s="6" t="s">
        <v>30</v>
      </c>
      <c r="I33" s="14" t="n">
        <v>75000</v>
      </c>
      <c r="J33" s="15" t="n">
        <v>90000</v>
      </c>
      <c r="K33" s="15" t="n">
        <v>70000</v>
      </c>
      <c r="L33" s="6" t="s">
        <v>79</v>
      </c>
      <c r="M33" s="16" t="n">
        <v>8000000</v>
      </c>
      <c r="N33" s="17" t="n">
        <v>1</v>
      </c>
      <c r="O33" s="17" t="n">
        <v>25</v>
      </c>
      <c r="P33" s="18" t="n">
        <v>0.04</v>
      </c>
      <c r="Q33" s="19" t="n">
        <v>1</v>
      </c>
      <c r="R33" s="13" t="s">
        <v>272</v>
      </c>
      <c r="S33" s="24" t="s">
        <v>132</v>
      </c>
      <c r="T33" s="6" t="s">
        <v>82</v>
      </c>
      <c r="U33" s="13" t="s">
        <v>273</v>
      </c>
      <c r="V33" s="21"/>
      <c r="W33" s="22"/>
      <c r="X33" s="22"/>
      <c r="Y33" s="23"/>
    </row>
    <row r="34" customFormat="false" ht="30" hidden="false" customHeight="true" outlineLevel="0" collapsed="false">
      <c r="A34" s="6" t="n">
        <v>33</v>
      </c>
      <c r="B34" s="6" t="s">
        <v>237</v>
      </c>
      <c r="C34" s="6" t="s">
        <v>274</v>
      </c>
      <c r="D34" s="6" t="s">
        <v>275</v>
      </c>
      <c r="E34" s="6" t="s">
        <v>276</v>
      </c>
      <c r="F34" s="13" t="s">
        <v>277</v>
      </c>
      <c r="G34" s="6" t="s">
        <v>26</v>
      </c>
      <c r="H34" s="6" t="s">
        <v>28</v>
      </c>
      <c r="I34" s="14" t="n">
        <v>50000</v>
      </c>
      <c r="J34" s="15" t="n">
        <v>60000</v>
      </c>
      <c r="K34" s="15" t="n">
        <v>47000</v>
      </c>
      <c r="L34" s="6" t="s">
        <v>79</v>
      </c>
      <c r="M34" s="16" t="n">
        <v>5200000</v>
      </c>
      <c r="N34" s="17" t="n">
        <v>1</v>
      </c>
      <c r="O34" s="17" t="n">
        <v>25</v>
      </c>
      <c r="P34" s="18" t="n">
        <v>0.04</v>
      </c>
      <c r="Q34" s="19" t="n">
        <v>0.5</v>
      </c>
      <c r="R34" s="13" t="s">
        <v>278</v>
      </c>
      <c r="S34" s="20" t="s">
        <v>81</v>
      </c>
      <c r="T34" s="6" t="s">
        <v>82</v>
      </c>
      <c r="U34" s="13" t="s">
        <v>279</v>
      </c>
      <c r="V34" s="21"/>
      <c r="W34" s="22"/>
      <c r="X34" s="22"/>
      <c r="Y34" s="23"/>
    </row>
    <row r="35" customFormat="false" ht="30" hidden="false" customHeight="true" outlineLevel="0" collapsed="false">
      <c r="A35" s="6" t="n">
        <v>34</v>
      </c>
      <c r="B35" s="6" t="s">
        <v>237</v>
      </c>
      <c r="C35" s="6" t="s">
        <v>280</v>
      </c>
      <c r="D35" s="6" t="s">
        <v>281</v>
      </c>
      <c r="E35" s="6" t="s">
        <v>282</v>
      </c>
      <c r="F35" s="13" t="s">
        <v>283</v>
      </c>
      <c r="G35" s="6" t="s">
        <v>26</v>
      </c>
      <c r="H35" s="6" t="s">
        <v>30</v>
      </c>
      <c r="I35" s="14" t="n">
        <v>45000</v>
      </c>
      <c r="J35" s="15" t="n">
        <v>55000</v>
      </c>
      <c r="K35" s="15" t="n">
        <v>42000</v>
      </c>
      <c r="L35" s="6" t="s">
        <v>79</v>
      </c>
      <c r="M35" s="16" t="n">
        <v>4500000</v>
      </c>
      <c r="N35" s="17" t="n">
        <v>1</v>
      </c>
      <c r="O35" s="17" t="n">
        <v>30</v>
      </c>
      <c r="P35" s="18" t="n">
        <v>0.06</v>
      </c>
      <c r="Q35" s="19" t="n">
        <v>0.5</v>
      </c>
      <c r="R35" s="13" t="s">
        <v>284</v>
      </c>
      <c r="S35" s="20" t="s">
        <v>81</v>
      </c>
      <c r="T35" s="6" t="s">
        <v>82</v>
      </c>
      <c r="U35" s="13" t="s">
        <v>285</v>
      </c>
      <c r="V35" s="21"/>
      <c r="W35" s="22"/>
      <c r="X35" s="22"/>
      <c r="Y35" s="23"/>
    </row>
    <row r="36" customFormat="false" ht="30" hidden="false" customHeight="true" outlineLevel="0" collapsed="false">
      <c r="A36" s="6" t="n">
        <v>35</v>
      </c>
      <c r="B36" s="6" t="s">
        <v>237</v>
      </c>
      <c r="C36" s="6" t="s">
        <v>286</v>
      </c>
      <c r="D36" s="6" t="s">
        <v>287</v>
      </c>
      <c r="E36" s="6" t="s">
        <v>288</v>
      </c>
      <c r="F36" s="13" t="s">
        <v>289</v>
      </c>
      <c r="G36" s="6" t="s">
        <v>26</v>
      </c>
      <c r="H36" s="6" t="s">
        <v>30</v>
      </c>
      <c r="I36" s="14" t="n">
        <v>120000</v>
      </c>
      <c r="J36" s="15" t="n">
        <v>145000</v>
      </c>
      <c r="K36" s="15" t="n">
        <v>115000</v>
      </c>
      <c r="L36" s="6" t="s">
        <v>79</v>
      </c>
      <c r="M36" s="16" t="n">
        <v>16500000</v>
      </c>
      <c r="N36" s="17" t="n">
        <v>1</v>
      </c>
      <c r="O36" s="17" t="n">
        <v>15</v>
      </c>
      <c r="P36" s="18" t="n">
        <v>0.07</v>
      </c>
      <c r="Q36" s="19" t="n">
        <v>0.1</v>
      </c>
      <c r="R36" s="13" t="s">
        <v>290</v>
      </c>
      <c r="S36" s="20" t="s">
        <v>81</v>
      </c>
      <c r="T36" s="6" t="s">
        <v>82</v>
      </c>
      <c r="U36" s="13" t="s">
        <v>291</v>
      </c>
      <c r="V36" s="21"/>
      <c r="W36" s="22"/>
      <c r="X36" s="22"/>
      <c r="Y36" s="23"/>
    </row>
    <row r="37" customFormat="false" ht="30" hidden="false" customHeight="true" outlineLevel="0" collapsed="false">
      <c r="A37" s="6" t="n">
        <v>36</v>
      </c>
      <c r="B37" s="6" t="s">
        <v>237</v>
      </c>
      <c r="C37" s="6" t="s">
        <v>292</v>
      </c>
      <c r="D37" s="6" t="s">
        <v>293</v>
      </c>
      <c r="E37" s="6" t="s">
        <v>294</v>
      </c>
      <c r="F37" s="13" t="s">
        <v>295</v>
      </c>
      <c r="G37" s="6" t="s">
        <v>26</v>
      </c>
      <c r="H37" s="6" t="s">
        <v>30</v>
      </c>
      <c r="I37" s="14" t="n">
        <v>220000</v>
      </c>
      <c r="J37" s="15" t="n">
        <v>260000</v>
      </c>
      <c r="K37" s="15" t="n">
        <v>200000</v>
      </c>
      <c r="L37" s="6" t="s">
        <v>79</v>
      </c>
      <c r="M37" s="16" t="n">
        <v>28000000</v>
      </c>
      <c r="N37" s="17" t="n">
        <v>1</v>
      </c>
      <c r="O37" s="17" t="n">
        <v>10</v>
      </c>
      <c r="P37" s="18" t="n">
        <v>0.06</v>
      </c>
      <c r="Q37" s="19" t="n">
        <v>0.5</v>
      </c>
      <c r="R37" s="13" t="s">
        <v>296</v>
      </c>
      <c r="S37" s="20" t="s">
        <v>81</v>
      </c>
      <c r="T37" s="6" t="s">
        <v>82</v>
      </c>
      <c r="U37" s="13" t="s">
        <v>297</v>
      </c>
      <c r="V37" s="21"/>
      <c r="W37" s="22"/>
      <c r="X37" s="22"/>
      <c r="Y37" s="23"/>
    </row>
    <row r="38" customFormat="false" ht="30" hidden="false" customHeight="true" outlineLevel="0" collapsed="false">
      <c r="A38" s="6" t="n">
        <v>37</v>
      </c>
      <c r="B38" s="6" t="s">
        <v>298</v>
      </c>
      <c r="C38" s="6" t="s">
        <v>299</v>
      </c>
      <c r="D38" s="6" t="s">
        <v>300</v>
      </c>
      <c r="E38" s="6" t="s">
        <v>301</v>
      </c>
      <c r="F38" s="13" t="s">
        <v>302</v>
      </c>
      <c r="G38" s="6" t="s">
        <v>30</v>
      </c>
      <c r="H38" s="6" t="s">
        <v>30</v>
      </c>
      <c r="I38" s="14" t="n">
        <v>70000</v>
      </c>
      <c r="J38" s="15" t="n">
        <v>80000</v>
      </c>
      <c r="K38" s="15" t="n">
        <v>55000</v>
      </c>
      <c r="L38" s="6" t="s">
        <v>169</v>
      </c>
      <c r="M38" s="16" t="n">
        <v>9700000</v>
      </c>
      <c r="N38" s="17" t="n">
        <v>1</v>
      </c>
      <c r="O38" s="17" t="n">
        <v>8</v>
      </c>
      <c r="P38" s="18" t="n">
        <v>0.06</v>
      </c>
      <c r="Q38" s="19" t="n">
        <v>0.2</v>
      </c>
      <c r="R38" s="13" t="s">
        <v>303</v>
      </c>
      <c r="S38" s="20" t="s">
        <v>81</v>
      </c>
      <c r="T38" s="6" t="s">
        <v>82</v>
      </c>
      <c r="U38" s="13" t="s">
        <v>304</v>
      </c>
      <c r="V38" s="21"/>
      <c r="W38" s="22"/>
      <c r="X38" s="22"/>
      <c r="Y38" s="23"/>
    </row>
    <row r="39" customFormat="false" ht="30" hidden="false" customHeight="true" outlineLevel="0" collapsed="false">
      <c r="A39" s="6" t="n">
        <v>38</v>
      </c>
      <c r="B39" s="6" t="s">
        <v>298</v>
      </c>
      <c r="C39" s="6" t="s">
        <v>299</v>
      </c>
      <c r="D39" s="6" t="s">
        <v>305</v>
      </c>
      <c r="E39" s="6" t="s">
        <v>306</v>
      </c>
      <c r="F39" s="13" t="s">
        <v>307</v>
      </c>
      <c r="G39" s="6" t="s">
        <v>30</v>
      </c>
      <c r="H39" s="6" t="s">
        <v>30</v>
      </c>
      <c r="I39" s="14" t="n">
        <v>90000</v>
      </c>
      <c r="J39" s="15" t="n">
        <v>105000</v>
      </c>
      <c r="K39" s="15" t="n">
        <v>75000</v>
      </c>
      <c r="L39" s="6" t="s">
        <v>193</v>
      </c>
      <c r="M39" s="16" t="n">
        <v>12400000</v>
      </c>
      <c r="N39" s="17" t="n">
        <v>1</v>
      </c>
      <c r="O39" s="17" t="n">
        <v>8</v>
      </c>
      <c r="P39" s="18" t="n">
        <v>0.1</v>
      </c>
      <c r="Q39" s="19" t="n">
        <v>0.2</v>
      </c>
      <c r="R39" s="13" t="s">
        <v>308</v>
      </c>
      <c r="S39" s="25" t="s">
        <v>309</v>
      </c>
      <c r="T39" s="6" t="s">
        <v>82</v>
      </c>
      <c r="U39" s="13" t="s">
        <v>310</v>
      </c>
      <c r="V39" s="21"/>
      <c r="W39" s="22"/>
      <c r="X39" s="22"/>
      <c r="Y39" s="23"/>
    </row>
    <row r="40" customFormat="false" ht="30" hidden="false" customHeight="true" outlineLevel="0" collapsed="false">
      <c r="A40" s="6" t="n">
        <v>39</v>
      </c>
      <c r="B40" s="6" t="s">
        <v>298</v>
      </c>
      <c r="C40" s="6" t="s">
        <v>311</v>
      </c>
      <c r="D40" s="6" t="s">
        <v>312</v>
      </c>
      <c r="E40" s="6" t="s">
        <v>313</v>
      </c>
      <c r="F40" s="13" t="s">
        <v>314</v>
      </c>
      <c r="G40" s="6" t="s">
        <v>30</v>
      </c>
      <c r="H40" s="6" t="s">
        <v>30</v>
      </c>
      <c r="I40" s="14" t="n">
        <v>850000</v>
      </c>
      <c r="J40" s="15" t="n">
        <v>950000</v>
      </c>
      <c r="K40" s="15" t="n">
        <v>700000</v>
      </c>
      <c r="L40" s="6" t="s">
        <v>193</v>
      </c>
      <c r="M40" s="16" t="n">
        <v>117000000</v>
      </c>
      <c r="N40" s="17" t="n">
        <v>1</v>
      </c>
      <c r="O40" s="17" t="n">
        <v>10</v>
      </c>
      <c r="P40" s="18" t="n">
        <v>0.08</v>
      </c>
      <c r="Q40" s="19" t="n">
        <v>1</v>
      </c>
      <c r="R40" s="13" t="s">
        <v>315</v>
      </c>
      <c r="S40" s="20" t="s">
        <v>81</v>
      </c>
      <c r="T40" s="6" t="s">
        <v>82</v>
      </c>
      <c r="U40" s="13" t="s">
        <v>316</v>
      </c>
      <c r="V40" s="21"/>
      <c r="W40" s="22"/>
      <c r="X40" s="22"/>
      <c r="Y40" s="23"/>
    </row>
    <row r="41" customFormat="false" ht="30" hidden="false" customHeight="true" outlineLevel="0" collapsed="false">
      <c r="A41" s="6" t="n">
        <v>40</v>
      </c>
      <c r="B41" s="6" t="s">
        <v>298</v>
      </c>
      <c r="C41" s="6" t="s">
        <v>317</v>
      </c>
      <c r="D41" s="6" t="s">
        <v>318</v>
      </c>
      <c r="E41" s="6" t="s">
        <v>319</v>
      </c>
      <c r="F41" s="13" t="s">
        <v>320</v>
      </c>
      <c r="G41" s="6" t="s">
        <v>30</v>
      </c>
      <c r="H41" s="6" t="s">
        <v>30</v>
      </c>
      <c r="I41" s="14" t="n">
        <v>45000</v>
      </c>
      <c r="J41" s="15" t="n">
        <v>50000</v>
      </c>
      <c r="K41" s="15" t="n">
        <v>35000</v>
      </c>
      <c r="L41" s="6" t="s">
        <v>193</v>
      </c>
      <c r="M41" s="16" t="n">
        <v>6200000</v>
      </c>
      <c r="N41" s="17" t="n">
        <v>1</v>
      </c>
      <c r="O41" s="17" t="n">
        <v>7</v>
      </c>
      <c r="P41" s="18" t="n">
        <v>0.2</v>
      </c>
      <c r="Q41" s="19" t="n">
        <v>0</v>
      </c>
      <c r="R41" s="13" t="s">
        <v>321</v>
      </c>
      <c r="S41" s="25" t="s">
        <v>309</v>
      </c>
      <c r="T41" s="6" t="s">
        <v>82</v>
      </c>
      <c r="U41" s="13" t="s">
        <v>322</v>
      </c>
      <c r="V41" s="21"/>
      <c r="W41" s="22"/>
      <c r="X41" s="22"/>
      <c r="Y41" s="23"/>
    </row>
    <row r="42" customFormat="false" ht="30" hidden="false" customHeight="true" outlineLevel="0" collapsed="false">
      <c r="A42" s="6" t="n">
        <v>41</v>
      </c>
      <c r="B42" s="6" t="s">
        <v>298</v>
      </c>
      <c r="C42" s="6" t="s">
        <v>323</v>
      </c>
      <c r="D42" s="6" t="s">
        <v>324</v>
      </c>
      <c r="E42" s="6" t="s">
        <v>325</v>
      </c>
      <c r="F42" s="13" t="s">
        <v>326</v>
      </c>
      <c r="G42" s="6" t="s">
        <v>28</v>
      </c>
      <c r="H42" s="6" t="s">
        <v>30</v>
      </c>
      <c r="I42" s="14" t="n">
        <v>95000</v>
      </c>
      <c r="J42" s="15" t="n">
        <v>110000</v>
      </c>
      <c r="K42" s="15" t="n">
        <v>85000</v>
      </c>
      <c r="L42" s="6" t="s">
        <v>193</v>
      </c>
      <c r="M42" s="16" t="n">
        <v>13000000</v>
      </c>
      <c r="N42" s="17" t="n">
        <v>1</v>
      </c>
      <c r="O42" s="17" t="n">
        <v>10</v>
      </c>
      <c r="P42" s="18" t="n">
        <v>0.07</v>
      </c>
      <c r="Q42" s="19" t="n">
        <v>0.5</v>
      </c>
      <c r="R42" s="13" t="s">
        <v>327</v>
      </c>
      <c r="S42" s="24" t="s">
        <v>132</v>
      </c>
      <c r="T42" s="6" t="s">
        <v>82</v>
      </c>
      <c r="U42" s="13" t="s">
        <v>328</v>
      </c>
      <c r="V42" s="21"/>
      <c r="W42" s="22"/>
      <c r="X42" s="22"/>
      <c r="Y42" s="23"/>
    </row>
    <row r="43" customFormat="false" ht="30" hidden="false" customHeight="true" outlineLevel="0" collapsed="false">
      <c r="A43" s="6" t="n">
        <v>42</v>
      </c>
      <c r="B43" s="6" t="s">
        <v>298</v>
      </c>
      <c r="C43" s="6" t="s">
        <v>329</v>
      </c>
      <c r="D43" s="6" t="s">
        <v>330</v>
      </c>
      <c r="E43" s="6" t="s">
        <v>331</v>
      </c>
      <c r="F43" s="13" t="s">
        <v>332</v>
      </c>
      <c r="G43" s="6" t="s">
        <v>30</v>
      </c>
      <c r="H43" s="6" t="s">
        <v>30</v>
      </c>
      <c r="I43" s="14" t="n">
        <v>80000</v>
      </c>
      <c r="J43" s="15" t="n">
        <v>95000</v>
      </c>
      <c r="K43" s="15" t="n">
        <v>65000</v>
      </c>
      <c r="L43" s="6" t="s">
        <v>193</v>
      </c>
      <c r="M43" s="16" t="n">
        <v>11000000</v>
      </c>
      <c r="N43" s="17" t="n">
        <v>1</v>
      </c>
      <c r="O43" s="17" t="n">
        <v>7</v>
      </c>
      <c r="P43" s="18" t="n">
        <v>0.18</v>
      </c>
      <c r="Q43" s="19" t="n">
        <v>0.2</v>
      </c>
      <c r="R43" s="13" t="s">
        <v>333</v>
      </c>
      <c r="S43" s="20" t="s">
        <v>81</v>
      </c>
      <c r="T43" s="6" t="s">
        <v>82</v>
      </c>
      <c r="U43" s="13" t="s">
        <v>334</v>
      </c>
      <c r="V43" s="21"/>
      <c r="W43" s="22"/>
      <c r="X43" s="22"/>
      <c r="Y43" s="23"/>
    </row>
    <row r="44" customFormat="false" ht="30" hidden="false" customHeight="true" outlineLevel="0" collapsed="false">
      <c r="A44" s="6" t="n">
        <v>43</v>
      </c>
      <c r="B44" s="6" t="s">
        <v>298</v>
      </c>
      <c r="C44" s="6" t="s">
        <v>335</v>
      </c>
      <c r="D44" s="6" t="s">
        <v>336</v>
      </c>
      <c r="E44" s="6" t="s">
        <v>337</v>
      </c>
      <c r="F44" s="13" t="s">
        <v>338</v>
      </c>
      <c r="G44" s="6" t="s">
        <v>30</v>
      </c>
      <c r="H44" s="6" t="s">
        <v>28</v>
      </c>
      <c r="I44" s="14" t="n">
        <v>950000</v>
      </c>
      <c r="J44" s="15" t="n">
        <v>1100000</v>
      </c>
      <c r="K44" s="15" t="n">
        <v>850000</v>
      </c>
      <c r="L44" s="6" t="s">
        <v>193</v>
      </c>
      <c r="M44" s="16" t="n">
        <v>130000000</v>
      </c>
      <c r="N44" s="17" t="n">
        <v>1</v>
      </c>
      <c r="O44" s="17" t="n">
        <v>10</v>
      </c>
      <c r="P44" s="18" t="n">
        <v>0.08</v>
      </c>
      <c r="Q44" s="19" t="n">
        <v>1</v>
      </c>
      <c r="R44" s="13" t="s">
        <v>339</v>
      </c>
      <c r="S44" s="20" t="s">
        <v>81</v>
      </c>
      <c r="T44" s="6" t="s">
        <v>82</v>
      </c>
      <c r="U44" s="13" t="s">
        <v>340</v>
      </c>
      <c r="V44" s="21"/>
      <c r="W44" s="22"/>
      <c r="X44" s="22"/>
      <c r="Y44" s="23"/>
    </row>
    <row r="45" customFormat="false" ht="30" hidden="false" customHeight="true" outlineLevel="0" collapsed="false">
      <c r="A45" s="6" t="n">
        <v>44</v>
      </c>
      <c r="B45" s="6" t="s">
        <v>298</v>
      </c>
      <c r="C45" s="6" t="s">
        <v>335</v>
      </c>
      <c r="D45" s="6" t="s">
        <v>341</v>
      </c>
      <c r="E45" s="6" t="s">
        <v>342</v>
      </c>
      <c r="F45" s="13" t="s">
        <v>343</v>
      </c>
      <c r="G45" s="6" t="s">
        <v>30</v>
      </c>
      <c r="H45" s="6" t="s">
        <v>30</v>
      </c>
      <c r="I45" s="14" t="n">
        <v>2100000</v>
      </c>
      <c r="J45" s="15" t="n">
        <v>2400000</v>
      </c>
      <c r="K45" s="15" t="n">
        <v>1850000</v>
      </c>
      <c r="L45" s="6" t="s">
        <v>193</v>
      </c>
      <c r="M45" s="16" t="n">
        <v>290000000</v>
      </c>
      <c r="N45" s="17" t="n">
        <v>1</v>
      </c>
      <c r="O45" s="17" t="n">
        <v>10</v>
      </c>
      <c r="P45" s="18" t="n">
        <v>0.08</v>
      </c>
      <c r="Q45" s="19" t="n">
        <v>1.5</v>
      </c>
      <c r="R45" s="13" t="s">
        <v>344</v>
      </c>
      <c r="S45" s="20" t="s">
        <v>81</v>
      </c>
      <c r="T45" s="6" t="s">
        <v>82</v>
      </c>
      <c r="U45" s="13" t="s">
        <v>345</v>
      </c>
      <c r="V45" s="21"/>
      <c r="W45" s="22"/>
      <c r="X45" s="22"/>
      <c r="Y45" s="23"/>
    </row>
    <row r="46" customFormat="false" ht="30" hidden="false" customHeight="true" outlineLevel="0" collapsed="false">
      <c r="A46" s="6" t="n">
        <v>45</v>
      </c>
      <c r="B46" s="6" t="s">
        <v>298</v>
      </c>
      <c r="C46" s="6" t="s">
        <v>346</v>
      </c>
      <c r="D46" s="6" t="s">
        <v>347</v>
      </c>
      <c r="E46" s="6" t="s">
        <v>348</v>
      </c>
      <c r="F46" s="13" t="s">
        <v>349</v>
      </c>
      <c r="G46" s="6" t="s">
        <v>30</v>
      </c>
      <c r="H46" s="6" t="s">
        <v>30</v>
      </c>
      <c r="I46" s="14" t="n">
        <v>280000</v>
      </c>
      <c r="J46" s="15" t="n">
        <v>320000</v>
      </c>
      <c r="K46" s="15" t="n">
        <v>220000</v>
      </c>
      <c r="L46" s="6" t="s">
        <v>193</v>
      </c>
      <c r="M46" s="16" t="n">
        <v>38500000</v>
      </c>
      <c r="N46" s="17" t="n">
        <v>1</v>
      </c>
      <c r="O46" s="17" t="n">
        <v>10</v>
      </c>
      <c r="P46" s="18" t="n">
        <v>0.08</v>
      </c>
      <c r="Q46" s="19" t="n">
        <v>0.5</v>
      </c>
      <c r="R46" s="13" t="s">
        <v>350</v>
      </c>
      <c r="S46" s="20" t="s">
        <v>81</v>
      </c>
      <c r="T46" s="6" t="s">
        <v>82</v>
      </c>
      <c r="U46" s="13" t="s">
        <v>351</v>
      </c>
      <c r="V46" s="21"/>
      <c r="W46" s="22"/>
      <c r="X46" s="22"/>
      <c r="Y46" s="23"/>
    </row>
    <row r="47" customFormat="false" ht="30" hidden="false" customHeight="true" outlineLevel="0" collapsed="false">
      <c r="A47" s="6" t="n">
        <v>46</v>
      </c>
      <c r="B47" s="6" t="s">
        <v>298</v>
      </c>
      <c r="C47" s="6" t="s">
        <v>352</v>
      </c>
      <c r="D47" s="6" t="s">
        <v>353</v>
      </c>
      <c r="E47" s="6" t="s">
        <v>354</v>
      </c>
      <c r="F47" s="13" t="s">
        <v>355</v>
      </c>
      <c r="G47" s="6" t="s">
        <v>28</v>
      </c>
      <c r="H47" s="6" t="s">
        <v>30</v>
      </c>
      <c r="I47" s="14" t="n">
        <v>95000</v>
      </c>
      <c r="J47" s="15" t="n">
        <v>110000</v>
      </c>
      <c r="K47" s="15" t="n">
        <v>75000</v>
      </c>
      <c r="L47" s="6" t="s">
        <v>169</v>
      </c>
      <c r="M47" s="16" t="n">
        <v>13000000</v>
      </c>
      <c r="N47" s="17" t="n">
        <v>1</v>
      </c>
      <c r="O47" s="17" t="n">
        <v>8</v>
      </c>
      <c r="P47" s="18" t="n">
        <v>0.08</v>
      </c>
      <c r="Q47" s="19" t="n">
        <v>0.5</v>
      </c>
      <c r="R47" s="13" t="s">
        <v>356</v>
      </c>
      <c r="S47" s="24" t="s">
        <v>132</v>
      </c>
      <c r="T47" s="6" t="s">
        <v>82</v>
      </c>
      <c r="U47" s="13" t="s">
        <v>357</v>
      </c>
      <c r="V47" s="21"/>
      <c r="W47" s="22"/>
      <c r="X47" s="22"/>
      <c r="Y47" s="23"/>
    </row>
    <row r="48" customFormat="false" ht="30" hidden="false" customHeight="true" outlineLevel="0" collapsed="false">
      <c r="A48" s="6" t="n">
        <v>47</v>
      </c>
      <c r="B48" s="6" t="s">
        <v>298</v>
      </c>
      <c r="C48" s="6" t="s">
        <v>352</v>
      </c>
      <c r="D48" s="6" t="s">
        <v>358</v>
      </c>
      <c r="E48" s="6" t="s">
        <v>359</v>
      </c>
      <c r="F48" s="13" t="s">
        <v>360</v>
      </c>
      <c r="G48" s="6" t="s">
        <v>28</v>
      </c>
      <c r="H48" s="6" t="s">
        <v>30</v>
      </c>
      <c r="I48" s="14" t="n">
        <v>35000</v>
      </c>
      <c r="J48" s="15" t="n">
        <v>40000</v>
      </c>
      <c r="K48" s="15" t="n">
        <v>28000</v>
      </c>
      <c r="L48" s="6" t="s">
        <v>169</v>
      </c>
      <c r="M48" s="16" t="n">
        <v>4800000</v>
      </c>
      <c r="N48" s="17" t="n">
        <v>1</v>
      </c>
      <c r="O48" s="17" t="n">
        <v>7</v>
      </c>
      <c r="P48" s="18" t="n">
        <v>0.07</v>
      </c>
      <c r="Q48" s="19" t="n">
        <v>0</v>
      </c>
      <c r="R48" s="13" t="s">
        <v>361</v>
      </c>
      <c r="S48" s="20" t="s">
        <v>81</v>
      </c>
      <c r="T48" s="6" t="s">
        <v>82</v>
      </c>
      <c r="U48" s="13" t="s">
        <v>362</v>
      </c>
      <c r="V48" s="21"/>
      <c r="W48" s="22"/>
      <c r="X48" s="22"/>
      <c r="Y48" s="23"/>
    </row>
    <row r="49" customFormat="false" ht="30" hidden="false" customHeight="true" outlineLevel="0" collapsed="false">
      <c r="A49" s="6" t="n">
        <v>48</v>
      </c>
      <c r="B49" s="6" t="s">
        <v>298</v>
      </c>
      <c r="C49" s="6" t="s">
        <v>352</v>
      </c>
      <c r="D49" s="6" t="s">
        <v>363</v>
      </c>
      <c r="E49" s="6" t="s">
        <v>364</v>
      </c>
      <c r="F49" s="13" t="s">
        <v>365</v>
      </c>
      <c r="G49" s="6" t="s">
        <v>28</v>
      </c>
      <c r="H49" s="6" t="s">
        <v>30</v>
      </c>
      <c r="I49" s="14" t="n">
        <v>130000</v>
      </c>
      <c r="J49" s="15" t="n">
        <v>150000</v>
      </c>
      <c r="K49" s="15" t="n">
        <v>110000</v>
      </c>
      <c r="L49" s="6" t="s">
        <v>193</v>
      </c>
      <c r="M49" s="16" t="n">
        <v>18000000</v>
      </c>
      <c r="N49" s="17" t="n">
        <v>1</v>
      </c>
      <c r="O49" s="17" t="n">
        <v>8</v>
      </c>
      <c r="P49" s="18" t="n">
        <v>0.08</v>
      </c>
      <c r="Q49" s="19" t="n">
        <v>0.5</v>
      </c>
      <c r="R49" s="13" t="s">
        <v>366</v>
      </c>
      <c r="S49" s="24" t="s">
        <v>132</v>
      </c>
      <c r="T49" s="6" t="s">
        <v>82</v>
      </c>
      <c r="U49" s="13" t="s">
        <v>367</v>
      </c>
      <c r="V49" s="21"/>
      <c r="W49" s="22"/>
      <c r="X49" s="22"/>
      <c r="Y49" s="23"/>
    </row>
    <row r="50" customFormat="false" ht="30" hidden="false" customHeight="true" outlineLevel="0" collapsed="false">
      <c r="A50" s="6" t="n">
        <v>49</v>
      </c>
      <c r="B50" s="6" t="s">
        <v>298</v>
      </c>
      <c r="C50" s="6" t="s">
        <v>368</v>
      </c>
      <c r="D50" s="6" t="s">
        <v>369</v>
      </c>
      <c r="E50" s="6" t="s">
        <v>370</v>
      </c>
      <c r="F50" s="13" t="s">
        <v>371</v>
      </c>
      <c r="G50" s="6" t="s">
        <v>28</v>
      </c>
      <c r="H50" s="6" t="s">
        <v>30</v>
      </c>
      <c r="I50" s="14" t="n">
        <v>130000</v>
      </c>
      <c r="J50" s="15" t="n">
        <v>150000</v>
      </c>
      <c r="K50" s="15" t="n">
        <v>95000</v>
      </c>
      <c r="L50" s="6" t="s">
        <v>169</v>
      </c>
      <c r="M50" s="16" t="n">
        <v>18000000</v>
      </c>
      <c r="N50" s="17" t="n">
        <v>1</v>
      </c>
      <c r="O50" s="17" t="n">
        <v>10</v>
      </c>
      <c r="P50" s="18" t="n">
        <v>0.06</v>
      </c>
      <c r="Q50" s="19" t="n">
        <v>0.5</v>
      </c>
      <c r="R50" s="13" t="s">
        <v>372</v>
      </c>
      <c r="S50" s="24" t="s">
        <v>132</v>
      </c>
      <c r="T50" s="6" t="s">
        <v>82</v>
      </c>
      <c r="U50" s="13" t="s">
        <v>373</v>
      </c>
      <c r="V50" s="21"/>
      <c r="W50" s="22"/>
      <c r="X50" s="22"/>
      <c r="Y50" s="23"/>
    </row>
    <row r="51" customFormat="false" ht="30" hidden="false" customHeight="true" outlineLevel="0" collapsed="false">
      <c r="A51" s="6" t="n">
        <v>50</v>
      </c>
      <c r="B51" s="6" t="s">
        <v>374</v>
      </c>
      <c r="C51" s="6" t="s">
        <v>375</v>
      </c>
      <c r="D51" s="6" t="s">
        <v>376</v>
      </c>
      <c r="E51" s="6" t="s">
        <v>377</v>
      </c>
      <c r="F51" s="13" t="s">
        <v>378</v>
      </c>
      <c r="G51" s="6" t="s">
        <v>26</v>
      </c>
      <c r="H51" s="6" t="s">
        <v>28</v>
      </c>
      <c r="I51" s="14" t="n">
        <v>110000</v>
      </c>
      <c r="J51" s="15" t="n">
        <v>130000</v>
      </c>
      <c r="K51" s="15" t="n">
        <v>105000</v>
      </c>
      <c r="L51" s="6" t="s">
        <v>79</v>
      </c>
      <c r="M51" s="16" t="n">
        <v>15200000</v>
      </c>
      <c r="N51" s="17" t="n">
        <v>1</v>
      </c>
      <c r="O51" s="17" t="n">
        <v>8</v>
      </c>
      <c r="P51" s="18" t="n">
        <v>0.06</v>
      </c>
      <c r="Q51" s="19" t="n">
        <v>0.2</v>
      </c>
      <c r="R51" s="13" t="s">
        <v>379</v>
      </c>
      <c r="S51" s="20" t="s">
        <v>81</v>
      </c>
      <c r="T51" s="6" t="s">
        <v>82</v>
      </c>
      <c r="U51" s="13" t="s">
        <v>380</v>
      </c>
      <c r="V51" s="21"/>
      <c r="W51" s="22"/>
      <c r="X51" s="22"/>
      <c r="Y51" s="23"/>
    </row>
    <row r="52" customFormat="false" ht="30" hidden="false" customHeight="true" outlineLevel="0" collapsed="false">
      <c r="A52" s="6" t="n">
        <v>51</v>
      </c>
      <c r="B52" s="6" t="s">
        <v>374</v>
      </c>
      <c r="C52" s="6" t="s">
        <v>381</v>
      </c>
      <c r="D52" s="6" t="s">
        <v>382</v>
      </c>
      <c r="E52" s="6" t="s">
        <v>383</v>
      </c>
      <c r="F52" s="13" t="s">
        <v>384</v>
      </c>
      <c r="G52" s="6" t="s">
        <v>26</v>
      </c>
      <c r="H52" s="6" t="s">
        <v>28</v>
      </c>
      <c r="I52" s="14" t="n">
        <v>28000</v>
      </c>
      <c r="J52" s="15" t="n">
        <v>33000</v>
      </c>
      <c r="K52" s="15" t="n">
        <v>26000</v>
      </c>
      <c r="L52" s="6" t="s">
        <v>79</v>
      </c>
      <c r="M52" s="16" t="n">
        <v>3850000</v>
      </c>
      <c r="N52" s="17" t="n">
        <v>1</v>
      </c>
      <c r="O52" s="17" t="n">
        <v>20</v>
      </c>
      <c r="P52" s="18" t="n">
        <v>0.02</v>
      </c>
      <c r="Q52" s="19" t="n">
        <v>0</v>
      </c>
      <c r="R52" s="13" t="s">
        <v>385</v>
      </c>
      <c r="S52" s="24" t="s">
        <v>132</v>
      </c>
      <c r="T52" s="6" t="s">
        <v>82</v>
      </c>
      <c r="U52" s="13" t="s">
        <v>386</v>
      </c>
      <c r="V52" s="21"/>
      <c r="W52" s="22"/>
      <c r="X52" s="22"/>
      <c r="Y52" s="23"/>
    </row>
    <row r="53" customFormat="false" ht="30" hidden="false" customHeight="true" outlineLevel="0" collapsed="false">
      <c r="A53" s="6" t="n">
        <v>52</v>
      </c>
      <c r="B53" s="6" t="s">
        <v>374</v>
      </c>
      <c r="C53" s="6" t="s">
        <v>387</v>
      </c>
      <c r="D53" s="6" t="s">
        <v>388</v>
      </c>
      <c r="E53" s="6" t="s">
        <v>389</v>
      </c>
      <c r="F53" s="13" t="s">
        <v>390</v>
      </c>
      <c r="G53" s="6" t="s">
        <v>26</v>
      </c>
      <c r="H53" s="6" t="s">
        <v>28</v>
      </c>
      <c r="I53" s="14" t="n">
        <v>60000</v>
      </c>
      <c r="J53" s="15" t="n">
        <v>72000</v>
      </c>
      <c r="K53" s="15" t="n">
        <v>56000</v>
      </c>
      <c r="L53" s="6" t="s">
        <v>79</v>
      </c>
      <c r="M53" s="16" t="n">
        <v>8200000</v>
      </c>
      <c r="N53" s="17" t="n">
        <v>1</v>
      </c>
      <c r="O53" s="17" t="n">
        <v>12</v>
      </c>
      <c r="P53" s="18" t="n">
        <v>0.03</v>
      </c>
      <c r="Q53" s="19" t="n">
        <v>0.2</v>
      </c>
      <c r="R53" s="13" t="s">
        <v>391</v>
      </c>
      <c r="S53" s="20" t="s">
        <v>81</v>
      </c>
      <c r="T53" s="6" t="s">
        <v>82</v>
      </c>
      <c r="U53" s="13" t="s">
        <v>392</v>
      </c>
      <c r="V53" s="21"/>
      <c r="W53" s="22"/>
      <c r="X53" s="22"/>
      <c r="Y53" s="23"/>
    </row>
    <row r="54" customFormat="false" ht="30" hidden="false" customHeight="true" outlineLevel="0" collapsed="false">
      <c r="A54" s="6" t="n">
        <v>53</v>
      </c>
      <c r="B54" s="6" t="s">
        <v>374</v>
      </c>
      <c r="C54" s="6" t="s">
        <v>393</v>
      </c>
      <c r="D54" s="6" t="s">
        <v>394</v>
      </c>
      <c r="E54" s="6" t="s">
        <v>395</v>
      </c>
      <c r="F54" s="13" t="s">
        <v>396</v>
      </c>
      <c r="G54" s="6" t="s">
        <v>26</v>
      </c>
      <c r="H54" s="6" t="s">
        <v>28</v>
      </c>
      <c r="I54" s="14" t="n">
        <v>18000</v>
      </c>
      <c r="J54" s="15" t="n">
        <v>22000</v>
      </c>
      <c r="K54" s="15" t="n">
        <v>17000</v>
      </c>
      <c r="L54" s="6" t="s">
        <v>79</v>
      </c>
      <c r="M54" s="16" t="n">
        <v>2480000</v>
      </c>
      <c r="N54" s="17" t="n">
        <v>1</v>
      </c>
      <c r="O54" s="17" t="n">
        <v>25</v>
      </c>
      <c r="P54" s="18" t="n">
        <v>0.02</v>
      </c>
      <c r="Q54" s="19" t="n">
        <v>0</v>
      </c>
      <c r="R54" s="13" t="s">
        <v>397</v>
      </c>
      <c r="S54" s="24" t="s">
        <v>132</v>
      </c>
      <c r="T54" s="6" t="s">
        <v>82</v>
      </c>
      <c r="U54" s="13" t="s">
        <v>398</v>
      </c>
      <c r="V54" s="21"/>
      <c r="W54" s="22"/>
      <c r="X54" s="22"/>
      <c r="Y54" s="23"/>
    </row>
    <row r="55" customFormat="false" ht="30" hidden="false" customHeight="true" outlineLevel="0" collapsed="false">
      <c r="A55" s="6" t="n">
        <v>54</v>
      </c>
      <c r="B55" s="6" t="s">
        <v>374</v>
      </c>
      <c r="C55" s="6" t="s">
        <v>399</v>
      </c>
      <c r="D55" s="6" t="s">
        <v>400</v>
      </c>
      <c r="E55" s="6" t="s">
        <v>401</v>
      </c>
      <c r="F55" s="13" t="s">
        <v>402</v>
      </c>
      <c r="G55" s="6" t="s">
        <v>26</v>
      </c>
      <c r="H55" s="6" t="s">
        <v>28</v>
      </c>
      <c r="I55" s="14" t="n">
        <v>180000</v>
      </c>
      <c r="J55" s="15" t="n">
        <v>210000</v>
      </c>
      <c r="K55" s="15" t="n">
        <v>170000</v>
      </c>
      <c r="L55" s="6" t="s">
        <v>79</v>
      </c>
      <c r="M55" s="16" t="n">
        <v>25000000</v>
      </c>
      <c r="N55" s="17" t="n">
        <v>1</v>
      </c>
      <c r="O55" s="17" t="n">
        <v>10</v>
      </c>
      <c r="P55" s="18" t="n">
        <v>0.04</v>
      </c>
      <c r="Q55" s="19" t="n">
        <v>0.5</v>
      </c>
      <c r="R55" s="13" t="s">
        <v>403</v>
      </c>
      <c r="S55" s="20" t="s">
        <v>81</v>
      </c>
      <c r="T55" s="6" t="s">
        <v>82</v>
      </c>
      <c r="U55" s="13" t="s">
        <v>404</v>
      </c>
      <c r="V55" s="21"/>
      <c r="W55" s="22"/>
      <c r="X55" s="22"/>
      <c r="Y55" s="23"/>
    </row>
    <row r="56" customFormat="false" ht="30" hidden="false" customHeight="true" outlineLevel="0" collapsed="false">
      <c r="A56" s="6" t="n">
        <v>55</v>
      </c>
      <c r="B56" s="6" t="s">
        <v>374</v>
      </c>
      <c r="C56" s="6" t="s">
        <v>405</v>
      </c>
      <c r="D56" s="6" t="s">
        <v>406</v>
      </c>
      <c r="E56" s="6" t="s">
        <v>407</v>
      </c>
      <c r="F56" s="13" t="s">
        <v>408</v>
      </c>
      <c r="G56" s="6" t="s">
        <v>26</v>
      </c>
      <c r="H56" s="6" t="s">
        <v>26</v>
      </c>
      <c r="I56" s="14" t="n">
        <v>45000</v>
      </c>
      <c r="J56" s="15" t="n">
        <v>54000</v>
      </c>
      <c r="K56" s="15" t="n">
        <v>42000</v>
      </c>
      <c r="L56" s="6" t="s">
        <v>79</v>
      </c>
      <c r="M56" s="16" t="n">
        <v>6200000</v>
      </c>
      <c r="N56" s="17" t="n">
        <v>1</v>
      </c>
      <c r="O56" s="17" t="n">
        <v>10</v>
      </c>
      <c r="P56" s="18" t="n">
        <v>0.05</v>
      </c>
      <c r="Q56" s="19" t="n">
        <v>1</v>
      </c>
      <c r="R56" s="13" t="s">
        <v>409</v>
      </c>
      <c r="S56" s="20" t="s">
        <v>81</v>
      </c>
      <c r="T56" s="6" t="s">
        <v>82</v>
      </c>
      <c r="U56" s="13" t="s">
        <v>410</v>
      </c>
      <c r="V56" s="21"/>
      <c r="W56" s="22"/>
      <c r="X56" s="22"/>
      <c r="Y56" s="23"/>
    </row>
    <row r="57" customFormat="false" ht="30" hidden="false" customHeight="true" outlineLevel="0" collapsed="false">
      <c r="A57" s="6" t="n">
        <v>56</v>
      </c>
      <c r="B57" s="6" t="s">
        <v>411</v>
      </c>
      <c r="C57" s="6" t="s">
        <v>412</v>
      </c>
      <c r="D57" s="6" t="s">
        <v>413</v>
      </c>
      <c r="E57" s="6" t="s">
        <v>414</v>
      </c>
      <c r="F57" s="13" t="s">
        <v>415</v>
      </c>
      <c r="G57" s="6" t="s">
        <v>26</v>
      </c>
      <c r="H57" s="6" t="s">
        <v>26</v>
      </c>
      <c r="I57" s="14" t="n">
        <v>35000</v>
      </c>
      <c r="J57" s="15" t="n">
        <v>42000</v>
      </c>
      <c r="K57" s="15" t="n">
        <v>33000</v>
      </c>
      <c r="L57" s="6" t="s">
        <v>79</v>
      </c>
      <c r="M57" s="16" t="n">
        <v>4800000</v>
      </c>
      <c r="N57" s="17" t="n">
        <v>2</v>
      </c>
      <c r="O57" s="17" t="n">
        <v>15</v>
      </c>
      <c r="P57" s="18" t="n">
        <v>0.05</v>
      </c>
      <c r="Q57" s="19" t="n">
        <v>0.05</v>
      </c>
      <c r="R57" s="13" t="s">
        <v>416</v>
      </c>
      <c r="S57" s="20" t="s">
        <v>81</v>
      </c>
      <c r="T57" s="6" t="s">
        <v>82</v>
      </c>
      <c r="U57" s="13" t="s">
        <v>417</v>
      </c>
      <c r="V57" s="21"/>
      <c r="W57" s="22"/>
      <c r="X57" s="22"/>
      <c r="Y57" s="23"/>
    </row>
    <row r="58" customFormat="false" ht="30" hidden="false" customHeight="true" outlineLevel="0" collapsed="false">
      <c r="A58" s="6" t="n">
        <v>57</v>
      </c>
      <c r="B58" s="6" t="s">
        <v>411</v>
      </c>
      <c r="C58" s="6" t="s">
        <v>418</v>
      </c>
      <c r="D58" s="6" t="s">
        <v>419</v>
      </c>
      <c r="E58" s="6" t="s">
        <v>420</v>
      </c>
      <c r="F58" s="13" t="s">
        <v>421</v>
      </c>
      <c r="G58" s="6" t="s">
        <v>26</v>
      </c>
      <c r="H58" s="6" t="s">
        <v>28</v>
      </c>
      <c r="I58" s="14" t="n">
        <v>28000</v>
      </c>
      <c r="J58" s="15" t="n">
        <v>33000</v>
      </c>
      <c r="K58" s="15" t="n">
        <v>26000</v>
      </c>
      <c r="L58" s="6" t="s">
        <v>79</v>
      </c>
      <c r="M58" s="16" t="n">
        <v>3800000</v>
      </c>
      <c r="N58" s="17" t="n">
        <v>2</v>
      </c>
      <c r="O58" s="17" t="n">
        <v>10</v>
      </c>
      <c r="P58" s="18" t="n">
        <v>0.06</v>
      </c>
      <c r="Q58" s="19" t="n">
        <v>0.3</v>
      </c>
      <c r="R58" s="13" t="s">
        <v>422</v>
      </c>
      <c r="S58" s="24" t="s">
        <v>132</v>
      </c>
      <c r="T58" s="6" t="s">
        <v>82</v>
      </c>
      <c r="U58" s="13" t="s">
        <v>423</v>
      </c>
      <c r="V58" s="21"/>
      <c r="W58" s="22"/>
      <c r="X58" s="22"/>
      <c r="Y58" s="23"/>
    </row>
    <row r="59" customFormat="false" ht="30" hidden="false" customHeight="true" outlineLevel="0" collapsed="false">
      <c r="A59" s="6" t="n">
        <v>58</v>
      </c>
      <c r="B59" s="6" t="s">
        <v>411</v>
      </c>
      <c r="C59" s="6" t="s">
        <v>424</v>
      </c>
      <c r="D59" s="6" t="s">
        <v>425</v>
      </c>
      <c r="E59" s="6" t="s">
        <v>426</v>
      </c>
      <c r="F59" s="13" t="s">
        <v>427</v>
      </c>
      <c r="G59" s="6" t="s">
        <v>26</v>
      </c>
      <c r="H59" s="6" t="s">
        <v>30</v>
      </c>
      <c r="I59" s="14" t="n">
        <v>90000</v>
      </c>
      <c r="J59" s="15" t="n">
        <v>110000</v>
      </c>
      <c r="K59" s="15" t="n">
        <v>85000</v>
      </c>
      <c r="L59" s="6" t="s">
        <v>79</v>
      </c>
      <c r="M59" s="16" t="n">
        <v>12500000</v>
      </c>
      <c r="N59" s="17" t="n">
        <v>1</v>
      </c>
      <c r="O59" s="17" t="n">
        <v>20</v>
      </c>
      <c r="P59" s="18" t="n">
        <v>0.04</v>
      </c>
      <c r="Q59" s="19" t="n">
        <v>0.2</v>
      </c>
      <c r="R59" s="13" t="s">
        <v>428</v>
      </c>
      <c r="S59" s="20" t="s">
        <v>81</v>
      </c>
      <c r="T59" s="6" t="s">
        <v>82</v>
      </c>
      <c r="U59" s="13" t="s">
        <v>429</v>
      </c>
      <c r="V59" s="21"/>
      <c r="W59" s="22"/>
      <c r="X59" s="22"/>
      <c r="Y59" s="23"/>
    </row>
    <row r="60" customFormat="false" ht="30" hidden="false" customHeight="true" outlineLevel="0" collapsed="false">
      <c r="A60" s="6" t="n">
        <v>59</v>
      </c>
      <c r="B60" s="6" t="s">
        <v>411</v>
      </c>
      <c r="C60" s="6" t="s">
        <v>430</v>
      </c>
      <c r="D60" s="6" t="s">
        <v>431</v>
      </c>
      <c r="E60" s="6" t="s">
        <v>432</v>
      </c>
      <c r="F60" s="13" t="s">
        <v>433</v>
      </c>
      <c r="G60" s="6" t="s">
        <v>26</v>
      </c>
      <c r="H60" s="6" t="s">
        <v>30</v>
      </c>
      <c r="I60" s="14" t="n">
        <v>45000</v>
      </c>
      <c r="J60" s="15" t="n">
        <v>55000</v>
      </c>
      <c r="K60" s="15" t="n">
        <v>43000</v>
      </c>
      <c r="L60" s="6" t="s">
        <v>79</v>
      </c>
      <c r="M60" s="16" t="n">
        <v>6200000</v>
      </c>
      <c r="N60" s="17" t="n">
        <v>1</v>
      </c>
      <c r="O60" s="17" t="n">
        <v>20</v>
      </c>
      <c r="P60" s="18" t="n">
        <v>0.04</v>
      </c>
      <c r="Q60" s="19" t="n">
        <v>0.1</v>
      </c>
      <c r="R60" s="13" t="s">
        <v>434</v>
      </c>
      <c r="S60" s="25" t="s">
        <v>309</v>
      </c>
      <c r="T60" s="6" t="s">
        <v>82</v>
      </c>
      <c r="U60" s="13" t="s">
        <v>435</v>
      </c>
      <c r="V60" s="21"/>
      <c r="W60" s="22"/>
      <c r="X60" s="22"/>
      <c r="Y60" s="23"/>
    </row>
    <row r="61" customFormat="false" ht="30" hidden="false" customHeight="true" outlineLevel="0" collapsed="false">
      <c r="A61" s="6" t="n">
        <v>60</v>
      </c>
      <c r="B61" s="6" t="s">
        <v>411</v>
      </c>
      <c r="C61" s="6" t="s">
        <v>436</v>
      </c>
      <c r="D61" s="6" t="s">
        <v>437</v>
      </c>
      <c r="E61" s="6" t="s">
        <v>438</v>
      </c>
      <c r="F61" s="13" t="s">
        <v>439</v>
      </c>
      <c r="G61" s="6" t="s">
        <v>26</v>
      </c>
      <c r="H61" s="6" t="s">
        <v>28</v>
      </c>
      <c r="I61" s="14" t="n">
        <v>5500</v>
      </c>
      <c r="J61" s="15" t="n">
        <v>6800</v>
      </c>
      <c r="K61" s="15" t="n">
        <v>5200</v>
      </c>
      <c r="L61" s="6" t="s">
        <v>79</v>
      </c>
      <c r="M61" s="16" t="n">
        <v>760000</v>
      </c>
      <c r="N61" s="17" t="n">
        <v>14</v>
      </c>
      <c r="O61" s="17" t="n">
        <v>10</v>
      </c>
      <c r="P61" s="18" t="n">
        <v>0.04</v>
      </c>
      <c r="Q61" s="19" t="n">
        <v>0</v>
      </c>
      <c r="R61" s="13" t="s">
        <v>440</v>
      </c>
      <c r="S61" s="24" t="s">
        <v>132</v>
      </c>
      <c r="T61" s="6" t="s">
        <v>82</v>
      </c>
      <c r="U61" s="13" t="s">
        <v>441</v>
      </c>
      <c r="V61" s="21"/>
      <c r="W61" s="22"/>
      <c r="X61" s="22"/>
      <c r="Y61" s="23"/>
    </row>
    <row r="62" customFormat="false" ht="30" hidden="false" customHeight="true" outlineLevel="0" collapsed="false">
      <c r="A62" s="6" t="n">
        <v>61</v>
      </c>
      <c r="B62" s="6" t="s">
        <v>411</v>
      </c>
      <c r="C62" s="6" t="s">
        <v>442</v>
      </c>
      <c r="D62" s="6" t="s">
        <v>443</v>
      </c>
      <c r="E62" s="6" t="s">
        <v>444</v>
      </c>
      <c r="F62" s="13" t="s">
        <v>445</v>
      </c>
      <c r="G62" s="6" t="s">
        <v>26</v>
      </c>
      <c r="H62" s="6" t="s">
        <v>28</v>
      </c>
      <c r="I62" s="14" t="n">
        <v>60000</v>
      </c>
      <c r="J62" s="15" t="n">
        <v>72000</v>
      </c>
      <c r="K62" s="15" t="n">
        <v>58000</v>
      </c>
      <c r="L62" s="6" t="s">
        <v>79</v>
      </c>
      <c r="M62" s="16" t="n">
        <v>8200000</v>
      </c>
      <c r="N62" s="17" t="n">
        <v>1</v>
      </c>
      <c r="O62" s="17" t="n">
        <v>15</v>
      </c>
      <c r="P62" s="18" t="n">
        <v>0.05</v>
      </c>
      <c r="Q62" s="19" t="n">
        <v>0.2</v>
      </c>
      <c r="R62" s="13" t="s">
        <v>446</v>
      </c>
      <c r="S62" s="20" t="s">
        <v>81</v>
      </c>
      <c r="T62" s="6" t="s">
        <v>82</v>
      </c>
      <c r="U62" s="13" t="s">
        <v>447</v>
      </c>
      <c r="V62" s="21"/>
      <c r="W62" s="22"/>
      <c r="X62" s="22"/>
      <c r="Y62" s="23"/>
    </row>
    <row r="63" customFormat="false" ht="30" hidden="false" customHeight="true" outlineLevel="0" collapsed="false">
      <c r="A63" s="6" t="n">
        <v>62</v>
      </c>
      <c r="B63" s="6" t="s">
        <v>411</v>
      </c>
      <c r="C63" s="6" t="s">
        <v>448</v>
      </c>
      <c r="D63" s="6" t="s">
        <v>449</v>
      </c>
      <c r="E63" s="6" t="s">
        <v>450</v>
      </c>
      <c r="F63" s="13" t="s">
        <v>451</v>
      </c>
      <c r="G63" s="6" t="s">
        <v>26</v>
      </c>
      <c r="H63" s="6" t="s">
        <v>28</v>
      </c>
      <c r="I63" s="14" t="n">
        <v>280000</v>
      </c>
      <c r="J63" s="15" t="n">
        <v>330000</v>
      </c>
      <c r="K63" s="15" t="n">
        <v>270000</v>
      </c>
      <c r="L63" s="6" t="s">
        <v>79</v>
      </c>
      <c r="M63" s="16" t="n">
        <v>38500000</v>
      </c>
      <c r="N63" s="17" t="n">
        <v>1</v>
      </c>
      <c r="O63" s="17" t="n">
        <v>25</v>
      </c>
      <c r="P63" s="18" t="n">
        <v>0.05</v>
      </c>
      <c r="Q63" s="19" t="n">
        <v>0.5</v>
      </c>
      <c r="R63" s="13" t="s">
        <v>452</v>
      </c>
      <c r="S63" s="25" t="s">
        <v>309</v>
      </c>
      <c r="T63" s="6" t="s">
        <v>82</v>
      </c>
      <c r="U63" s="13" t="s">
        <v>453</v>
      </c>
      <c r="V63" s="21"/>
      <c r="W63" s="22"/>
      <c r="X63" s="22"/>
      <c r="Y63" s="23"/>
    </row>
    <row r="64" customFormat="false" ht="30" hidden="false" customHeight="true" outlineLevel="0" collapsed="false">
      <c r="A64" s="6" t="n">
        <v>63</v>
      </c>
      <c r="B64" s="6" t="s">
        <v>411</v>
      </c>
      <c r="C64" s="6" t="s">
        <v>454</v>
      </c>
      <c r="D64" s="6" t="s">
        <v>455</v>
      </c>
      <c r="E64" s="6" t="s">
        <v>456</v>
      </c>
      <c r="F64" s="13" t="s">
        <v>457</v>
      </c>
      <c r="G64" s="6" t="s">
        <v>26</v>
      </c>
      <c r="H64" s="6" t="s">
        <v>28</v>
      </c>
      <c r="I64" s="14" t="n">
        <v>22000</v>
      </c>
      <c r="J64" s="15" t="n">
        <v>26000</v>
      </c>
      <c r="K64" s="15" t="n">
        <v>20000</v>
      </c>
      <c r="L64" s="6" t="s">
        <v>79</v>
      </c>
      <c r="M64" s="16" t="n">
        <v>3000000</v>
      </c>
      <c r="N64" s="17" t="n">
        <v>2</v>
      </c>
      <c r="O64" s="17" t="n">
        <v>12</v>
      </c>
      <c r="P64" s="18" t="n">
        <v>0.05</v>
      </c>
      <c r="Q64" s="19" t="n">
        <v>0.5</v>
      </c>
      <c r="R64" s="13" t="s">
        <v>458</v>
      </c>
      <c r="S64" s="20" t="s">
        <v>81</v>
      </c>
      <c r="T64" s="6" t="s">
        <v>82</v>
      </c>
      <c r="U64" s="13" t="s">
        <v>459</v>
      </c>
      <c r="V64" s="21"/>
      <c r="W64" s="22"/>
      <c r="X64" s="22"/>
      <c r="Y64" s="23"/>
    </row>
    <row r="65" customFormat="false" ht="30" hidden="false" customHeight="true" outlineLevel="0" collapsed="false">
      <c r="A65" s="6" t="n">
        <v>64</v>
      </c>
      <c r="B65" s="6" t="s">
        <v>411</v>
      </c>
      <c r="C65" s="6" t="s">
        <v>460</v>
      </c>
      <c r="D65" s="6" t="s">
        <v>461</v>
      </c>
      <c r="E65" s="6" t="s">
        <v>462</v>
      </c>
      <c r="F65" s="13" t="s">
        <v>463</v>
      </c>
      <c r="G65" s="6" t="s">
        <v>26</v>
      </c>
      <c r="H65" s="6" t="s">
        <v>30</v>
      </c>
      <c r="I65" s="14" t="n">
        <v>22000</v>
      </c>
      <c r="J65" s="15" t="n">
        <v>26000</v>
      </c>
      <c r="K65" s="15" t="n">
        <v>20000</v>
      </c>
      <c r="L65" s="6" t="s">
        <v>79</v>
      </c>
      <c r="M65" s="16" t="n">
        <v>3000000</v>
      </c>
      <c r="N65" s="17" t="n">
        <v>2</v>
      </c>
      <c r="O65" s="17" t="n">
        <v>12</v>
      </c>
      <c r="P65" s="18" t="n">
        <v>0.05</v>
      </c>
      <c r="Q65" s="19" t="n">
        <v>0</v>
      </c>
      <c r="R65" s="13" t="s">
        <v>464</v>
      </c>
      <c r="S65" s="20" t="s">
        <v>81</v>
      </c>
      <c r="T65" s="6" t="s">
        <v>82</v>
      </c>
      <c r="U65" s="13" t="s">
        <v>465</v>
      </c>
      <c r="V65" s="21"/>
      <c r="W65" s="22"/>
      <c r="X65" s="22"/>
      <c r="Y65" s="23"/>
    </row>
    <row r="66" customFormat="false" ht="30" hidden="false" customHeight="true" outlineLevel="0" collapsed="false">
      <c r="A66" s="6" t="n">
        <v>65</v>
      </c>
      <c r="B66" s="6" t="s">
        <v>466</v>
      </c>
      <c r="C66" s="6" t="s">
        <v>467</v>
      </c>
      <c r="D66" s="6" t="s">
        <v>468</v>
      </c>
      <c r="E66" s="6" t="s">
        <v>469</v>
      </c>
      <c r="F66" s="13" t="s">
        <v>470</v>
      </c>
      <c r="G66" s="6" t="s">
        <v>26</v>
      </c>
      <c r="H66" s="6" t="s">
        <v>30</v>
      </c>
      <c r="I66" s="14" t="n">
        <v>165000</v>
      </c>
      <c r="J66" s="15" t="n">
        <v>200000</v>
      </c>
      <c r="K66" s="15" t="n">
        <v>130000</v>
      </c>
      <c r="L66" s="6" t="s">
        <v>169</v>
      </c>
      <c r="M66" s="16" t="n">
        <v>20500000</v>
      </c>
      <c r="N66" s="17" t="n">
        <v>1</v>
      </c>
      <c r="O66" s="17" t="n">
        <v>12</v>
      </c>
      <c r="P66" s="18" t="n">
        <v>0.04</v>
      </c>
      <c r="Q66" s="19" t="n">
        <v>0</v>
      </c>
      <c r="R66" s="13" t="s">
        <v>471</v>
      </c>
      <c r="S66" s="24" t="s">
        <v>132</v>
      </c>
      <c r="T66" s="6" t="s">
        <v>82</v>
      </c>
      <c r="U66" s="13" t="s">
        <v>472</v>
      </c>
      <c r="V66" s="21"/>
      <c r="W66" s="22"/>
      <c r="X66" s="22"/>
      <c r="Y66" s="23"/>
    </row>
    <row r="67" customFormat="false" ht="30" hidden="false" customHeight="true" outlineLevel="0" collapsed="false">
      <c r="A67" s="6" t="n">
        <v>66</v>
      </c>
      <c r="B67" s="6" t="s">
        <v>466</v>
      </c>
      <c r="C67" s="6" t="s">
        <v>473</v>
      </c>
      <c r="D67" s="6" t="s">
        <v>474</v>
      </c>
      <c r="E67" s="6" t="s">
        <v>475</v>
      </c>
      <c r="F67" s="13" t="s">
        <v>476</v>
      </c>
      <c r="G67" s="6" t="s">
        <v>28</v>
      </c>
      <c r="H67" s="6" t="s">
        <v>30</v>
      </c>
      <c r="I67" s="14" t="n">
        <v>180000</v>
      </c>
      <c r="J67" s="15" t="n">
        <v>220000</v>
      </c>
      <c r="K67" s="15" t="n">
        <v>150000</v>
      </c>
      <c r="L67" s="6" t="s">
        <v>193</v>
      </c>
      <c r="M67" s="16" t="n">
        <v>12000000</v>
      </c>
      <c r="N67" s="17" t="n">
        <v>1</v>
      </c>
      <c r="O67" s="17" t="n">
        <v>7</v>
      </c>
      <c r="P67" s="18" t="n">
        <v>0</v>
      </c>
      <c r="Q67" s="19" t="n">
        <v>0.5</v>
      </c>
      <c r="R67" s="13" t="s">
        <v>477</v>
      </c>
      <c r="S67" s="20" t="s">
        <v>81</v>
      </c>
      <c r="T67" s="6" t="s">
        <v>82</v>
      </c>
      <c r="U67" s="13" t="s">
        <v>478</v>
      </c>
      <c r="V67" s="14" t="n">
        <v>90000</v>
      </c>
      <c r="W67" s="15" t="n">
        <v>110000</v>
      </c>
      <c r="X67" s="15" t="n">
        <v>75000</v>
      </c>
      <c r="Y67" s="16" t="n">
        <v>6000000</v>
      </c>
    </row>
    <row r="68" customFormat="false" ht="30" hidden="false" customHeight="true" outlineLevel="0" collapsed="false">
      <c r="A68" s="6" t="n">
        <v>67</v>
      </c>
      <c r="B68" s="6" t="s">
        <v>466</v>
      </c>
      <c r="C68" s="6" t="s">
        <v>479</v>
      </c>
      <c r="D68" s="6" t="s">
        <v>480</v>
      </c>
      <c r="E68" s="6" t="s">
        <v>481</v>
      </c>
      <c r="F68" s="13" t="s">
        <v>482</v>
      </c>
      <c r="G68" s="6" t="s">
        <v>32</v>
      </c>
      <c r="H68" s="6" t="s">
        <v>32</v>
      </c>
      <c r="I68" s="14" t="n">
        <v>1800000</v>
      </c>
      <c r="J68" s="15" t="n">
        <v>2200000</v>
      </c>
      <c r="K68" s="15" t="n">
        <v>1500000</v>
      </c>
      <c r="L68" s="6" t="s">
        <v>193</v>
      </c>
      <c r="M68" s="16" t="n">
        <v>0</v>
      </c>
      <c r="N68" s="17" t="n">
        <v>0</v>
      </c>
      <c r="O68" s="17" t="n">
        <v>10</v>
      </c>
      <c r="P68" s="18" t="n">
        <v>0</v>
      </c>
      <c r="Q68" s="19" t="n">
        <v>1</v>
      </c>
      <c r="R68" s="13" t="s">
        <v>483</v>
      </c>
      <c r="S68" s="20" t="s">
        <v>81</v>
      </c>
      <c r="T68" s="6" t="s">
        <v>82</v>
      </c>
      <c r="U68" s="13" t="s">
        <v>484</v>
      </c>
      <c r="V68" s="14" t="n">
        <v>350000</v>
      </c>
      <c r="W68" s="15" t="n">
        <v>420000</v>
      </c>
      <c r="X68" s="15" t="n">
        <v>300000</v>
      </c>
      <c r="Y68" s="16" t="n">
        <v>0</v>
      </c>
    </row>
    <row r="69" customFormat="false" ht="30" hidden="false" customHeight="true" outlineLevel="0" collapsed="false">
      <c r="A69" s="6" t="n">
        <v>68</v>
      </c>
      <c r="B69" s="6" t="s">
        <v>466</v>
      </c>
      <c r="C69" s="6" t="s">
        <v>485</v>
      </c>
      <c r="D69" s="6" t="s">
        <v>486</v>
      </c>
      <c r="E69" s="6" t="s">
        <v>487</v>
      </c>
      <c r="F69" s="13" t="s">
        <v>488</v>
      </c>
      <c r="G69" s="6" t="s">
        <v>26</v>
      </c>
      <c r="H69" s="6" t="s">
        <v>30</v>
      </c>
      <c r="I69" s="14" t="n">
        <v>90000</v>
      </c>
      <c r="J69" s="15" t="n">
        <v>110000</v>
      </c>
      <c r="K69" s="15" t="n">
        <v>75000</v>
      </c>
      <c r="L69" s="6" t="s">
        <v>193</v>
      </c>
      <c r="M69" s="16" t="n">
        <v>9500000</v>
      </c>
      <c r="N69" s="17" t="n">
        <v>1</v>
      </c>
      <c r="O69" s="17" t="n">
        <v>5</v>
      </c>
      <c r="P69" s="18" t="n">
        <v>0</v>
      </c>
      <c r="Q69" s="19" t="n">
        <v>0</v>
      </c>
      <c r="R69" s="13" t="s">
        <v>489</v>
      </c>
      <c r="S69" s="20" t="s">
        <v>81</v>
      </c>
      <c r="T69" s="6" t="s">
        <v>82</v>
      </c>
      <c r="U69" s="13" t="s">
        <v>490</v>
      </c>
      <c r="V69" s="14" t="n">
        <v>35000</v>
      </c>
      <c r="W69" s="15" t="n">
        <v>42000</v>
      </c>
      <c r="X69" s="15" t="n">
        <v>28000</v>
      </c>
      <c r="Y69" s="16" t="n">
        <v>2800000</v>
      </c>
    </row>
    <row r="70" customFormat="false" ht="30" hidden="false" customHeight="true" outlineLevel="0" collapsed="false">
      <c r="A70" s="6" t="n">
        <v>69</v>
      </c>
      <c r="B70" s="6" t="s">
        <v>466</v>
      </c>
      <c r="C70" s="6" t="s">
        <v>491</v>
      </c>
      <c r="D70" s="6" t="s">
        <v>492</v>
      </c>
      <c r="E70" s="6" t="s">
        <v>493</v>
      </c>
      <c r="F70" s="13" t="s">
        <v>494</v>
      </c>
      <c r="G70" s="6" t="s">
        <v>26</v>
      </c>
      <c r="H70" s="6" t="s">
        <v>30</v>
      </c>
      <c r="I70" s="14" t="n">
        <v>75000</v>
      </c>
      <c r="J70" s="15" t="n">
        <v>90000</v>
      </c>
      <c r="K70" s="15" t="n">
        <v>65000</v>
      </c>
      <c r="L70" s="6" t="s">
        <v>193</v>
      </c>
      <c r="M70" s="16" t="n">
        <v>8500000</v>
      </c>
      <c r="N70" s="17" t="n">
        <v>1</v>
      </c>
      <c r="O70" s="17" t="n">
        <v>5</v>
      </c>
      <c r="P70" s="18" t="n">
        <v>0</v>
      </c>
      <c r="Q70" s="19" t="n">
        <v>0.5</v>
      </c>
      <c r="R70" s="13" t="s">
        <v>495</v>
      </c>
      <c r="S70" s="25" t="s">
        <v>309</v>
      </c>
      <c r="T70" s="6" t="s">
        <v>82</v>
      </c>
      <c r="U70" s="13" t="s">
        <v>496</v>
      </c>
      <c r="V70" s="14" t="n">
        <v>60000</v>
      </c>
      <c r="W70" s="15" t="n">
        <v>72000</v>
      </c>
      <c r="X70" s="15" t="n">
        <v>55000</v>
      </c>
      <c r="Y70" s="16" t="n">
        <v>4000000</v>
      </c>
    </row>
    <row r="71" customFormat="false" ht="30" hidden="false" customHeight="true" outlineLevel="0" collapsed="false">
      <c r="A71" s="6" t="n">
        <v>70</v>
      </c>
      <c r="B71" s="6" t="s">
        <v>466</v>
      </c>
      <c r="C71" s="6" t="s">
        <v>497</v>
      </c>
      <c r="D71" s="6" t="s">
        <v>498</v>
      </c>
      <c r="E71" s="6" t="s">
        <v>499</v>
      </c>
      <c r="F71" s="13" t="s">
        <v>500</v>
      </c>
      <c r="G71" s="6" t="s">
        <v>26</v>
      </c>
      <c r="H71" s="6" t="s">
        <v>30</v>
      </c>
      <c r="I71" s="14" t="n">
        <v>220000</v>
      </c>
      <c r="J71" s="15" t="n">
        <v>260000</v>
      </c>
      <c r="K71" s="15" t="n">
        <v>170000</v>
      </c>
      <c r="L71" s="6" t="s">
        <v>193</v>
      </c>
      <c r="M71" s="16" t="n">
        <v>28000000</v>
      </c>
      <c r="N71" s="17" t="n">
        <v>1</v>
      </c>
      <c r="O71" s="17" t="n">
        <v>8</v>
      </c>
      <c r="P71" s="18" t="n">
        <v>0.1</v>
      </c>
      <c r="Q71" s="19" t="n">
        <v>0</v>
      </c>
      <c r="R71" s="13" t="s">
        <v>501</v>
      </c>
      <c r="S71" s="20" t="s">
        <v>81</v>
      </c>
      <c r="T71" s="6" t="s">
        <v>82</v>
      </c>
      <c r="U71" s="13" t="s">
        <v>502</v>
      </c>
      <c r="V71" s="21"/>
      <c r="W71" s="22"/>
      <c r="X71" s="22"/>
      <c r="Y71" s="23"/>
    </row>
    <row r="72" customFormat="false" ht="30" hidden="false" customHeight="true" outlineLevel="0" collapsed="false">
      <c r="A72" s="6" t="n">
        <v>71</v>
      </c>
      <c r="B72" s="6" t="s">
        <v>466</v>
      </c>
      <c r="C72" s="6" t="s">
        <v>503</v>
      </c>
      <c r="D72" s="6" t="s">
        <v>504</v>
      </c>
      <c r="E72" s="6" t="s">
        <v>505</v>
      </c>
      <c r="F72" s="13" t="s">
        <v>506</v>
      </c>
      <c r="G72" s="6" t="s">
        <v>26</v>
      </c>
      <c r="H72" s="6" t="s">
        <v>30</v>
      </c>
      <c r="I72" s="14" t="n">
        <v>45000</v>
      </c>
      <c r="J72" s="15" t="n">
        <v>55000</v>
      </c>
      <c r="K72" s="15" t="n">
        <v>38000</v>
      </c>
      <c r="L72" s="6" t="s">
        <v>193</v>
      </c>
      <c r="M72" s="16" t="n">
        <v>2500000</v>
      </c>
      <c r="N72" s="17" t="n">
        <v>1</v>
      </c>
      <c r="O72" s="17" t="n">
        <v>7</v>
      </c>
      <c r="P72" s="18" t="n">
        <v>0</v>
      </c>
      <c r="Q72" s="19" t="n">
        <v>0</v>
      </c>
      <c r="R72" s="13" t="s">
        <v>507</v>
      </c>
      <c r="S72" s="20" t="s">
        <v>81</v>
      </c>
      <c r="T72" s="6" t="s">
        <v>82</v>
      </c>
      <c r="U72" s="13" t="s">
        <v>508</v>
      </c>
      <c r="V72" s="14" t="n">
        <v>36000</v>
      </c>
      <c r="W72" s="15" t="n">
        <v>45000</v>
      </c>
      <c r="X72" s="15" t="n">
        <v>32000</v>
      </c>
      <c r="Y72" s="16" t="n">
        <v>1500000</v>
      </c>
    </row>
    <row r="73" customFormat="false" ht="30" hidden="false" customHeight="true" outlineLevel="0" collapsed="false">
      <c r="A73" s="6" t="n">
        <v>72</v>
      </c>
      <c r="B73" s="6" t="s">
        <v>466</v>
      </c>
      <c r="C73" s="6" t="s">
        <v>509</v>
      </c>
      <c r="D73" s="6" t="s">
        <v>510</v>
      </c>
      <c r="E73" s="6" t="s">
        <v>511</v>
      </c>
      <c r="F73" s="13" t="s">
        <v>512</v>
      </c>
      <c r="G73" s="6" t="s">
        <v>26</v>
      </c>
      <c r="H73" s="6" t="s">
        <v>30</v>
      </c>
      <c r="I73" s="14" t="n">
        <v>75000</v>
      </c>
      <c r="J73" s="15" t="n">
        <v>90000</v>
      </c>
      <c r="K73" s="15" t="n">
        <v>55000</v>
      </c>
      <c r="L73" s="6" t="s">
        <v>169</v>
      </c>
      <c r="M73" s="16" t="n">
        <v>7800000</v>
      </c>
      <c r="N73" s="17" t="n">
        <v>1</v>
      </c>
      <c r="O73" s="17" t="n">
        <v>10</v>
      </c>
      <c r="P73" s="18" t="n">
        <v>0.05</v>
      </c>
      <c r="Q73" s="19" t="n">
        <v>0</v>
      </c>
      <c r="R73" s="13" t="s">
        <v>513</v>
      </c>
      <c r="S73" s="24" t="s">
        <v>132</v>
      </c>
      <c r="T73" s="6" t="s">
        <v>82</v>
      </c>
      <c r="U73" s="13" t="s">
        <v>514</v>
      </c>
      <c r="V73" s="21"/>
      <c r="W73" s="22"/>
      <c r="X73" s="22"/>
      <c r="Y73" s="23"/>
    </row>
    <row r="74" customFormat="false" ht="30" hidden="false" customHeight="true" outlineLevel="0" collapsed="false">
      <c r="A74" s="6" t="n">
        <v>73</v>
      </c>
      <c r="B74" s="6" t="s">
        <v>466</v>
      </c>
      <c r="C74" s="6" t="s">
        <v>515</v>
      </c>
      <c r="D74" s="6" t="s">
        <v>516</v>
      </c>
      <c r="E74" s="6" t="s">
        <v>517</v>
      </c>
      <c r="F74" s="13" t="s">
        <v>518</v>
      </c>
      <c r="G74" s="6" t="s">
        <v>26</v>
      </c>
      <c r="H74" s="6" t="s">
        <v>30</v>
      </c>
      <c r="I74" s="14" t="n">
        <v>55000</v>
      </c>
      <c r="J74" s="15" t="n">
        <v>68000</v>
      </c>
      <c r="K74" s="15" t="n">
        <v>45000</v>
      </c>
      <c r="L74" s="6" t="s">
        <v>193</v>
      </c>
      <c r="M74" s="16" t="n">
        <v>3500000</v>
      </c>
      <c r="N74" s="17" t="n">
        <v>1</v>
      </c>
      <c r="O74" s="17" t="n">
        <v>7</v>
      </c>
      <c r="P74" s="18" t="n">
        <v>0</v>
      </c>
      <c r="Q74" s="19" t="n">
        <v>0</v>
      </c>
      <c r="R74" s="13" t="s">
        <v>519</v>
      </c>
      <c r="S74" s="20" t="s">
        <v>81</v>
      </c>
      <c r="T74" s="6" t="s">
        <v>82</v>
      </c>
      <c r="U74" s="13" t="s">
        <v>520</v>
      </c>
      <c r="V74" s="14" t="n">
        <v>28000</v>
      </c>
      <c r="W74" s="15" t="n">
        <v>35000</v>
      </c>
      <c r="X74" s="15" t="n">
        <v>22000</v>
      </c>
      <c r="Y74" s="16" t="n">
        <v>1500000</v>
      </c>
    </row>
    <row r="75" customFormat="false" ht="30" hidden="false" customHeight="true" outlineLevel="0" collapsed="false">
      <c r="A75" s="6" t="n">
        <v>74</v>
      </c>
      <c r="B75" s="6" t="s">
        <v>466</v>
      </c>
      <c r="C75" s="6" t="s">
        <v>521</v>
      </c>
      <c r="D75" s="6" t="s">
        <v>522</v>
      </c>
      <c r="E75" s="6" t="s">
        <v>523</v>
      </c>
      <c r="F75" s="13" t="s">
        <v>524</v>
      </c>
      <c r="G75" s="6" t="s">
        <v>26</v>
      </c>
      <c r="H75" s="6" t="s">
        <v>30</v>
      </c>
      <c r="I75" s="14" t="n">
        <v>95000</v>
      </c>
      <c r="J75" s="15" t="n">
        <v>115000</v>
      </c>
      <c r="K75" s="15" t="n">
        <v>75000</v>
      </c>
      <c r="L75" s="6" t="s">
        <v>169</v>
      </c>
      <c r="M75" s="16" t="n">
        <v>12500000</v>
      </c>
      <c r="N75" s="17" t="n">
        <v>1</v>
      </c>
      <c r="O75" s="17" t="n">
        <v>10</v>
      </c>
      <c r="P75" s="18" t="n">
        <v>0.06</v>
      </c>
      <c r="Q75" s="19" t="n">
        <v>0</v>
      </c>
      <c r="R75" s="13" t="s">
        <v>525</v>
      </c>
      <c r="S75" s="20" t="s">
        <v>81</v>
      </c>
      <c r="T75" s="6" t="s">
        <v>82</v>
      </c>
      <c r="U75" s="13" t="s">
        <v>526</v>
      </c>
      <c r="V75" s="21"/>
      <c r="W75" s="22"/>
      <c r="X75" s="22"/>
      <c r="Y75" s="23"/>
    </row>
    <row r="76" customFormat="false" ht="30" hidden="false" customHeight="true" outlineLevel="0" collapsed="false">
      <c r="A76" s="6" t="n">
        <v>75</v>
      </c>
      <c r="B76" s="6" t="s">
        <v>527</v>
      </c>
      <c r="C76" s="6" t="s">
        <v>244</v>
      </c>
      <c r="D76" s="6" t="s">
        <v>528</v>
      </c>
      <c r="E76" s="6" t="s">
        <v>529</v>
      </c>
      <c r="F76" s="13" t="s">
        <v>530</v>
      </c>
      <c r="G76" s="6" t="s">
        <v>30</v>
      </c>
      <c r="H76" s="6" t="s">
        <v>30</v>
      </c>
      <c r="I76" s="14" t="n">
        <v>35000</v>
      </c>
      <c r="J76" s="15" t="n">
        <v>40000</v>
      </c>
      <c r="K76" s="15" t="n">
        <v>28000</v>
      </c>
      <c r="L76" s="6" t="s">
        <v>169</v>
      </c>
      <c r="M76" s="16" t="n">
        <v>4800000</v>
      </c>
      <c r="N76" s="17" t="n">
        <v>2</v>
      </c>
      <c r="O76" s="17" t="n">
        <v>10</v>
      </c>
      <c r="P76" s="18" t="n">
        <v>0.05</v>
      </c>
      <c r="Q76" s="19" t="n">
        <v>0.5</v>
      </c>
      <c r="R76" s="13" t="s">
        <v>531</v>
      </c>
      <c r="S76" s="20" t="s">
        <v>81</v>
      </c>
      <c r="T76" s="6" t="s">
        <v>82</v>
      </c>
      <c r="U76" s="13" t="s">
        <v>532</v>
      </c>
      <c r="V76" s="21"/>
      <c r="W76" s="22"/>
      <c r="X76" s="22"/>
      <c r="Y76" s="23"/>
    </row>
    <row r="77" customFormat="false" ht="30" hidden="false" customHeight="true" outlineLevel="0" collapsed="false">
      <c r="A77" s="6" t="n">
        <v>76</v>
      </c>
      <c r="B77" s="6" t="s">
        <v>527</v>
      </c>
      <c r="C77" s="6" t="s">
        <v>533</v>
      </c>
      <c r="D77" s="6" t="s">
        <v>534</v>
      </c>
      <c r="E77" s="6" t="s">
        <v>535</v>
      </c>
      <c r="F77" s="13" t="s">
        <v>536</v>
      </c>
      <c r="G77" s="6" t="s">
        <v>30</v>
      </c>
      <c r="H77" s="6" t="s">
        <v>30</v>
      </c>
      <c r="I77" s="14" t="n">
        <v>35000</v>
      </c>
      <c r="J77" s="15" t="n">
        <v>40000</v>
      </c>
      <c r="K77" s="15" t="n">
        <v>28000</v>
      </c>
      <c r="L77" s="6" t="s">
        <v>169</v>
      </c>
      <c r="M77" s="16" t="n">
        <v>4800000</v>
      </c>
      <c r="N77" s="17" t="n">
        <v>3</v>
      </c>
      <c r="O77" s="17" t="n">
        <v>8</v>
      </c>
      <c r="P77" s="18" t="n">
        <v>0.05</v>
      </c>
      <c r="Q77" s="19" t="n">
        <v>0.3</v>
      </c>
      <c r="R77" s="13" t="s">
        <v>537</v>
      </c>
      <c r="S77" s="25" t="s">
        <v>309</v>
      </c>
      <c r="T77" s="6" t="s">
        <v>82</v>
      </c>
      <c r="U77" s="13" t="s">
        <v>538</v>
      </c>
      <c r="V77" s="21"/>
      <c r="W77" s="22"/>
      <c r="X77" s="22"/>
      <c r="Y77" s="23"/>
    </row>
    <row r="78" customFormat="false" ht="30" hidden="false" customHeight="true" outlineLevel="0" collapsed="false">
      <c r="A78" s="6" t="n">
        <v>77</v>
      </c>
      <c r="B78" s="6" t="s">
        <v>527</v>
      </c>
      <c r="C78" s="6" t="s">
        <v>539</v>
      </c>
      <c r="D78" s="6" t="s">
        <v>540</v>
      </c>
      <c r="E78" s="6" t="s">
        <v>541</v>
      </c>
      <c r="F78" s="13" t="s">
        <v>542</v>
      </c>
      <c r="G78" s="6" t="s">
        <v>28</v>
      </c>
      <c r="H78" s="6" t="s">
        <v>30</v>
      </c>
      <c r="I78" s="14" t="n">
        <v>3500</v>
      </c>
      <c r="J78" s="15" t="n">
        <v>4000</v>
      </c>
      <c r="K78" s="15" t="n">
        <v>2500</v>
      </c>
      <c r="L78" s="6" t="s">
        <v>169</v>
      </c>
      <c r="M78" s="16" t="n">
        <v>480000</v>
      </c>
      <c r="N78" s="17" t="n">
        <v>6</v>
      </c>
      <c r="O78" s="17" t="n">
        <v>10</v>
      </c>
      <c r="P78" s="18" t="n">
        <v>0.04</v>
      </c>
      <c r="Q78" s="19" t="n">
        <v>0</v>
      </c>
      <c r="R78" s="13" t="s">
        <v>543</v>
      </c>
      <c r="S78" s="24" t="s">
        <v>132</v>
      </c>
      <c r="T78" s="6" t="s">
        <v>82</v>
      </c>
      <c r="U78" s="13" t="s">
        <v>544</v>
      </c>
      <c r="V78" s="21"/>
      <c r="W78" s="22"/>
      <c r="X78" s="22"/>
      <c r="Y78" s="23"/>
    </row>
    <row r="79" customFormat="false" ht="30" hidden="false" customHeight="true" outlineLevel="0" collapsed="false">
      <c r="A79" s="6" t="n">
        <v>78</v>
      </c>
      <c r="B79" s="6" t="s">
        <v>527</v>
      </c>
      <c r="C79" s="6" t="s">
        <v>545</v>
      </c>
      <c r="D79" s="6" t="s">
        <v>546</v>
      </c>
      <c r="E79" s="6" t="s">
        <v>547</v>
      </c>
      <c r="F79" s="13" t="s">
        <v>548</v>
      </c>
      <c r="G79" s="6" t="s">
        <v>28</v>
      </c>
      <c r="H79" s="6" t="s">
        <v>30</v>
      </c>
      <c r="I79" s="14" t="n">
        <v>3500</v>
      </c>
      <c r="J79" s="15" t="n">
        <v>4000</v>
      </c>
      <c r="K79" s="15" t="n">
        <v>2500</v>
      </c>
      <c r="L79" s="6" t="s">
        <v>169</v>
      </c>
      <c r="M79" s="16" t="n">
        <v>480000</v>
      </c>
      <c r="N79" s="17" t="n">
        <v>8</v>
      </c>
      <c r="O79" s="17" t="n">
        <v>7</v>
      </c>
      <c r="P79" s="18" t="n">
        <v>0.06</v>
      </c>
      <c r="Q79" s="19" t="n">
        <v>0</v>
      </c>
      <c r="R79" s="13" t="s">
        <v>549</v>
      </c>
      <c r="S79" s="24" t="s">
        <v>132</v>
      </c>
      <c r="T79" s="6" t="s">
        <v>82</v>
      </c>
      <c r="U79" s="13" t="s">
        <v>550</v>
      </c>
      <c r="V79" s="21"/>
      <c r="W79" s="22"/>
      <c r="X79" s="22"/>
      <c r="Y79" s="23"/>
    </row>
    <row r="80" customFormat="false" ht="30" hidden="false" customHeight="true" outlineLevel="0" collapsed="false">
      <c r="A80" s="6" t="n">
        <v>79</v>
      </c>
      <c r="B80" s="6" t="s">
        <v>527</v>
      </c>
      <c r="C80" s="6" t="s">
        <v>551</v>
      </c>
      <c r="D80" s="6" t="s">
        <v>552</v>
      </c>
      <c r="E80" s="6" t="s">
        <v>553</v>
      </c>
      <c r="F80" s="13" t="s">
        <v>554</v>
      </c>
      <c r="G80" s="6" t="s">
        <v>30</v>
      </c>
      <c r="H80" s="6" t="s">
        <v>30</v>
      </c>
      <c r="I80" s="14" t="n">
        <v>18000</v>
      </c>
      <c r="J80" s="15" t="n">
        <v>0</v>
      </c>
      <c r="K80" s="15" t="n">
        <v>14000</v>
      </c>
      <c r="L80" s="6" t="s">
        <v>169</v>
      </c>
      <c r="M80" s="16" t="n">
        <v>2500000</v>
      </c>
      <c r="N80" s="17" t="n">
        <v>2</v>
      </c>
      <c r="O80" s="17" t="n">
        <v>10</v>
      </c>
      <c r="P80" s="18" t="n">
        <v>0.05</v>
      </c>
      <c r="Q80" s="19" t="n">
        <v>0.3</v>
      </c>
      <c r="R80" s="13" t="s">
        <v>555</v>
      </c>
      <c r="S80" s="20" t="s">
        <v>81</v>
      </c>
      <c r="T80" s="6" t="s">
        <v>82</v>
      </c>
      <c r="U80" s="13" t="s">
        <v>556</v>
      </c>
      <c r="V80" s="21"/>
      <c r="W80" s="22"/>
      <c r="X80" s="22"/>
      <c r="Y80" s="23"/>
    </row>
    <row r="81" customFormat="false" ht="30" hidden="false" customHeight="true" outlineLevel="0" collapsed="false">
      <c r="A81" s="6" t="n">
        <v>80</v>
      </c>
      <c r="B81" s="6" t="s">
        <v>557</v>
      </c>
      <c r="C81" s="6" t="s">
        <v>558</v>
      </c>
      <c r="D81" s="6" t="s">
        <v>559</v>
      </c>
      <c r="E81" s="6" t="s">
        <v>560</v>
      </c>
      <c r="F81" s="13" t="s">
        <v>561</v>
      </c>
      <c r="G81" s="6" t="s">
        <v>26</v>
      </c>
      <c r="H81" s="6" t="s">
        <v>30</v>
      </c>
      <c r="I81" s="14" t="n">
        <v>42000</v>
      </c>
      <c r="J81" s="15" t="n">
        <v>52000</v>
      </c>
      <c r="K81" s="15" t="n">
        <v>38000</v>
      </c>
      <c r="L81" s="6" t="s">
        <v>169</v>
      </c>
      <c r="M81" s="16" t="n">
        <v>5300000</v>
      </c>
      <c r="N81" s="17" t="n">
        <v>1</v>
      </c>
      <c r="O81" s="17" t="n">
        <v>15</v>
      </c>
      <c r="P81" s="18" t="n">
        <v>0.04</v>
      </c>
      <c r="Q81" s="19" t="n">
        <v>0</v>
      </c>
      <c r="R81" s="13" t="s">
        <v>562</v>
      </c>
      <c r="S81" s="20" t="s">
        <v>81</v>
      </c>
      <c r="T81" s="6" t="s">
        <v>82</v>
      </c>
      <c r="U81" s="13" t="s">
        <v>563</v>
      </c>
      <c r="V81" s="21"/>
      <c r="W81" s="22"/>
      <c r="X81" s="22"/>
      <c r="Y81" s="23"/>
    </row>
    <row r="82" customFormat="false" ht="30" hidden="false" customHeight="true" outlineLevel="0" collapsed="false">
      <c r="A82" s="6" t="n">
        <v>81</v>
      </c>
      <c r="B82" s="6" t="s">
        <v>557</v>
      </c>
      <c r="C82" s="6" t="s">
        <v>564</v>
      </c>
      <c r="D82" s="6" t="s">
        <v>565</v>
      </c>
      <c r="E82" s="6" t="s">
        <v>566</v>
      </c>
      <c r="F82" s="13" t="s">
        <v>567</v>
      </c>
      <c r="G82" s="6" t="s">
        <v>26</v>
      </c>
      <c r="H82" s="6" t="s">
        <v>28</v>
      </c>
      <c r="I82" s="14" t="n">
        <v>35000</v>
      </c>
      <c r="J82" s="15" t="n">
        <v>42000</v>
      </c>
      <c r="K82" s="15" t="n">
        <v>28000</v>
      </c>
      <c r="L82" s="6" t="s">
        <v>169</v>
      </c>
      <c r="M82" s="16" t="n">
        <v>4400000</v>
      </c>
      <c r="N82" s="17" t="n">
        <v>1</v>
      </c>
      <c r="O82" s="17" t="n">
        <v>12</v>
      </c>
      <c r="P82" s="18" t="n">
        <v>0.04</v>
      </c>
      <c r="Q82" s="19" t="n">
        <v>0</v>
      </c>
      <c r="R82" s="13" t="s">
        <v>568</v>
      </c>
      <c r="S82" s="20" t="s">
        <v>81</v>
      </c>
      <c r="T82" s="6" t="s">
        <v>82</v>
      </c>
      <c r="U82" s="13" t="s">
        <v>569</v>
      </c>
      <c r="V82" s="21"/>
      <c r="W82" s="22"/>
      <c r="X82" s="22"/>
      <c r="Y82" s="23"/>
    </row>
    <row r="83" customFormat="false" ht="30" hidden="false" customHeight="true" outlineLevel="0" collapsed="false">
      <c r="A83" s="6" t="n">
        <v>82</v>
      </c>
      <c r="B83" s="6" t="s">
        <v>557</v>
      </c>
      <c r="C83" s="6" t="s">
        <v>570</v>
      </c>
      <c r="D83" s="6" t="s">
        <v>571</v>
      </c>
      <c r="E83" s="6" t="s">
        <v>572</v>
      </c>
      <c r="F83" s="13" t="s">
        <v>573</v>
      </c>
      <c r="G83" s="6" t="s">
        <v>26</v>
      </c>
      <c r="H83" s="6" t="s">
        <v>30</v>
      </c>
      <c r="I83" s="14" t="n">
        <v>22000</v>
      </c>
      <c r="J83" s="15" t="n">
        <v>27000</v>
      </c>
      <c r="K83" s="15" t="n">
        <v>19000</v>
      </c>
      <c r="L83" s="6" t="s">
        <v>169</v>
      </c>
      <c r="M83" s="16" t="n">
        <v>2750000</v>
      </c>
      <c r="N83" s="17" t="n">
        <v>3</v>
      </c>
      <c r="O83" s="17" t="n">
        <v>12</v>
      </c>
      <c r="P83" s="18" t="n">
        <v>0.05</v>
      </c>
      <c r="Q83" s="19" t="n">
        <v>0</v>
      </c>
      <c r="R83" s="13" t="s">
        <v>574</v>
      </c>
      <c r="S83" s="24" t="s">
        <v>132</v>
      </c>
      <c r="T83" s="6" t="s">
        <v>82</v>
      </c>
      <c r="U83" s="13" t="s">
        <v>575</v>
      </c>
      <c r="V83" s="21"/>
      <c r="W83" s="22"/>
      <c r="X83" s="22"/>
      <c r="Y83" s="23"/>
    </row>
    <row r="84" customFormat="false" ht="30" hidden="false" customHeight="true" outlineLevel="0" collapsed="false">
      <c r="A84" s="6" t="n">
        <v>83</v>
      </c>
      <c r="B84" s="6" t="s">
        <v>557</v>
      </c>
      <c r="C84" s="6" t="s">
        <v>576</v>
      </c>
      <c r="D84" s="6" t="s">
        <v>577</v>
      </c>
      <c r="E84" s="6" t="s">
        <v>578</v>
      </c>
      <c r="F84" s="13" t="s">
        <v>579</v>
      </c>
      <c r="G84" s="6" t="s">
        <v>26</v>
      </c>
      <c r="H84" s="6" t="s">
        <v>28</v>
      </c>
      <c r="I84" s="14" t="n">
        <v>14500</v>
      </c>
      <c r="J84" s="15" t="n">
        <v>18000</v>
      </c>
      <c r="K84" s="15" t="n">
        <v>12000</v>
      </c>
      <c r="L84" s="6" t="s">
        <v>169</v>
      </c>
      <c r="M84" s="16" t="n">
        <v>1800000</v>
      </c>
      <c r="N84" s="17" t="n">
        <v>2</v>
      </c>
      <c r="O84" s="17" t="n">
        <v>12</v>
      </c>
      <c r="P84" s="18" t="n">
        <v>0.05</v>
      </c>
      <c r="Q84" s="19" t="n">
        <v>0</v>
      </c>
      <c r="R84" s="13" t="s">
        <v>580</v>
      </c>
      <c r="S84" s="24" t="s">
        <v>132</v>
      </c>
      <c r="T84" s="6" t="s">
        <v>82</v>
      </c>
      <c r="U84" s="13" t="s">
        <v>581</v>
      </c>
      <c r="V84" s="21"/>
      <c r="W84" s="22"/>
      <c r="X84" s="22"/>
      <c r="Y84" s="23"/>
    </row>
    <row r="85" customFormat="false" ht="30" hidden="false" customHeight="true" outlineLevel="0" collapsed="false">
      <c r="A85" s="6" t="n">
        <v>84</v>
      </c>
      <c r="B85" s="6" t="s">
        <v>557</v>
      </c>
      <c r="C85" s="6" t="s">
        <v>582</v>
      </c>
      <c r="D85" s="6" t="s">
        <v>583</v>
      </c>
      <c r="E85" s="6" t="s">
        <v>584</v>
      </c>
      <c r="F85" s="13" t="s">
        <v>585</v>
      </c>
      <c r="G85" s="6" t="s">
        <v>26</v>
      </c>
      <c r="H85" s="6" t="s">
        <v>30</v>
      </c>
      <c r="I85" s="14" t="n">
        <v>75000</v>
      </c>
      <c r="J85" s="15" t="n">
        <v>90000</v>
      </c>
      <c r="K85" s="15" t="n">
        <v>60000</v>
      </c>
      <c r="L85" s="6" t="s">
        <v>169</v>
      </c>
      <c r="M85" s="16" t="n">
        <v>9500000</v>
      </c>
      <c r="N85" s="17" t="n">
        <v>1</v>
      </c>
      <c r="O85" s="17" t="n">
        <v>12</v>
      </c>
      <c r="P85" s="18" t="n">
        <v>0.05</v>
      </c>
      <c r="Q85" s="19" t="n">
        <v>0</v>
      </c>
      <c r="R85" s="13" t="s">
        <v>586</v>
      </c>
      <c r="S85" s="24" t="s">
        <v>132</v>
      </c>
      <c r="T85" s="6" t="s">
        <v>82</v>
      </c>
      <c r="U85" s="13" t="s">
        <v>587</v>
      </c>
      <c r="V85" s="21"/>
      <c r="W85" s="22"/>
      <c r="X85" s="22"/>
      <c r="Y85" s="23"/>
    </row>
    <row r="86" customFormat="false" ht="30" hidden="false" customHeight="true" outlineLevel="0" collapsed="false">
      <c r="A86" s="6" t="n">
        <v>85</v>
      </c>
      <c r="B86" s="6" t="s">
        <v>557</v>
      </c>
      <c r="C86" s="6" t="s">
        <v>588</v>
      </c>
      <c r="D86" s="6" t="s">
        <v>589</v>
      </c>
      <c r="E86" s="6" t="s">
        <v>590</v>
      </c>
      <c r="F86" s="13" t="s">
        <v>591</v>
      </c>
      <c r="G86" s="6" t="s">
        <v>26</v>
      </c>
      <c r="H86" s="6" t="s">
        <v>30</v>
      </c>
      <c r="I86" s="14" t="n">
        <v>28000</v>
      </c>
      <c r="J86" s="15" t="n">
        <v>34000</v>
      </c>
      <c r="K86" s="15" t="n">
        <v>22000</v>
      </c>
      <c r="L86" s="6" t="s">
        <v>169</v>
      </c>
      <c r="M86" s="16" t="n">
        <v>3500000</v>
      </c>
      <c r="N86" s="17" t="n">
        <v>4</v>
      </c>
      <c r="O86" s="17" t="n">
        <v>10</v>
      </c>
      <c r="P86" s="18" t="n">
        <v>0.05</v>
      </c>
      <c r="Q86" s="19" t="n">
        <v>0</v>
      </c>
      <c r="R86" s="13" t="s">
        <v>592</v>
      </c>
      <c r="S86" s="24" t="s">
        <v>132</v>
      </c>
      <c r="T86" s="6" t="s">
        <v>82</v>
      </c>
      <c r="U86" s="13" t="s">
        <v>593</v>
      </c>
      <c r="V86" s="21"/>
      <c r="W86" s="22"/>
      <c r="X86" s="22"/>
      <c r="Y86" s="23"/>
    </row>
    <row r="87" customFormat="false" ht="30" hidden="false" customHeight="true" outlineLevel="0" collapsed="false">
      <c r="A87" s="6" t="n">
        <v>86</v>
      </c>
      <c r="B87" s="6" t="s">
        <v>557</v>
      </c>
      <c r="C87" s="6" t="s">
        <v>594</v>
      </c>
      <c r="D87" s="6" t="s">
        <v>595</v>
      </c>
      <c r="E87" s="6" t="s">
        <v>596</v>
      </c>
      <c r="F87" s="13" t="s">
        <v>597</v>
      </c>
      <c r="G87" s="6" t="s">
        <v>26</v>
      </c>
      <c r="H87" s="6" t="s">
        <v>30</v>
      </c>
      <c r="I87" s="14" t="n">
        <v>95000</v>
      </c>
      <c r="J87" s="15" t="n">
        <v>115000</v>
      </c>
      <c r="K87" s="15" t="n">
        <v>75000</v>
      </c>
      <c r="L87" s="6" t="s">
        <v>169</v>
      </c>
      <c r="M87" s="16" t="n">
        <v>12500000</v>
      </c>
      <c r="N87" s="17" t="n">
        <v>1</v>
      </c>
      <c r="O87" s="17" t="n">
        <v>20</v>
      </c>
      <c r="P87" s="18" t="n">
        <v>0.03</v>
      </c>
      <c r="Q87" s="19" t="n">
        <v>0</v>
      </c>
      <c r="R87" s="13" t="s">
        <v>598</v>
      </c>
      <c r="S87" s="20" t="s">
        <v>81</v>
      </c>
      <c r="T87" s="6" t="s">
        <v>82</v>
      </c>
      <c r="U87" s="13" t="s">
        <v>599</v>
      </c>
      <c r="V87" s="21"/>
      <c r="W87" s="22"/>
      <c r="X87" s="22"/>
      <c r="Y87" s="23"/>
    </row>
    <row r="88" customFormat="false" ht="30" hidden="false" customHeight="true" outlineLevel="0" collapsed="false">
      <c r="A88" s="6" t="n">
        <v>87</v>
      </c>
      <c r="B88" s="6" t="s">
        <v>557</v>
      </c>
      <c r="C88" s="6" t="s">
        <v>600</v>
      </c>
      <c r="D88" s="6" t="s">
        <v>601</v>
      </c>
      <c r="E88" s="6" t="s">
        <v>602</v>
      </c>
      <c r="F88" s="13" t="s">
        <v>603</v>
      </c>
      <c r="G88" s="6" t="s">
        <v>26</v>
      </c>
      <c r="H88" s="6" t="s">
        <v>30</v>
      </c>
      <c r="I88" s="14" t="n">
        <v>65000</v>
      </c>
      <c r="J88" s="15" t="n">
        <v>72000</v>
      </c>
      <c r="K88" s="15" t="n">
        <v>58000</v>
      </c>
      <c r="L88" s="6" t="s">
        <v>193</v>
      </c>
      <c r="M88" s="16" t="n">
        <v>8200000</v>
      </c>
      <c r="N88" s="17" t="n">
        <v>1</v>
      </c>
      <c r="O88" s="17" t="n">
        <v>10</v>
      </c>
      <c r="P88" s="18" t="n">
        <v>0.05</v>
      </c>
      <c r="Q88" s="19" t="n">
        <v>0</v>
      </c>
      <c r="R88" s="13" t="s">
        <v>604</v>
      </c>
      <c r="S88" s="20" t="s">
        <v>81</v>
      </c>
      <c r="T88" s="6" t="s">
        <v>82</v>
      </c>
      <c r="U88" s="13" t="s">
        <v>605</v>
      </c>
      <c r="V88" s="21"/>
      <c r="W88" s="22"/>
      <c r="X88" s="22"/>
      <c r="Y88" s="23"/>
    </row>
    <row r="89" customFormat="false" ht="30" hidden="false" customHeight="true" outlineLevel="0" collapsed="false">
      <c r="A89" s="6" t="n">
        <v>88</v>
      </c>
      <c r="B89" s="6" t="s">
        <v>557</v>
      </c>
      <c r="C89" s="6" t="s">
        <v>606</v>
      </c>
      <c r="D89" s="6" t="s">
        <v>607</v>
      </c>
      <c r="E89" s="6" t="s">
        <v>608</v>
      </c>
      <c r="F89" s="13" t="s">
        <v>609</v>
      </c>
      <c r="G89" s="6" t="s">
        <v>26</v>
      </c>
      <c r="H89" s="6" t="s">
        <v>30</v>
      </c>
      <c r="I89" s="14" t="n">
        <v>9500</v>
      </c>
      <c r="J89" s="15" t="n">
        <v>9900</v>
      </c>
      <c r="K89" s="15" t="n">
        <v>8500</v>
      </c>
      <c r="L89" s="6" t="s">
        <v>193</v>
      </c>
      <c r="M89" s="16" t="n">
        <v>1200000</v>
      </c>
      <c r="N89" s="17" t="n">
        <v>2</v>
      </c>
      <c r="O89" s="17" t="n">
        <v>8</v>
      </c>
      <c r="P89" s="18" t="n">
        <v>0.06</v>
      </c>
      <c r="Q89" s="19" t="n">
        <v>0</v>
      </c>
      <c r="R89" s="13" t="s">
        <v>610</v>
      </c>
      <c r="S89" s="24" t="s">
        <v>132</v>
      </c>
      <c r="T89" s="6" t="s">
        <v>82</v>
      </c>
      <c r="U89" s="13" t="s">
        <v>611</v>
      </c>
      <c r="V89" s="21"/>
      <c r="W89" s="22"/>
      <c r="X89" s="22"/>
      <c r="Y89" s="23"/>
    </row>
    <row r="90" customFormat="false" ht="30" hidden="false" customHeight="true" outlineLevel="0" collapsed="false">
      <c r="A90" s="6" t="n">
        <v>89</v>
      </c>
      <c r="B90" s="6" t="s">
        <v>557</v>
      </c>
      <c r="C90" s="6" t="s">
        <v>612</v>
      </c>
      <c r="D90" s="6" t="s">
        <v>613</v>
      </c>
      <c r="E90" s="6" t="s">
        <v>614</v>
      </c>
      <c r="F90" s="13" t="s">
        <v>615</v>
      </c>
      <c r="G90" s="6" t="s">
        <v>26</v>
      </c>
      <c r="H90" s="6" t="s">
        <v>30</v>
      </c>
      <c r="I90" s="14" t="n">
        <v>95000</v>
      </c>
      <c r="J90" s="15" t="n">
        <v>110000</v>
      </c>
      <c r="K90" s="15" t="n">
        <v>75000</v>
      </c>
      <c r="L90" s="6" t="s">
        <v>169</v>
      </c>
      <c r="M90" s="16" t="n">
        <v>12000000</v>
      </c>
      <c r="N90" s="17" t="n">
        <v>1</v>
      </c>
      <c r="O90" s="17" t="n">
        <v>15</v>
      </c>
      <c r="P90" s="18" t="n">
        <v>0.03</v>
      </c>
      <c r="Q90" s="19" t="n">
        <v>0</v>
      </c>
      <c r="R90" s="13" t="s">
        <v>616</v>
      </c>
      <c r="S90" s="20" t="s">
        <v>81</v>
      </c>
      <c r="T90" s="6" t="s">
        <v>82</v>
      </c>
      <c r="U90" s="13" t="s">
        <v>617</v>
      </c>
      <c r="V90" s="21"/>
      <c r="W90" s="22"/>
      <c r="X90" s="22"/>
      <c r="Y90" s="23"/>
    </row>
    <row r="91" customFormat="false" ht="30" hidden="false" customHeight="true" outlineLevel="0" collapsed="false">
      <c r="A91" s="6" t="n">
        <v>90</v>
      </c>
      <c r="B91" s="6" t="s">
        <v>557</v>
      </c>
      <c r="C91" s="6" t="s">
        <v>618</v>
      </c>
      <c r="D91" s="6" t="s">
        <v>619</v>
      </c>
      <c r="E91" s="6" t="s">
        <v>620</v>
      </c>
      <c r="F91" s="13" t="s">
        <v>621</v>
      </c>
      <c r="G91" s="6" t="s">
        <v>26</v>
      </c>
      <c r="H91" s="6" t="s">
        <v>30</v>
      </c>
      <c r="I91" s="14" t="n">
        <v>180000</v>
      </c>
      <c r="J91" s="15" t="n">
        <v>210000</v>
      </c>
      <c r="K91" s="15" t="n">
        <v>130000</v>
      </c>
      <c r="L91" s="6" t="s">
        <v>169</v>
      </c>
      <c r="M91" s="16" t="n">
        <v>22000000</v>
      </c>
      <c r="N91" s="17" t="n">
        <v>1</v>
      </c>
      <c r="O91" s="17" t="n">
        <v>5</v>
      </c>
      <c r="P91" s="18" t="n">
        <v>0.15</v>
      </c>
      <c r="Q91" s="19" t="n">
        <v>0</v>
      </c>
      <c r="R91" s="13" t="s">
        <v>622</v>
      </c>
      <c r="S91" s="20" t="s">
        <v>81</v>
      </c>
      <c r="T91" s="6" t="s">
        <v>82</v>
      </c>
      <c r="U91" s="13" t="s">
        <v>623</v>
      </c>
      <c r="V91" s="21"/>
      <c r="W91" s="22"/>
      <c r="X91" s="22"/>
      <c r="Y91" s="23"/>
    </row>
    <row r="92" customFormat="false" ht="30" hidden="false" customHeight="true" outlineLevel="0" collapsed="false">
      <c r="A92" s="6" t="n">
        <v>91</v>
      </c>
      <c r="B92" s="6" t="s">
        <v>557</v>
      </c>
      <c r="C92" s="6" t="s">
        <v>624</v>
      </c>
      <c r="D92" s="6" t="s">
        <v>625</v>
      </c>
      <c r="E92" s="6" t="s">
        <v>626</v>
      </c>
      <c r="F92" s="13" t="s">
        <v>627</v>
      </c>
      <c r="G92" s="6" t="s">
        <v>26</v>
      </c>
      <c r="H92" s="6" t="s">
        <v>30</v>
      </c>
      <c r="I92" s="14" t="n">
        <v>120000</v>
      </c>
      <c r="J92" s="15" t="n">
        <v>140000</v>
      </c>
      <c r="K92" s="15" t="n">
        <v>80000</v>
      </c>
      <c r="L92" s="6" t="s">
        <v>169</v>
      </c>
      <c r="M92" s="16" t="n">
        <v>13000000</v>
      </c>
      <c r="N92" s="17" t="n">
        <v>1</v>
      </c>
      <c r="O92" s="17" t="n">
        <v>20</v>
      </c>
      <c r="P92" s="18" t="n">
        <v>0.01</v>
      </c>
      <c r="Q92" s="19" t="n">
        <v>0</v>
      </c>
      <c r="R92" s="13" t="s">
        <v>628</v>
      </c>
      <c r="S92" s="20" t="s">
        <v>81</v>
      </c>
      <c r="T92" s="6" t="s">
        <v>82</v>
      </c>
      <c r="U92" s="13" t="s">
        <v>629</v>
      </c>
      <c r="V92" s="21"/>
      <c r="W92" s="22"/>
      <c r="X92" s="22"/>
      <c r="Y92" s="23"/>
    </row>
    <row r="93" customFormat="false" ht="30" hidden="false" customHeight="true" outlineLevel="0" collapsed="false">
      <c r="A93" s="6" t="n">
        <v>92</v>
      </c>
      <c r="B93" s="6" t="s">
        <v>557</v>
      </c>
      <c r="C93" s="6" t="s">
        <v>630</v>
      </c>
      <c r="D93" s="6" t="s">
        <v>631</v>
      </c>
      <c r="E93" s="6" t="s">
        <v>632</v>
      </c>
      <c r="F93" s="13" t="s">
        <v>633</v>
      </c>
      <c r="G93" s="6" t="s">
        <v>26</v>
      </c>
      <c r="H93" s="6" t="s">
        <v>30</v>
      </c>
      <c r="I93" s="14" t="n">
        <v>38000</v>
      </c>
      <c r="J93" s="15" t="n">
        <v>45000</v>
      </c>
      <c r="K93" s="15" t="n">
        <v>28000</v>
      </c>
      <c r="L93" s="6" t="s">
        <v>169</v>
      </c>
      <c r="M93" s="16" t="n">
        <v>4800000</v>
      </c>
      <c r="N93" s="17" t="n">
        <v>1</v>
      </c>
      <c r="O93" s="17" t="n">
        <v>10</v>
      </c>
      <c r="P93" s="18" t="n">
        <v>0.05</v>
      </c>
      <c r="Q93" s="19" t="n">
        <v>0</v>
      </c>
      <c r="R93" s="13" t="s">
        <v>634</v>
      </c>
      <c r="S93" s="20" t="s">
        <v>81</v>
      </c>
      <c r="T93" s="6" t="s">
        <v>82</v>
      </c>
      <c r="U93" s="13" t="s">
        <v>635</v>
      </c>
      <c r="V93" s="21"/>
      <c r="W93" s="22"/>
      <c r="X93" s="22"/>
      <c r="Y93" s="23"/>
    </row>
    <row r="94" customFormat="false" ht="30" hidden="false" customHeight="true" outlineLevel="0" collapsed="false">
      <c r="A94" s="6" t="n">
        <v>93</v>
      </c>
      <c r="B94" s="6" t="s">
        <v>557</v>
      </c>
      <c r="C94" s="6" t="s">
        <v>636</v>
      </c>
      <c r="D94" s="6" t="s">
        <v>637</v>
      </c>
      <c r="E94" s="6" t="s">
        <v>638</v>
      </c>
      <c r="F94" s="13" t="s">
        <v>639</v>
      </c>
      <c r="G94" s="6" t="s">
        <v>26</v>
      </c>
      <c r="H94" s="6" t="s">
        <v>30</v>
      </c>
      <c r="I94" s="14" t="n">
        <v>85000</v>
      </c>
      <c r="J94" s="15" t="n">
        <v>95000</v>
      </c>
      <c r="K94" s="15" t="n">
        <v>65000</v>
      </c>
      <c r="L94" s="6" t="s">
        <v>169</v>
      </c>
      <c r="M94" s="16" t="n">
        <v>11000000</v>
      </c>
      <c r="N94" s="17" t="n">
        <v>1</v>
      </c>
      <c r="O94" s="17" t="n">
        <v>15</v>
      </c>
      <c r="P94" s="18" t="n">
        <v>0.04</v>
      </c>
      <c r="Q94" s="19" t="n">
        <v>0</v>
      </c>
      <c r="R94" s="13" t="s">
        <v>640</v>
      </c>
      <c r="S94" s="24" t="s">
        <v>132</v>
      </c>
      <c r="T94" s="6" t="s">
        <v>82</v>
      </c>
      <c r="U94" s="13" t="s">
        <v>641</v>
      </c>
      <c r="V94" s="21"/>
      <c r="W94" s="22"/>
      <c r="X94" s="22"/>
      <c r="Y94" s="23"/>
    </row>
    <row r="95" customFormat="false" ht="30" hidden="false" customHeight="true" outlineLevel="0" collapsed="false">
      <c r="A95" s="6" t="n">
        <v>94</v>
      </c>
      <c r="B95" s="6" t="s">
        <v>642</v>
      </c>
      <c r="C95" s="6" t="s">
        <v>643</v>
      </c>
      <c r="D95" s="6" t="s">
        <v>644</v>
      </c>
      <c r="E95" s="6" t="s">
        <v>645</v>
      </c>
      <c r="F95" s="13" t="s">
        <v>646</v>
      </c>
      <c r="G95" s="6" t="s">
        <v>28</v>
      </c>
      <c r="H95" s="6" t="s">
        <v>30</v>
      </c>
      <c r="I95" s="14" t="n">
        <v>0</v>
      </c>
      <c r="J95" s="15" t="n">
        <v>0</v>
      </c>
      <c r="K95" s="15" t="n">
        <v>0</v>
      </c>
      <c r="L95" s="6" t="s">
        <v>193</v>
      </c>
      <c r="M95" s="16" t="n">
        <v>0</v>
      </c>
      <c r="N95" s="17" t="n">
        <v>0</v>
      </c>
      <c r="O95" s="17" t="n">
        <v>0</v>
      </c>
      <c r="P95" s="18" t="n">
        <v>0</v>
      </c>
      <c r="Q95" s="19" t="n">
        <v>0</v>
      </c>
      <c r="R95" s="13" t="s">
        <v>647</v>
      </c>
      <c r="S95" s="24" t="s">
        <v>132</v>
      </c>
      <c r="T95" s="6" t="s">
        <v>82</v>
      </c>
      <c r="U95" s="13" t="s">
        <v>648</v>
      </c>
      <c r="V95" s="21"/>
      <c r="W95" s="22"/>
      <c r="X95" s="22"/>
      <c r="Y95" s="23"/>
    </row>
    <row r="96" customFormat="false" ht="30" hidden="false" customHeight="true" outlineLevel="0" collapsed="false">
      <c r="A96" s="6" t="n">
        <v>95</v>
      </c>
      <c r="B96" s="6" t="s">
        <v>642</v>
      </c>
      <c r="C96" s="6" t="s">
        <v>649</v>
      </c>
      <c r="D96" s="6" t="s">
        <v>650</v>
      </c>
      <c r="E96" s="6" t="s">
        <v>651</v>
      </c>
      <c r="F96" s="13" t="s">
        <v>652</v>
      </c>
      <c r="G96" s="6" t="s">
        <v>28</v>
      </c>
      <c r="H96" s="6" t="s">
        <v>30</v>
      </c>
      <c r="I96" s="14" t="n">
        <v>70000</v>
      </c>
      <c r="J96" s="15" t="n">
        <v>80000</v>
      </c>
      <c r="K96" s="15" t="n">
        <v>55000</v>
      </c>
      <c r="L96" s="6" t="s">
        <v>169</v>
      </c>
      <c r="M96" s="16" t="n">
        <v>9700000</v>
      </c>
      <c r="N96" s="17" t="n">
        <v>1</v>
      </c>
      <c r="O96" s="17" t="n">
        <v>8</v>
      </c>
      <c r="P96" s="18" t="n">
        <v>0.1</v>
      </c>
      <c r="Q96" s="19" t="n">
        <v>0.5</v>
      </c>
      <c r="R96" s="13" t="s">
        <v>653</v>
      </c>
      <c r="S96" s="20" t="s">
        <v>81</v>
      </c>
      <c r="T96" s="6" t="s">
        <v>82</v>
      </c>
      <c r="U96" s="13" t="s">
        <v>654</v>
      </c>
      <c r="V96" s="21"/>
      <c r="W96" s="22"/>
      <c r="X96" s="22"/>
      <c r="Y96" s="23"/>
    </row>
    <row r="97" customFormat="false" ht="30" hidden="false" customHeight="true" outlineLevel="0" collapsed="false">
      <c r="A97" s="6" t="n">
        <v>96</v>
      </c>
      <c r="B97" s="6" t="s">
        <v>642</v>
      </c>
      <c r="C97" s="6" t="s">
        <v>655</v>
      </c>
      <c r="D97" s="6" t="s">
        <v>656</v>
      </c>
      <c r="E97" s="6" t="s">
        <v>657</v>
      </c>
      <c r="F97" s="13" t="s">
        <v>658</v>
      </c>
      <c r="G97" s="6" t="s">
        <v>28</v>
      </c>
      <c r="H97" s="6" t="s">
        <v>30</v>
      </c>
      <c r="I97" s="14" t="n">
        <v>20000</v>
      </c>
      <c r="J97" s="15" t="n">
        <v>23000</v>
      </c>
      <c r="K97" s="15" t="n">
        <v>15000</v>
      </c>
      <c r="L97" s="6" t="s">
        <v>659</v>
      </c>
      <c r="M97" s="16" t="n">
        <v>2750000</v>
      </c>
      <c r="N97" s="17" t="n">
        <v>2</v>
      </c>
      <c r="O97" s="17" t="n">
        <v>8</v>
      </c>
      <c r="P97" s="18" t="n">
        <v>0.04</v>
      </c>
      <c r="Q97" s="19" t="n">
        <v>0</v>
      </c>
      <c r="R97" s="13" t="s">
        <v>660</v>
      </c>
      <c r="S97" s="24" t="s">
        <v>132</v>
      </c>
      <c r="T97" s="6" t="s">
        <v>82</v>
      </c>
      <c r="U97" s="13" t="s">
        <v>661</v>
      </c>
      <c r="V97" s="21"/>
      <c r="W97" s="22"/>
      <c r="X97" s="22"/>
      <c r="Y97" s="23"/>
    </row>
    <row r="98" customFormat="false" ht="30" hidden="false" customHeight="true" outlineLevel="0" collapsed="false">
      <c r="A98" s="6" t="n">
        <v>97</v>
      </c>
      <c r="B98" s="6" t="s">
        <v>642</v>
      </c>
      <c r="C98" s="6" t="s">
        <v>662</v>
      </c>
      <c r="D98" s="6" t="s">
        <v>663</v>
      </c>
      <c r="E98" s="6" t="s">
        <v>664</v>
      </c>
      <c r="F98" s="13" t="s">
        <v>665</v>
      </c>
      <c r="G98" s="6" t="s">
        <v>28</v>
      </c>
      <c r="H98" s="6" t="s">
        <v>30</v>
      </c>
      <c r="I98" s="14" t="n">
        <v>0</v>
      </c>
      <c r="J98" s="15" t="n">
        <v>0</v>
      </c>
      <c r="K98" s="15" t="n">
        <v>0</v>
      </c>
      <c r="L98" s="6" t="s">
        <v>193</v>
      </c>
      <c r="M98" s="16" t="n">
        <v>0</v>
      </c>
      <c r="N98" s="17" t="n">
        <v>0</v>
      </c>
      <c r="O98" s="17" t="n">
        <v>0</v>
      </c>
      <c r="P98" s="18" t="n">
        <v>0</v>
      </c>
      <c r="Q98" s="19" t="n">
        <v>0</v>
      </c>
      <c r="R98" s="13" t="s">
        <v>666</v>
      </c>
      <c r="S98" s="24" t="s">
        <v>132</v>
      </c>
      <c r="T98" s="6" t="s">
        <v>82</v>
      </c>
      <c r="U98" s="13" t="s">
        <v>667</v>
      </c>
      <c r="V98" s="21"/>
      <c r="W98" s="22"/>
      <c r="X98" s="22"/>
      <c r="Y98" s="23"/>
    </row>
    <row r="99" customFormat="false" ht="30" hidden="false" customHeight="true" outlineLevel="0" collapsed="false">
      <c r="A99" s="6" t="n">
        <v>98</v>
      </c>
      <c r="B99" s="6" t="s">
        <v>642</v>
      </c>
      <c r="C99" s="6" t="s">
        <v>668</v>
      </c>
      <c r="D99" s="6" t="s">
        <v>669</v>
      </c>
      <c r="E99" s="6" t="s">
        <v>670</v>
      </c>
      <c r="F99" s="13" t="s">
        <v>671</v>
      </c>
      <c r="G99" s="6" t="s">
        <v>28</v>
      </c>
      <c r="H99" s="6" t="s">
        <v>30</v>
      </c>
      <c r="I99" s="14" t="n">
        <v>35000</v>
      </c>
      <c r="J99" s="15" t="n">
        <v>40000</v>
      </c>
      <c r="K99" s="15" t="n">
        <v>25000</v>
      </c>
      <c r="L99" s="6" t="s">
        <v>169</v>
      </c>
      <c r="M99" s="16" t="n">
        <v>4800000</v>
      </c>
      <c r="N99" s="17" t="n">
        <v>1</v>
      </c>
      <c r="O99" s="17" t="n">
        <v>8</v>
      </c>
      <c r="P99" s="18" t="n">
        <v>0.1</v>
      </c>
      <c r="Q99" s="19" t="n">
        <v>0.2</v>
      </c>
      <c r="R99" s="13" t="s">
        <v>672</v>
      </c>
      <c r="S99" s="20" t="s">
        <v>81</v>
      </c>
      <c r="T99" s="6" t="s">
        <v>82</v>
      </c>
      <c r="U99" s="13" t="s">
        <v>673</v>
      </c>
      <c r="V99" s="21"/>
      <c r="W99" s="22"/>
      <c r="X99" s="22"/>
      <c r="Y99" s="23"/>
    </row>
    <row r="100" customFormat="false" ht="30" hidden="false" customHeight="true" outlineLevel="0" collapsed="false">
      <c r="A100" s="6" t="n">
        <v>99</v>
      </c>
      <c r="B100" s="6" t="s">
        <v>642</v>
      </c>
      <c r="C100" s="6" t="s">
        <v>674</v>
      </c>
      <c r="D100" s="6" t="s">
        <v>675</v>
      </c>
      <c r="E100" s="6" t="s">
        <v>676</v>
      </c>
      <c r="F100" s="13" t="s">
        <v>677</v>
      </c>
      <c r="G100" s="6" t="s">
        <v>28</v>
      </c>
      <c r="H100" s="6" t="s">
        <v>30</v>
      </c>
      <c r="I100" s="14" t="n">
        <v>0</v>
      </c>
      <c r="J100" s="15" t="n">
        <v>0</v>
      </c>
      <c r="K100" s="15" t="n">
        <v>0</v>
      </c>
      <c r="L100" s="6" t="s">
        <v>193</v>
      </c>
      <c r="M100" s="16" t="n">
        <v>0</v>
      </c>
      <c r="N100" s="17" t="n">
        <v>0</v>
      </c>
      <c r="O100" s="17" t="n">
        <v>0</v>
      </c>
      <c r="P100" s="18" t="n">
        <v>0</v>
      </c>
      <c r="Q100" s="19" t="n">
        <v>0</v>
      </c>
      <c r="R100" s="13" t="s">
        <v>678</v>
      </c>
      <c r="S100" s="24" t="s">
        <v>132</v>
      </c>
      <c r="T100" s="6" t="s">
        <v>82</v>
      </c>
      <c r="U100" s="13" t="s">
        <v>679</v>
      </c>
      <c r="V100" s="21"/>
      <c r="W100" s="22"/>
      <c r="X100" s="22"/>
      <c r="Y100" s="23"/>
    </row>
    <row r="101" customFormat="false" ht="30" hidden="false" customHeight="true" outlineLevel="0" collapsed="false">
      <c r="A101" s="6" t="n">
        <v>100</v>
      </c>
      <c r="B101" s="6" t="s">
        <v>642</v>
      </c>
      <c r="C101" s="6" t="s">
        <v>680</v>
      </c>
      <c r="D101" s="6" t="s">
        <v>681</v>
      </c>
      <c r="E101" s="6" t="s">
        <v>682</v>
      </c>
      <c r="F101" s="13" t="s">
        <v>683</v>
      </c>
      <c r="G101" s="6" t="s">
        <v>28</v>
      </c>
      <c r="H101" s="6" t="s">
        <v>30</v>
      </c>
      <c r="I101" s="14" t="n">
        <v>0</v>
      </c>
      <c r="J101" s="15" t="n">
        <v>0</v>
      </c>
      <c r="K101" s="15" t="n">
        <v>0</v>
      </c>
      <c r="L101" s="6" t="s">
        <v>193</v>
      </c>
      <c r="M101" s="16" t="n">
        <v>0</v>
      </c>
      <c r="N101" s="17" t="n">
        <v>0</v>
      </c>
      <c r="O101" s="17" t="n">
        <v>0</v>
      </c>
      <c r="P101" s="18" t="n">
        <v>0</v>
      </c>
      <c r="Q101" s="19" t="n">
        <v>0</v>
      </c>
      <c r="R101" s="13" t="s">
        <v>684</v>
      </c>
      <c r="S101" s="24" t="s">
        <v>132</v>
      </c>
      <c r="T101" s="6" t="s">
        <v>82</v>
      </c>
      <c r="U101" s="13" t="s">
        <v>685</v>
      </c>
      <c r="V101" s="21"/>
      <c r="W101" s="22"/>
      <c r="X101" s="22"/>
      <c r="Y101" s="23"/>
    </row>
    <row r="102" customFormat="false" ht="30" hidden="false" customHeight="true" outlineLevel="0" collapsed="false">
      <c r="A102" s="6" t="n">
        <v>101</v>
      </c>
      <c r="B102" s="6" t="s">
        <v>642</v>
      </c>
      <c r="C102" s="6" t="s">
        <v>686</v>
      </c>
      <c r="D102" s="6" t="s">
        <v>687</v>
      </c>
      <c r="E102" s="6" t="s">
        <v>688</v>
      </c>
      <c r="F102" s="13" t="s">
        <v>689</v>
      </c>
      <c r="G102" s="6" t="s">
        <v>28</v>
      </c>
      <c r="H102" s="6" t="s">
        <v>30</v>
      </c>
      <c r="I102" s="14" t="n">
        <v>45000</v>
      </c>
      <c r="J102" s="15" t="n">
        <v>50000</v>
      </c>
      <c r="K102" s="15" t="n">
        <v>35000</v>
      </c>
      <c r="L102" s="6" t="s">
        <v>169</v>
      </c>
      <c r="M102" s="16" t="n">
        <v>6200000</v>
      </c>
      <c r="N102" s="17" t="n">
        <v>1</v>
      </c>
      <c r="O102" s="17" t="n">
        <v>8</v>
      </c>
      <c r="P102" s="18" t="n">
        <v>0.1</v>
      </c>
      <c r="Q102" s="19" t="n">
        <v>0.5</v>
      </c>
      <c r="R102" s="13" t="s">
        <v>690</v>
      </c>
      <c r="S102" s="24" t="s">
        <v>132</v>
      </c>
      <c r="T102" s="6" t="s">
        <v>82</v>
      </c>
      <c r="U102" s="13" t="s">
        <v>691</v>
      </c>
      <c r="V102" s="21"/>
      <c r="W102" s="22"/>
      <c r="X102" s="22"/>
      <c r="Y102" s="23"/>
    </row>
    <row r="103" customFormat="false" ht="30" hidden="false" customHeight="true" outlineLevel="0" collapsed="false">
      <c r="A103" s="6" t="n">
        <v>102</v>
      </c>
      <c r="B103" s="6" t="s">
        <v>642</v>
      </c>
      <c r="C103" s="6" t="s">
        <v>692</v>
      </c>
      <c r="D103" s="6" t="s">
        <v>693</v>
      </c>
      <c r="E103" s="6" t="s">
        <v>694</v>
      </c>
      <c r="F103" s="13" t="s">
        <v>695</v>
      </c>
      <c r="G103" s="6" t="s">
        <v>28</v>
      </c>
      <c r="H103" s="6" t="s">
        <v>30</v>
      </c>
      <c r="I103" s="14" t="n">
        <v>75000</v>
      </c>
      <c r="J103" s="15" t="n">
        <v>85000</v>
      </c>
      <c r="K103" s="15" t="n">
        <v>60000</v>
      </c>
      <c r="L103" s="6" t="s">
        <v>169</v>
      </c>
      <c r="M103" s="16" t="n">
        <v>10400000</v>
      </c>
      <c r="N103" s="17" t="n">
        <v>1</v>
      </c>
      <c r="O103" s="17" t="n">
        <v>8</v>
      </c>
      <c r="P103" s="18" t="n">
        <v>0.1</v>
      </c>
      <c r="Q103" s="19" t="n">
        <v>0.3</v>
      </c>
      <c r="R103" s="13" t="s">
        <v>696</v>
      </c>
      <c r="S103" s="24" t="s">
        <v>132</v>
      </c>
      <c r="T103" s="6" t="s">
        <v>82</v>
      </c>
      <c r="U103" s="13" t="s">
        <v>697</v>
      </c>
      <c r="V103" s="21"/>
      <c r="W103" s="22"/>
      <c r="X103" s="22"/>
      <c r="Y103" s="23"/>
    </row>
    <row r="104" customFormat="false" ht="30" hidden="false" customHeight="true" outlineLevel="0" collapsed="false">
      <c r="A104" s="6" t="n">
        <v>103</v>
      </c>
      <c r="B104" s="6" t="s">
        <v>642</v>
      </c>
      <c r="C104" s="6" t="s">
        <v>698</v>
      </c>
      <c r="D104" s="6" t="s">
        <v>699</v>
      </c>
      <c r="E104" s="6" t="s">
        <v>700</v>
      </c>
      <c r="F104" s="13" t="s">
        <v>701</v>
      </c>
      <c r="G104" s="6" t="s">
        <v>28</v>
      </c>
      <c r="H104" s="6" t="s">
        <v>30</v>
      </c>
      <c r="I104" s="14" t="n">
        <v>0</v>
      </c>
      <c r="J104" s="15" t="n">
        <v>0</v>
      </c>
      <c r="K104" s="15" t="n">
        <v>0</v>
      </c>
      <c r="L104" s="6" t="s">
        <v>193</v>
      </c>
      <c r="M104" s="16" t="n">
        <v>0</v>
      </c>
      <c r="N104" s="17" t="n">
        <v>0</v>
      </c>
      <c r="O104" s="17" t="n">
        <v>0</v>
      </c>
      <c r="P104" s="18" t="n">
        <v>0</v>
      </c>
      <c r="Q104" s="19" t="n">
        <v>0</v>
      </c>
      <c r="R104" s="13" t="s">
        <v>702</v>
      </c>
      <c r="S104" s="24" t="s">
        <v>132</v>
      </c>
      <c r="T104" s="6" t="s">
        <v>82</v>
      </c>
      <c r="U104" s="13" t="s">
        <v>703</v>
      </c>
      <c r="V104" s="21"/>
      <c r="W104" s="22"/>
      <c r="X104" s="22"/>
      <c r="Y104" s="23"/>
    </row>
    <row r="105" customFormat="false" ht="30" hidden="false" customHeight="true" outlineLevel="0" collapsed="false">
      <c r="A105" s="6" t="n">
        <v>104</v>
      </c>
      <c r="B105" s="6" t="s">
        <v>704</v>
      </c>
      <c r="C105" s="6" t="s">
        <v>705</v>
      </c>
      <c r="D105" s="6" t="s">
        <v>706</v>
      </c>
      <c r="E105" s="6" t="s">
        <v>707</v>
      </c>
      <c r="F105" s="13" t="s">
        <v>708</v>
      </c>
      <c r="G105" s="6" t="s">
        <v>30</v>
      </c>
      <c r="H105" s="6" t="s">
        <v>30</v>
      </c>
      <c r="I105" s="14" t="n">
        <v>280000</v>
      </c>
      <c r="J105" s="15" t="n">
        <v>340000</v>
      </c>
      <c r="K105" s="15" t="n">
        <v>220000</v>
      </c>
      <c r="L105" s="6" t="s">
        <v>193</v>
      </c>
      <c r="M105" s="16" t="n">
        <v>36000000</v>
      </c>
      <c r="N105" s="17" t="n">
        <v>1</v>
      </c>
      <c r="O105" s="17" t="n">
        <v>20</v>
      </c>
      <c r="P105" s="18" t="n">
        <v>0.05</v>
      </c>
      <c r="Q105" s="19" t="n">
        <v>0</v>
      </c>
      <c r="R105" s="13" t="s">
        <v>709</v>
      </c>
      <c r="S105" s="25" t="s">
        <v>309</v>
      </c>
      <c r="T105" s="6" t="s">
        <v>82</v>
      </c>
      <c r="U105" s="13" t="s">
        <v>710</v>
      </c>
      <c r="V105" s="21"/>
      <c r="W105" s="22"/>
      <c r="X105" s="22"/>
      <c r="Y105" s="23"/>
    </row>
    <row r="106" customFormat="false" ht="30" hidden="false" customHeight="true" outlineLevel="0" collapsed="false">
      <c r="A106" s="6" t="n">
        <v>105</v>
      </c>
      <c r="B106" s="6" t="s">
        <v>704</v>
      </c>
      <c r="C106" s="6" t="s">
        <v>711</v>
      </c>
      <c r="D106" s="6" t="s">
        <v>712</v>
      </c>
      <c r="E106" s="6" t="s">
        <v>713</v>
      </c>
      <c r="F106" s="13" t="s">
        <v>714</v>
      </c>
      <c r="G106" s="6" t="s">
        <v>30</v>
      </c>
      <c r="H106" s="6" t="s">
        <v>30</v>
      </c>
      <c r="I106" s="14" t="n">
        <v>85000</v>
      </c>
      <c r="J106" s="15" t="n">
        <v>100000</v>
      </c>
      <c r="K106" s="15" t="n">
        <v>65000</v>
      </c>
      <c r="L106" s="6" t="s">
        <v>169</v>
      </c>
      <c r="M106" s="16" t="n">
        <v>11000000</v>
      </c>
      <c r="N106" s="17" t="n">
        <v>1</v>
      </c>
      <c r="O106" s="17" t="n">
        <v>12</v>
      </c>
      <c r="P106" s="18" t="n">
        <v>0.07</v>
      </c>
      <c r="Q106" s="19" t="n">
        <v>0</v>
      </c>
      <c r="R106" s="13" t="s">
        <v>715</v>
      </c>
      <c r="S106" s="20" t="s">
        <v>81</v>
      </c>
      <c r="T106" s="6" t="s">
        <v>82</v>
      </c>
      <c r="U106" s="13" t="s">
        <v>716</v>
      </c>
      <c r="V106" s="21"/>
      <c r="W106" s="22"/>
      <c r="X106" s="22"/>
      <c r="Y106" s="23"/>
    </row>
    <row r="107" customFormat="false" ht="30" hidden="false" customHeight="true" outlineLevel="0" collapsed="false">
      <c r="A107" s="6" t="n">
        <v>106</v>
      </c>
      <c r="B107" s="6" t="s">
        <v>704</v>
      </c>
      <c r="C107" s="6" t="s">
        <v>717</v>
      </c>
      <c r="D107" s="6" t="s">
        <v>718</v>
      </c>
      <c r="E107" s="6" t="s">
        <v>719</v>
      </c>
      <c r="F107" s="13" t="s">
        <v>720</v>
      </c>
      <c r="G107" s="6" t="s">
        <v>30</v>
      </c>
      <c r="H107" s="6" t="s">
        <v>30</v>
      </c>
      <c r="I107" s="14" t="n">
        <v>220000</v>
      </c>
      <c r="J107" s="15" t="n">
        <v>260000</v>
      </c>
      <c r="K107" s="15" t="n">
        <v>170000</v>
      </c>
      <c r="L107" s="6" t="s">
        <v>169</v>
      </c>
      <c r="M107" s="16" t="n">
        <v>24000000</v>
      </c>
      <c r="N107" s="17" t="n">
        <v>1</v>
      </c>
      <c r="O107" s="17" t="n">
        <v>25</v>
      </c>
      <c r="P107" s="18" t="n">
        <v>0.03</v>
      </c>
      <c r="Q107" s="19" t="n">
        <v>0</v>
      </c>
      <c r="R107" s="13" t="s">
        <v>721</v>
      </c>
      <c r="S107" s="24" t="s">
        <v>132</v>
      </c>
      <c r="T107" s="6" t="s">
        <v>82</v>
      </c>
      <c r="U107" s="13" t="s">
        <v>722</v>
      </c>
      <c r="V107" s="21"/>
      <c r="W107" s="22"/>
      <c r="X107" s="22"/>
      <c r="Y107" s="23"/>
    </row>
    <row r="108" customFormat="false" ht="30" hidden="false" customHeight="true" outlineLevel="0" collapsed="false">
      <c r="A108" s="6" t="n">
        <v>107</v>
      </c>
      <c r="B108" s="6" t="s">
        <v>704</v>
      </c>
      <c r="C108" s="6" t="s">
        <v>723</v>
      </c>
      <c r="D108" s="6" t="s">
        <v>724</v>
      </c>
      <c r="E108" s="6" t="s">
        <v>725</v>
      </c>
      <c r="F108" s="13" t="s">
        <v>726</v>
      </c>
      <c r="G108" s="6" t="s">
        <v>30</v>
      </c>
      <c r="H108" s="6" t="s">
        <v>30</v>
      </c>
      <c r="I108" s="14" t="n">
        <v>280000</v>
      </c>
      <c r="J108" s="15" t="n">
        <v>340000</v>
      </c>
      <c r="K108" s="15" t="n">
        <v>220000</v>
      </c>
      <c r="L108" s="6" t="s">
        <v>193</v>
      </c>
      <c r="M108" s="16" t="n">
        <v>36000000</v>
      </c>
      <c r="N108" s="17" t="n">
        <v>1</v>
      </c>
      <c r="O108" s="17" t="n">
        <v>25</v>
      </c>
      <c r="P108" s="18" t="n">
        <v>0.04</v>
      </c>
      <c r="Q108" s="19" t="n">
        <v>0</v>
      </c>
      <c r="R108" s="13" t="s">
        <v>727</v>
      </c>
      <c r="S108" s="25" t="s">
        <v>309</v>
      </c>
      <c r="T108" s="6" t="s">
        <v>82</v>
      </c>
      <c r="U108" s="13" t="s">
        <v>728</v>
      </c>
      <c r="V108" s="21"/>
      <c r="W108" s="22"/>
      <c r="X108" s="22"/>
      <c r="Y108" s="23"/>
    </row>
    <row r="109" customFormat="false" ht="30" hidden="false" customHeight="true" outlineLevel="0" collapsed="false">
      <c r="A109" s="6" t="n">
        <v>108</v>
      </c>
      <c r="B109" s="6" t="s">
        <v>704</v>
      </c>
      <c r="C109" s="6" t="s">
        <v>729</v>
      </c>
      <c r="D109" s="6" t="s">
        <v>730</v>
      </c>
      <c r="E109" s="6" t="s">
        <v>731</v>
      </c>
      <c r="F109" s="13" t="s">
        <v>732</v>
      </c>
      <c r="G109" s="6" t="s">
        <v>28</v>
      </c>
      <c r="H109" s="6" t="s">
        <v>30</v>
      </c>
      <c r="I109" s="14" t="n">
        <v>95000</v>
      </c>
      <c r="J109" s="15" t="n">
        <v>115000</v>
      </c>
      <c r="K109" s="15" t="n">
        <v>70000</v>
      </c>
      <c r="L109" s="6" t="s">
        <v>169</v>
      </c>
      <c r="M109" s="16" t="n">
        <v>12000000</v>
      </c>
      <c r="N109" s="17" t="n">
        <v>1</v>
      </c>
      <c r="O109" s="17" t="n">
        <v>15</v>
      </c>
      <c r="P109" s="18" t="n">
        <v>0.05</v>
      </c>
      <c r="Q109" s="19" t="n">
        <v>0.25</v>
      </c>
      <c r="R109" s="13" t="s">
        <v>733</v>
      </c>
      <c r="S109" s="25" t="s">
        <v>309</v>
      </c>
      <c r="T109" s="6" t="s">
        <v>82</v>
      </c>
      <c r="U109" s="13" t="s">
        <v>734</v>
      </c>
      <c r="V109" s="21"/>
      <c r="W109" s="22"/>
      <c r="X109" s="22"/>
      <c r="Y109" s="23"/>
    </row>
    <row r="110" customFormat="false" ht="30" hidden="false" customHeight="true" outlineLevel="0" collapsed="false">
      <c r="A110" s="6" t="n">
        <v>109</v>
      </c>
      <c r="B110" s="6" t="s">
        <v>704</v>
      </c>
      <c r="C110" s="6" t="s">
        <v>735</v>
      </c>
      <c r="D110" s="6" t="s">
        <v>736</v>
      </c>
      <c r="E110" s="6" t="s">
        <v>737</v>
      </c>
      <c r="F110" s="13" t="s">
        <v>738</v>
      </c>
      <c r="G110" s="6" t="s">
        <v>30</v>
      </c>
      <c r="H110" s="6" t="s">
        <v>30</v>
      </c>
      <c r="I110" s="14" t="n">
        <v>85000</v>
      </c>
      <c r="J110" s="15" t="n">
        <v>100000</v>
      </c>
      <c r="K110" s="15" t="n">
        <v>65000</v>
      </c>
      <c r="L110" s="6" t="s">
        <v>169</v>
      </c>
      <c r="M110" s="16" t="n">
        <v>11000000</v>
      </c>
      <c r="N110" s="17" t="n">
        <v>1</v>
      </c>
      <c r="O110" s="17" t="n">
        <v>15</v>
      </c>
      <c r="P110" s="18" t="n">
        <v>0.06</v>
      </c>
      <c r="Q110" s="19" t="n">
        <v>0</v>
      </c>
      <c r="R110" s="13" t="s">
        <v>739</v>
      </c>
      <c r="S110" s="24" t="s">
        <v>132</v>
      </c>
      <c r="T110" s="6" t="s">
        <v>82</v>
      </c>
      <c r="U110" s="13" t="s">
        <v>740</v>
      </c>
      <c r="V110" s="21"/>
      <c r="W110" s="22"/>
      <c r="X110" s="22"/>
      <c r="Y110" s="23"/>
    </row>
    <row r="111" customFormat="false" ht="30" hidden="false" customHeight="true" outlineLevel="0" collapsed="false">
      <c r="A111" s="6" t="n">
        <v>110</v>
      </c>
      <c r="B111" s="6" t="s">
        <v>704</v>
      </c>
      <c r="C111" s="6" t="s">
        <v>741</v>
      </c>
      <c r="D111" s="6" t="s">
        <v>742</v>
      </c>
      <c r="E111" s="6" t="s">
        <v>743</v>
      </c>
      <c r="F111" s="13" t="s">
        <v>744</v>
      </c>
      <c r="G111" s="6" t="s">
        <v>28</v>
      </c>
      <c r="H111" s="6" t="s">
        <v>28</v>
      </c>
      <c r="I111" s="14" t="n">
        <v>16000</v>
      </c>
      <c r="J111" s="15" t="n">
        <v>20000</v>
      </c>
      <c r="K111" s="15" t="n">
        <v>12000</v>
      </c>
      <c r="L111" s="6" t="s">
        <v>169</v>
      </c>
      <c r="M111" s="16" t="n">
        <v>2000000</v>
      </c>
      <c r="N111" s="17" t="n">
        <v>2</v>
      </c>
      <c r="O111" s="17" t="n">
        <v>10</v>
      </c>
      <c r="P111" s="18" t="n">
        <v>0.06</v>
      </c>
      <c r="Q111" s="19" t="n">
        <v>0</v>
      </c>
      <c r="R111" s="13" t="s">
        <v>745</v>
      </c>
      <c r="S111" s="24" t="s">
        <v>132</v>
      </c>
      <c r="T111" s="6" t="s">
        <v>82</v>
      </c>
      <c r="U111" s="13" t="s">
        <v>746</v>
      </c>
      <c r="V111" s="21"/>
      <c r="W111" s="22"/>
      <c r="X111" s="22"/>
      <c r="Y111" s="23"/>
    </row>
    <row r="112" customFormat="false" ht="30" hidden="false" customHeight="true" outlineLevel="0" collapsed="false">
      <c r="A112" s="6" t="n">
        <v>111</v>
      </c>
      <c r="B112" s="6" t="s">
        <v>747</v>
      </c>
      <c r="C112" s="6" t="s">
        <v>748</v>
      </c>
      <c r="D112" s="6" t="s">
        <v>749</v>
      </c>
      <c r="E112" s="6" t="s">
        <v>750</v>
      </c>
      <c r="F112" s="13" t="s">
        <v>751</v>
      </c>
      <c r="G112" s="6" t="s">
        <v>30</v>
      </c>
      <c r="H112" s="6" t="s">
        <v>30</v>
      </c>
      <c r="I112" s="14" t="n">
        <v>60000</v>
      </c>
      <c r="J112" s="15" t="n">
        <v>70000</v>
      </c>
      <c r="K112" s="15" t="n">
        <v>56000</v>
      </c>
      <c r="L112" s="6" t="s">
        <v>79</v>
      </c>
      <c r="M112" s="16" t="n">
        <v>8200000</v>
      </c>
      <c r="N112" s="17" t="n">
        <v>1</v>
      </c>
      <c r="O112" s="17" t="n">
        <v>10</v>
      </c>
      <c r="P112" s="18" t="n">
        <v>0.08</v>
      </c>
      <c r="Q112" s="19" t="n">
        <v>0.4</v>
      </c>
      <c r="R112" s="13" t="s">
        <v>752</v>
      </c>
      <c r="S112" s="20" t="s">
        <v>81</v>
      </c>
      <c r="T112" s="6" t="s">
        <v>82</v>
      </c>
      <c r="U112" s="13" t="s">
        <v>753</v>
      </c>
      <c r="V112" s="21"/>
      <c r="W112" s="22"/>
      <c r="X112" s="22"/>
      <c r="Y112" s="23"/>
    </row>
    <row r="113" customFormat="false" ht="30" hidden="false" customHeight="true" outlineLevel="0" collapsed="false">
      <c r="A113" s="6" t="n">
        <v>112</v>
      </c>
      <c r="B113" s="6" t="s">
        <v>747</v>
      </c>
      <c r="C113" s="6" t="s">
        <v>754</v>
      </c>
      <c r="D113" s="6" t="s">
        <v>755</v>
      </c>
      <c r="E113" s="6" t="s">
        <v>756</v>
      </c>
      <c r="F113" s="13" t="s">
        <v>757</v>
      </c>
      <c r="G113" s="6" t="s">
        <v>26</v>
      </c>
      <c r="H113" s="6" t="s">
        <v>28</v>
      </c>
      <c r="I113" s="14" t="n">
        <v>12000</v>
      </c>
      <c r="J113" s="15" t="n">
        <v>14000</v>
      </c>
      <c r="K113" s="15" t="n">
        <v>11000</v>
      </c>
      <c r="L113" s="6" t="s">
        <v>79</v>
      </c>
      <c r="M113" s="16" t="n">
        <v>1650000</v>
      </c>
      <c r="N113" s="17" t="n">
        <v>2</v>
      </c>
      <c r="O113" s="17" t="n">
        <v>15</v>
      </c>
      <c r="P113" s="18" t="n">
        <v>0.03</v>
      </c>
      <c r="Q113" s="19" t="n">
        <v>0.5</v>
      </c>
      <c r="R113" s="13" t="s">
        <v>758</v>
      </c>
      <c r="S113" s="25" t="s">
        <v>309</v>
      </c>
      <c r="T113" s="6" t="s">
        <v>82</v>
      </c>
      <c r="U113" s="13" t="s">
        <v>759</v>
      </c>
      <c r="V113" s="21"/>
      <c r="W113" s="22"/>
      <c r="X113" s="22"/>
      <c r="Y113" s="23"/>
    </row>
    <row r="114" customFormat="false" ht="30" hidden="false" customHeight="true" outlineLevel="0" collapsed="false">
      <c r="A114" s="6" t="n">
        <v>113</v>
      </c>
      <c r="B114" s="6" t="s">
        <v>747</v>
      </c>
      <c r="C114" s="6" t="s">
        <v>760</v>
      </c>
      <c r="D114" s="6" t="s">
        <v>761</v>
      </c>
      <c r="E114" s="6" t="s">
        <v>762</v>
      </c>
      <c r="F114" s="13" t="s">
        <v>763</v>
      </c>
      <c r="G114" s="6" t="s">
        <v>30</v>
      </c>
      <c r="H114" s="6" t="s">
        <v>30</v>
      </c>
      <c r="I114" s="14" t="n">
        <v>320000</v>
      </c>
      <c r="J114" s="15" t="n">
        <v>380000</v>
      </c>
      <c r="K114" s="15" t="n">
        <v>305000</v>
      </c>
      <c r="L114" s="6" t="s">
        <v>79</v>
      </c>
      <c r="M114" s="16" t="n">
        <v>44000000</v>
      </c>
      <c r="N114" s="17" t="n">
        <v>1</v>
      </c>
      <c r="O114" s="17" t="n">
        <v>20</v>
      </c>
      <c r="P114" s="18" t="n">
        <v>0.05</v>
      </c>
      <c r="Q114" s="19" t="n">
        <v>0.8</v>
      </c>
      <c r="R114" s="13" t="s">
        <v>764</v>
      </c>
      <c r="S114" s="25" t="s">
        <v>309</v>
      </c>
      <c r="T114" s="6" t="s">
        <v>82</v>
      </c>
      <c r="U114" s="13" t="s">
        <v>765</v>
      </c>
      <c r="V114" s="21"/>
      <c r="W114" s="22"/>
      <c r="X114" s="22"/>
      <c r="Y114" s="23"/>
    </row>
    <row r="115" customFormat="false" ht="30" hidden="false" customHeight="true" outlineLevel="0" collapsed="false">
      <c r="A115" s="6" t="n">
        <v>114</v>
      </c>
      <c r="B115" s="6" t="s">
        <v>747</v>
      </c>
      <c r="C115" s="6" t="s">
        <v>766</v>
      </c>
      <c r="D115" s="6" t="s">
        <v>767</v>
      </c>
      <c r="E115" s="6" t="s">
        <v>768</v>
      </c>
      <c r="F115" s="13" t="s">
        <v>769</v>
      </c>
      <c r="G115" s="6" t="s">
        <v>26</v>
      </c>
      <c r="H115" s="6" t="s">
        <v>28</v>
      </c>
      <c r="I115" s="14" t="n">
        <v>38000</v>
      </c>
      <c r="J115" s="15" t="n">
        <v>45000</v>
      </c>
      <c r="K115" s="15" t="n">
        <v>36000</v>
      </c>
      <c r="L115" s="6" t="s">
        <v>79</v>
      </c>
      <c r="M115" s="16" t="n">
        <v>5200000</v>
      </c>
      <c r="N115" s="17" t="n">
        <v>1</v>
      </c>
      <c r="O115" s="17" t="n">
        <v>12</v>
      </c>
      <c r="P115" s="18" t="n">
        <v>0.04</v>
      </c>
      <c r="Q115" s="19" t="n">
        <v>1.5</v>
      </c>
      <c r="R115" s="13" t="s">
        <v>770</v>
      </c>
      <c r="S115" s="24" t="s">
        <v>132</v>
      </c>
      <c r="T115" s="6" t="s">
        <v>82</v>
      </c>
      <c r="U115" s="13" t="s">
        <v>771</v>
      </c>
      <c r="V115" s="21"/>
      <c r="W115" s="22"/>
      <c r="X115" s="22"/>
      <c r="Y115" s="23"/>
    </row>
    <row r="116" customFormat="false" ht="30" hidden="false" customHeight="true" outlineLevel="0" collapsed="false">
      <c r="A116" s="6" t="n">
        <v>115</v>
      </c>
      <c r="B116" s="6" t="s">
        <v>747</v>
      </c>
      <c r="C116" s="6" t="s">
        <v>772</v>
      </c>
      <c r="D116" s="6" t="s">
        <v>773</v>
      </c>
      <c r="E116" s="6" t="s">
        <v>774</v>
      </c>
      <c r="F116" s="13" t="s">
        <v>775</v>
      </c>
      <c r="G116" s="6" t="s">
        <v>26</v>
      </c>
      <c r="H116" s="6" t="s">
        <v>28</v>
      </c>
      <c r="I116" s="14" t="n">
        <v>9000</v>
      </c>
      <c r="J116" s="15" t="n">
        <v>11000</v>
      </c>
      <c r="K116" s="15" t="n">
        <v>8500</v>
      </c>
      <c r="L116" s="6" t="s">
        <v>79</v>
      </c>
      <c r="M116" s="16" t="n">
        <v>1240000</v>
      </c>
      <c r="N116" s="17" t="n">
        <v>2</v>
      </c>
      <c r="O116" s="17" t="n">
        <v>15</v>
      </c>
      <c r="P116" s="18" t="n">
        <v>0.03</v>
      </c>
      <c r="Q116" s="19" t="n">
        <v>0</v>
      </c>
      <c r="R116" s="13" t="s">
        <v>776</v>
      </c>
      <c r="S116" s="20" t="s">
        <v>81</v>
      </c>
      <c r="T116" s="6" t="s">
        <v>82</v>
      </c>
      <c r="U116" s="13" t="s">
        <v>777</v>
      </c>
      <c r="V116" s="21"/>
      <c r="W116" s="22"/>
      <c r="X116" s="22"/>
      <c r="Y116" s="23"/>
    </row>
    <row r="117" customFormat="false" ht="30" hidden="false" customHeight="true" outlineLevel="0" collapsed="false">
      <c r="A117" s="6" t="n">
        <v>116</v>
      </c>
      <c r="B117" s="6" t="s">
        <v>747</v>
      </c>
      <c r="C117" s="6" t="s">
        <v>778</v>
      </c>
      <c r="D117" s="6" t="s">
        <v>779</v>
      </c>
      <c r="E117" s="6" t="s">
        <v>780</v>
      </c>
      <c r="F117" s="13" t="s">
        <v>781</v>
      </c>
      <c r="G117" s="6" t="s">
        <v>26</v>
      </c>
      <c r="H117" s="6" t="s">
        <v>26</v>
      </c>
      <c r="I117" s="14" t="n">
        <v>12000</v>
      </c>
      <c r="J117" s="15" t="n">
        <v>14000</v>
      </c>
      <c r="K117" s="15" t="n">
        <v>11000</v>
      </c>
      <c r="L117" s="6" t="s">
        <v>79</v>
      </c>
      <c r="M117" s="16" t="n">
        <v>1650000</v>
      </c>
      <c r="N117" s="17" t="n">
        <v>2</v>
      </c>
      <c r="O117" s="17" t="n">
        <v>5</v>
      </c>
      <c r="P117" s="18" t="n">
        <v>0.08</v>
      </c>
      <c r="Q117" s="19" t="n">
        <v>0.2</v>
      </c>
      <c r="R117" s="13" t="s">
        <v>782</v>
      </c>
      <c r="S117" s="24" t="s">
        <v>132</v>
      </c>
      <c r="T117" s="6" t="s">
        <v>82</v>
      </c>
      <c r="U117" s="13" t="s">
        <v>783</v>
      </c>
      <c r="V117" s="21"/>
      <c r="W117" s="22"/>
      <c r="X117" s="22"/>
      <c r="Y117" s="23"/>
    </row>
    <row r="118" customFormat="false" ht="30" hidden="false" customHeight="true" outlineLevel="0" collapsed="false">
      <c r="A118" s="6" t="n">
        <v>117</v>
      </c>
      <c r="B118" s="6" t="s">
        <v>747</v>
      </c>
      <c r="C118" s="6" t="s">
        <v>784</v>
      </c>
      <c r="D118" s="6" t="s">
        <v>785</v>
      </c>
      <c r="E118" s="6" t="s">
        <v>786</v>
      </c>
      <c r="F118" s="13" t="s">
        <v>787</v>
      </c>
      <c r="G118" s="6" t="s">
        <v>30</v>
      </c>
      <c r="H118" s="6" t="s">
        <v>30</v>
      </c>
      <c r="I118" s="14" t="n">
        <v>350000</v>
      </c>
      <c r="J118" s="15" t="n">
        <v>420000</v>
      </c>
      <c r="K118" s="15" t="n">
        <v>335000</v>
      </c>
      <c r="L118" s="6" t="s">
        <v>79</v>
      </c>
      <c r="M118" s="16" t="n">
        <v>48000000</v>
      </c>
      <c r="N118" s="17" t="n">
        <v>1</v>
      </c>
      <c r="O118" s="17" t="n">
        <v>12</v>
      </c>
      <c r="P118" s="18" t="n">
        <v>0.1</v>
      </c>
      <c r="Q118" s="19" t="n">
        <v>1</v>
      </c>
      <c r="R118" s="13" t="s">
        <v>788</v>
      </c>
      <c r="S118" s="20" t="s">
        <v>81</v>
      </c>
      <c r="T118" s="6" t="s">
        <v>82</v>
      </c>
      <c r="U118" s="13" t="s">
        <v>789</v>
      </c>
      <c r="V118" s="21"/>
      <c r="W118" s="22"/>
      <c r="X118" s="22"/>
      <c r="Y118" s="23"/>
    </row>
    <row r="119" customFormat="false" ht="30" hidden="false" customHeight="true" outlineLevel="0" collapsed="false">
      <c r="A119" s="6" t="n">
        <v>118</v>
      </c>
      <c r="B119" s="6" t="s">
        <v>747</v>
      </c>
      <c r="C119" s="6" t="s">
        <v>790</v>
      </c>
      <c r="D119" s="6" t="s">
        <v>791</v>
      </c>
      <c r="E119" s="6" t="s">
        <v>792</v>
      </c>
      <c r="F119" s="13" t="s">
        <v>793</v>
      </c>
      <c r="G119" s="6" t="s">
        <v>30</v>
      </c>
      <c r="H119" s="6" t="s">
        <v>28</v>
      </c>
      <c r="I119" s="14" t="n">
        <v>12000</v>
      </c>
      <c r="J119" s="15" t="n">
        <v>14000</v>
      </c>
      <c r="K119" s="15" t="n">
        <v>11000</v>
      </c>
      <c r="L119" s="6" t="s">
        <v>79</v>
      </c>
      <c r="M119" s="16" t="n">
        <v>1650000</v>
      </c>
      <c r="N119" s="17" t="n">
        <v>2</v>
      </c>
      <c r="O119" s="17" t="n">
        <v>12</v>
      </c>
      <c r="P119" s="18" t="n">
        <v>0.03</v>
      </c>
      <c r="Q119" s="19" t="n">
        <v>0.2</v>
      </c>
      <c r="R119" s="13" t="s">
        <v>794</v>
      </c>
      <c r="S119" s="20" t="s">
        <v>81</v>
      </c>
      <c r="T119" s="6" t="s">
        <v>82</v>
      </c>
      <c r="U119" s="13" t="s">
        <v>795</v>
      </c>
      <c r="V119" s="21"/>
      <c r="W119" s="22"/>
      <c r="X119" s="22"/>
      <c r="Y119" s="23"/>
    </row>
    <row r="120" customFormat="false" ht="30" hidden="false" customHeight="true" outlineLevel="0" collapsed="false">
      <c r="A120" s="6" t="n">
        <v>119</v>
      </c>
      <c r="B120" s="6" t="s">
        <v>747</v>
      </c>
      <c r="C120" s="6" t="s">
        <v>796</v>
      </c>
      <c r="D120" s="6" t="s">
        <v>797</v>
      </c>
      <c r="E120" s="6" t="s">
        <v>798</v>
      </c>
      <c r="F120" s="13" t="s">
        <v>799</v>
      </c>
      <c r="G120" s="6" t="s">
        <v>26</v>
      </c>
      <c r="H120" s="6" t="s">
        <v>26</v>
      </c>
      <c r="I120" s="14" t="n">
        <v>9000</v>
      </c>
      <c r="J120" s="15" t="n">
        <v>10500</v>
      </c>
      <c r="K120" s="15" t="n">
        <v>8500</v>
      </c>
      <c r="L120" s="6" t="s">
        <v>79</v>
      </c>
      <c r="M120" s="16" t="n">
        <v>1240000</v>
      </c>
      <c r="N120" s="17" t="n">
        <v>2</v>
      </c>
      <c r="O120" s="17" t="n">
        <v>8</v>
      </c>
      <c r="P120" s="18" t="n">
        <v>0.06</v>
      </c>
      <c r="Q120" s="19" t="n">
        <v>0.1</v>
      </c>
      <c r="R120" s="13" t="s">
        <v>800</v>
      </c>
      <c r="S120" s="20" t="s">
        <v>81</v>
      </c>
      <c r="T120" s="6" t="s">
        <v>82</v>
      </c>
      <c r="U120" s="13" t="s">
        <v>801</v>
      </c>
      <c r="V120" s="21"/>
      <c r="W120" s="22"/>
      <c r="X120" s="22"/>
      <c r="Y120" s="23"/>
    </row>
    <row r="121" customFormat="false" ht="30" hidden="false" customHeight="true" outlineLevel="0" collapsed="false">
      <c r="A121" s="6" t="n">
        <v>120</v>
      </c>
      <c r="B121" s="6" t="s">
        <v>747</v>
      </c>
      <c r="C121" s="6" t="s">
        <v>802</v>
      </c>
      <c r="D121" s="6" t="s">
        <v>803</v>
      </c>
      <c r="E121" s="6" t="s">
        <v>804</v>
      </c>
      <c r="F121" s="13" t="s">
        <v>805</v>
      </c>
      <c r="G121" s="6" t="s">
        <v>26</v>
      </c>
      <c r="H121" s="6" t="s">
        <v>26</v>
      </c>
      <c r="I121" s="14" t="n">
        <v>18000</v>
      </c>
      <c r="J121" s="15" t="n">
        <v>22000</v>
      </c>
      <c r="K121" s="15" t="n">
        <v>17000</v>
      </c>
      <c r="L121" s="6" t="s">
        <v>79</v>
      </c>
      <c r="M121" s="16" t="n">
        <v>2480000</v>
      </c>
      <c r="N121" s="17" t="n">
        <v>1</v>
      </c>
      <c r="O121" s="17" t="n">
        <v>8</v>
      </c>
      <c r="P121" s="18" t="n">
        <v>0.04</v>
      </c>
      <c r="Q121" s="19" t="n">
        <v>0.5</v>
      </c>
      <c r="R121" s="13" t="s">
        <v>806</v>
      </c>
      <c r="S121" s="20" t="s">
        <v>81</v>
      </c>
      <c r="T121" s="6" t="s">
        <v>82</v>
      </c>
      <c r="U121" s="13" t="s">
        <v>807</v>
      </c>
      <c r="V121" s="21"/>
      <c r="W121" s="22"/>
      <c r="X121" s="22"/>
      <c r="Y121" s="23"/>
    </row>
    <row r="122" customFormat="false" ht="30" hidden="false" customHeight="true" outlineLevel="0" collapsed="false">
      <c r="A122" s="6" t="n">
        <v>121</v>
      </c>
      <c r="B122" s="6" t="s">
        <v>808</v>
      </c>
      <c r="C122" s="6" t="s">
        <v>809</v>
      </c>
      <c r="D122" s="6" t="s">
        <v>810</v>
      </c>
      <c r="E122" s="6" t="s">
        <v>811</v>
      </c>
      <c r="F122" s="13" t="s">
        <v>812</v>
      </c>
      <c r="G122" s="6" t="s">
        <v>28</v>
      </c>
      <c r="H122" s="6" t="s">
        <v>28</v>
      </c>
      <c r="I122" s="14" t="n">
        <v>11000</v>
      </c>
      <c r="J122" s="15" t="n">
        <v>13000</v>
      </c>
      <c r="K122" s="15" t="n">
        <v>10000</v>
      </c>
      <c r="L122" s="6" t="s">
        <v>79</v>
      </c>
      <c r="M122" s="16" t="n">
        <v>1500000</v>
      </c>
      <c r="N122" s="17" t="n">
        <v>2</v>
      </c>
      <c r="O122" s="17" t="n">
        <v>12</v>
      </c>
      <c r="P122" s="18" t="n">
        <v>0.05</v>
      </c>
      <c r="Q122" s="19" t="n">
        <v>0.8</v>
      </c>
      <c r="R122" s="13" t="s">
        <v>813</v>
      </c>
      <c r="S122" s="24" t="s">
        <v>132</v>
      </c>
      <c r="T122" s="6" t="s">
        <v>82</v>
      </c>
      <c r="U122" s="13" t="s">
        <v>814</v>
      </c>
      <c r="V122" s="21"/>
      <c r="W122" s="22"/>
      <c r="X122" s="22"/>
      <c r="Y122" s="23"/>
    </row>
    <row r="123" customFormat="false" ht="30" hidden="false" customHeight="true" outlineLevel="0" collapsed="false">
      <c r="A123" s="6" t="n">
        <v>122</v>
      </c>
      <c r="B123" s="6" t="s">
        <v>808</v>
      </c>
      <c r="C123" s="6" t="s">
        <v>815</v>
      </c>
      <c r="D123" s="6" t="s">
        <v>816</v>
      </c>
      <c r="E123" s="6" t="s">
        <v>817</v>
      </c>
      <c r="F123" s="13" t="s">
        <v>818</v>
      </c>
      <c r="G123" s="6" t="s">
        <v>28</v>
      </c>
      <c r="H123" s="6" t="s">
        <v>28</v>
      </c>
      <c r="I123" s="14" t="n">
        <v>9000</v>
      </c>
      <c r="J123" s="15" t="n">
        <v>11000</v>
      </c>
      <c r="K123" s="15" t="n">
        <v>8500</v>
      </c>
      <c r="L123" s="6" t="s">
        <v>79</v>
      </c>
      <c r="M123" s="16" t="n">
        <v>1240000</v>
      </c>
      <c r="N123" s="17" t="n">
        <v>1</v>
      </c>
      <c r="O123" s="17" t="n">
        <v>8</v>
      </c>
      <c r="P123" s="18" t="n">
        <v>0.06</v>
      </c>
      <c r="Q123" s="19" t="n">
        <v>0.1</v>
      </c>
      <c r="R123" s="13" t="s">
        <v>819</v>
      </c>
      <c r="S123" s="20" t="s">
        <v>81</v>
      </c>
      <c r="T123" s="6" t="s">
        <v>82</v>
      </c>
      <c r="U123" s="13" t="s">
        <v>820</v>
      </c>
      <c r="V123" s="21"/>
      <c r="W123" s="22"/>
      <c r="X123" s="22"/>
      <c r="Y123" s="23"/>
    </row>
    <row r="124" customFormat="false" ht="30" hidden="false" customHeight="true" outlineLevel="0" collapsed="false">
      <c r="A124" s="6" t="n">
        <v>123</v>
      </c>
      <c r="B124" s="6" t="s">
        <v>808</v>
      </c>
      <c r="C124" s="6" t="s">
        <v>821</v>
      </c>
      <c r="D124" s="6" t="s">
        <v>822</v>
      </c>
      <c r="E124" s="6" t="s">
        <v>823</v>
      </c>
      <c r="F124" s="13" t="s">
        <v>824</v>
      </c>
      <c r="G124" s="6" t="s">
        <v>28</v>
      </c>
      <c r="H124" s="6" t="s">
        <v>28</v>
      </c>
      <c r="I124" s="14" t="n">
        <v>7000</v>
      </c>
      <c r="J124" s="15" t="n">
        <v>8500</v>
      </c>
      <c r="K124" s="15" t="n">
        <v>6700</v>
      </c>
      <c r="L124" s="6" t="s">
        <v>79</v>
      </c>
      <c r="M124" s="16" t="n">
        <v>970000</v>
      </c>
      <c r="N124" s="17" t="n">
        <v>1</v>
      </c>
      <c r="O124" s="17" t="n">
        <v>8</v>
      </c>
      <c r="P124" s="18" t="n">
        <v>0.05</v>
      </c>
      <c r="Q124" s="19" t="n">
        <v>0.1</v>
      </c>
      <c r="R124" s="13" t="s">
        <v>825</v>
      </c>
      <c r="S124" s="24" t="s">
        <v>132</v>
      </c>
      <c r="T124" s="6" t="s">
        <v>82</v>
      </c>
      <c r="U124" s="13" t="s">
        <v>826</v>
      </c>
      <c r="V124" s="21"/>
      <c r="W124" s="22"/>
      <c r="X124" s="22"/>
      <c r="Y124" s="23"/>
    </row>
    <row r="125" customFormat="false" ht="30" hidden="false" customHeight="true" outlineLevel="0" collapsed="false">
      <c r="A125" s="6" t="n">
        <v>124</v>
      </c>
      <c r="B125" s="6" t="s">
        <v>808</v>
      </c>
      <c r="C125" s="6" t="s">
        <v>827</v>
      </c>
      <c r="D125" s="6" t="s">
        <v>828</v>
      </c>
      <c r="E125" s="6" t="s">
        <v>829</v>
      </c>
      <c r="F125" s="13" t="s">
        <v>830</v>
      </c>
      <c r="G125" s="6" t="s">
        <v>28</v>
      </c>
      <c r="H125" s="6" t="s">
        <v>30</v>
      </c>
      <c r="I125" s="14" t="n">
        <v>70000</v>
      </c>
      <c r="J125" s="15" t="n">
        <v>82000</v>
      </c>
      <c r="K125" s="15" t="n">
        <v>65000</v>
      </c>
      <c r="L125" s="6" t="s">
        <v>79</v>
      </c>
      <c r="M125" s="16" t="n">
        <v>9700000</v>
      </c>
      <c r="N125" s="17" t="n">
        <v>1</v>
      </c>
      <c r="O125" s="17" t="n">
        <v>8</v>
      </c>
      <c r="P125" s="18" t="n">
        <v>0.07</v>
      </c>
      <c r="Q125" s="19" t="n">
        <v>0.3</v>
      </c>
      <c r="R125" s="13" t="s">
        <v>831</v>
      </c>
      <c r="S125" s="20" t="s">
        <v>81</v>
      </c>
      <c r="T125" s="6" t="s">
        <v>82</v>
      </c>
      <c r="U125" s="13" t="s">
        <v>832</v>
      </c>
      <c r="V125" s="21"/>
      <c r="W125" s="22"/>
      <c r="X125" s="22"/>
      <c r="Y125" s="23"/>
    </row>
    <row r="126" customFormat="false" ht="30" hidden="false" customHeight="true" outlineLevel="0" collapsed="false">
      <c r="A126" s="6" t="n">
        <v>125</v>
      </c>
      <c r="B126" s="6" t="s">
        <v>833</v>
      </c>
      <c r="C126" s="6" t="s">
        <v>834</v>
      </c>
      <c r="D126" s="6" t="s">
        <v>835</v>
      </c>
      <c r="E126" s="6" t="s">
        <v>836</v>
      </c>
      <c r="F126" s="13" t="s">
        <v>837</v>
      </c>
      <c r="G126" s="6" t="s">
        <v>30</v>
      </c>
      <c r="H126" s="6" t="s">
        <v>30</v>
      </c>
      <c r="I126" s="14" t="n">
        <v>15000</v>
      </c>
      <c r="J126" s="15" t="n">
        <v>17000</v>
      </c>
      <c r="K126" s="15" t="n">
        <v>12000</v>
      </c>
      <c r="L126" s="6" t="s">
        <v>193</v>
      </c>
      <c r="M126" s="16" t="n">
        <v>2100000</v>
      </c>
      <c r="N126" s="17" t="n">
        <v>1</v>
      </c>
      <c r="O126" s="17" t="n">
        <v>5</v>
      </c>
      <c r="P126" s="18" t="n">
        <v>0.2</v>
      </c>
      <c r="Q126" s="19" t="n">
        <v>0</v>
      </c>
      <c r="R126" s="13" t="s">
        <v>838</v>
      </c>
      <c r="S126" s="25" t="s">
        <v>309</v>
      </c>
      <c r="T126" s="6" t="s">
        <v>82</v>
      </c>
      <c r="U126" s="13" t="s">
        <v>839</v>
      </c>
      <c r="V126" s="21"/>
      <c r="W126" s="22"/>
      <c r="X126" s="22"/>
      <c r="Y126" s="23"/>
    </row>
    <row r="127" customFormat="false" ht="30" hidden="false" customHeight="true" outlineLevel="0" collapsed="false">
      <c r="A127" s="6" t="n">
        <v>126</v>
      </c>
      <c r="B127" s="6" t="s">
        <v>833</v>
      </c>
      <c r="C127" s="6" t="s">
        <v>840</v>
      </c>
      <c r="D127" s="6" t="s">
        <v>841</v>
      </c>
      <c r="E127" s="6" t="s">
        <v>842</v>
      </c>
      <c r="F127" s="13" t="s">
        <v>843</v>
      </c>
      <c r="G127" s="6" t="s">
        <v>30</v>
      </c>
      <c r="H127" s="6" t="s">
        <v>30</v>
      </c>
      <c r="I127" s="14" t="n">
        <v>45000</v>
      </c>
      <c r="J127" s="15" t="n">
        <v>52000</v>
      </c>
      <c r="K127" s="15" t="n">
        <v>38000</v>
      </c>
      <c r="L127" s="6" t="s">
        <v>169</v>
      </c>
      <c r="M127" s="16" t="n">
        <v>6200000</v>
      </c>
      <c r="N127" s="17" t="n">
        <v>1</v>
      </c>
      <c r="O127" s="17" t="n">
        <v>8</v>
      </c>
      <c r="P127" s="18" t="n">
        <v>0.07</v>
      </c>
      <c r="Q127" s="19" t="n">
        <v>0.3</v>
      </c>
      <c r="R127" s="13" t="s">
        <v>844</v>
      </c>
      <c r="S127" s="20" t="s">
        <v>81</v>
      </c>
      <c r="T127" s="6" t="s">
        <v>82</v>
      </c>
      <c r="U127" s="13" t="s">
        <v>845</v>
      </c>
      <c r="V127" s="21"/>
      <c r="W127" s="22"/>
      <c r="X127" s="22"/>
      <c r="Y127" s="23"/>
    </row>
    <row r="128" customFormat="false" ht="30" hidden="false" customHeight="true" outlineLevel="0" collapsed="false">
      <c r="A128" s="6" t="n">
        <v>127</v>
      </c>
      <c r="B128" s="6" t="s">
        <v>833</v>
      </c>
      <c r="C128" s="6" t="s">
        <v>846</v>
      </c>
      <c r="D128" s="6" t="s">
        <v>847</v>
      </c>
      <c r="E128" s="6" t="s">
        <v>848</v>
      </c>
      <c r="F128" s="13" t="s">
        <v>849</v>
      </c>
      <c r="G128" s="6" t="s">
        <v>28</v>
      </c>
      <c r="H128" s="6" t="s">
        <v>30</v>
      </c>
      <c r="I128" s="14" t="n">
        <v>18000</v>
      </c>
      <c r="J128" s="15" t="n">
        <v>20000</v>
      </c>
      <c r="K128" s="15" t="n">
        <v>14000</v>
      </c>
      <c r="L128" s="6" t="s">
        <v>169</v>
      </c>
      <c r="M128" s="16" t="n">
        <v>2500000</v>
      </c>
      <c r="N128" s="17" t="n">
        <v>5</v>
      </c>
      <c r="O128" s="17" t="n">
        <v>5</v>
      </c>
      <c r="P128" s="18" t="n">
        <v>0.05</v>
      </c>
      <c r="Q128" s="19" t="n">
        <v>0</v>
      </c>
      <c r="R128" s="13" t="s">
        <v>850</v>
      </c>
      <c r="S128" s="20" t="s">
        <v>81</v>
      </c>
      <c r="T128" s="6" t="s">
        <v>82</v>
      </c>
      <c r="U128" s="13" t="s">
        <v>851</v>
      </c>
      <c r="V128" s="21"/>
      <c r="W128" s="22"/>
      <c r="X128" s="22"/>
      <c r="Y128" s="23"/>
    </row>
    <row r="129" customFormat="false" ht="30" hidden="false" customHeight="true" outlineLevel="0" collapsed="false">
      <c r="A129" s="6" t="n">
        <v>128</v>
      </c>
      <c r="B129" s="6" t="s">
        <v>833</v>
      </c>
      <c r="C129" s="6" t="s">
        <v>852</v>
      </c>
      <c r="D129" s="6" t="s">
        <v>853</v>
      </c>
      <c r="E129" s="6" t="s">
        <v>854</v>
      </c>
      <c r="F129" s="13" t="s">
        <v>855</v>
      </c>
      <c r="G129" s="6" t="s">
        <v>30</v>
      </c>
      <c r="H129" s="6" t="s">
        <v>30</v>
      </c>
      <c r="I129" s="14" t="n">
        <v>90000</v>
      </c>
      <c r="J129" s="15" t="n">
        <v>105000</v>
      </c>
      <c r="K129" s="15" t="n">
        <v>70000</v>
      </c>
      <c r="L129" s="6" t="s">
        <v>169</v>
      </c>
      <c r="M129" s="16" t="n">
        <v>12500000</v>
      </c>
      <c r="N129" s="17" t="n">
        <v>1</v>
      </c>
      <c r="O129" s="17" t="n">
        <v>8</v>
      </c>
      <c r="P129" s="18" t="n">
        <v>0.08</v>
      </c>
      <c r="Q129" s="19" t="n">
        <v>0.5</v>
      </c>
      <c r="R129" s="13" t="s">
        <v>856</v>
      </c>
      <c r="S129" s="20" t="s">
        <v>81</v>
      </c>
      <c r="T129" s="6" t="s">
        <v>82</v>
      </c>
      <c r="U129" s="13" t="s">
        <v>857</v>
      </c>
      <c r="V129" s="21"/>
      <c r="W129" s="22"/>
      <c r="X129" s="22"/>
      <c r="Y129" s="23"/>
    </row>
    <row r="130" customFormat="false" ht="30" hidden="false" customHeight="true" outlineLevel="0" collapsed="false">
      <c r="A130" s="6" t="n">
        <v>129</v>
      </c>
      <c r="B130" s="6" t="s">
        <v>833</v>
      </c>
      <c r="C130" s="6" t="s">
        <v>858</v>
      </c>
      <c r="D130" s="6" t="s">
        <v>859</v>
      </c>
      <c r="E130" s="6" t="s">
        <v>860</v>
      </c>
      <c r="F130" s="13" t="s">
        <v>861</v>
      </c>
      <c r="G130" s="6" t="s">
        <v>28</v>
      </c>
      <c r="H130" s="6" t="s">
        <v>30</v>
      </c>
      <c r="I130" s="14" t="n">
        <v>8000</v>
      </c>
      <c r="J130" s="15" t="n">
        <v>9000</v>
      </c>
      <c r="K130" s="15" t="n">
        <v>6500</v>
      </c>
      <c r="L130" s="6" t="s">
        <v>169</v>
      </c>
      <c r="M130" s="16" t="n">
        <v>1100000</v>
      </c>
      <c r="N130" s="17" t="n">
        <v>25</v>
      </c>
      <c r="O130" s="17" t="n">
        <v>3</v>
      </c>
      <c r="P130" s="18" t="n">
        <v>0.1</v>
      </c>
      <c r="Q130" s="19" t="n">
        <v>0</v>
      </c>
      <c r="R130" s="13" t="s">
        <v>862</v>
      </c>
      <c r="S130" s="24" t="s">
        <v>132</v>
      </c>
      <c r="T130" s="6" t="s">
        <v>82</v>
      </c>
      <c r="U130" s="13" t="s">
        <v>863</v>
      </c>
      <c r="V130" s="21"/>
      <c r="W130" s="22"/>
      <c r="X130" s="22"/>
      <c r="Y130" s="23"/>
    </row>
    <row r="131" customFormat="false" ht="30" hidden="false" customHeight="true" outlineLevel="0" collapsed="false">
      <c r="A131" s="6" t="n">
        <v>130</v>
      </c>
      <c r="B131" s="6" t="s">
        <v>864</v>
      </c>
      <c r="C131" s="6" t="s">
        <v>865</v>
      </c>
      <c r="D131" s="6" t="s">
        <v>866</v>
      </c>
      <c r="E131" s="6" t="s">
        <v>867</v>
      </c>
      <c r="F131" s="13" t="s">
        <v>868</v>
      </c>
      <c r="G131" s="6" t="s">
        <v>26</v>
      </c>
      <c r="H131" s="6" t="s">
        <v>28</v>
      </c>
      <c r="I131" s="14" t="n">
        <v>18000</v>
      </c>
      <c r="J131" s="15" t="n">
        <v>22000</v>
      </c>
      <c r="K131" s="15" t="n">
        <v>15000</v>
      </c>
      <c r="L131" s="6" t="s">
        <v>193</v>
      </c>
      <c r="M131" s="16" t="n">
        <v>2200000</v>
      </c>
      <c r="N131" s="17" t="n">
        <v>1</v>
      </c>
      <c r="O131" s="17" t="n">
        <v>5</v>
      </c>
      <c r="P131" s="18" t="n">
        <v>0</v>
      </c>
      <c r="Q131" s="19" t="n">
        <v>0</v>
      </c>
      <c r="R131" s="13" t="s">
        <v>869</v>
      </c>
      <c r="S131" s="25" t="s">
        <v>309</v>
      </c>
      <c r="T131" s="6" t="s">
        <v>82</v>
      </c>
      <c r="U131" s="13" t="s">
        <v>870</v>
      </c>
      <c r="V131" s="14" t="n">
        <v>14000</v>
      </c>
      <c r="W131" s="15" t="n">
        <v>17000</v>
      </c>
      <c r="X131" s="15" t="n">
        <v>11000</v>
      </c>
      <c r="Y131" s="16" t="n">
        <v>1400000</v>
      </c>
    </row>
    <row r="132" customFormat="false" ht="30" hidden="false" customHeight="true" outlineLevel="0" collapsed="false">
      <c r="A132" s="6" t="n">
        <v>131</v>
      </c>
      <c r="B132" s="6" t="s">
        <v>864</v>
      </c>
      <c r="C132" s="6" t="s">
        <v>871</v>
      </c>
      <c r="D132" s="6" t="s">
        <v>872</v>
      </c>
      <c r="E132" s="6" t="s">
        <v>873</v>
      </c>
      <c r="F132" s="13" t="s">
        <v>874</v>
      </c>
      <c r="G132" s="6" t="s">
        <v>26</v>
      </c>
      <c r="H132" s="6" t="s">
        <v>30</v>
      </c>
      <c r="I132" s="14" t="n">
        <v>65000</v>
      </c>
      <c r="J132" s="15" t="n">
        <v>80000</v>
      </c>
      <c r="K132" s="15" t="n">
        <v>55000</v>
      </c>
      <c r="L132" s="6" t="s">
        <v>193</v>
      </c>
      <c r="M132" s="16" t="n">
        <v>7500000</v>
      </c>
      <c r="N132" s="17" t="n">
        <v>1</v>
      </c>
      <c r="O132" s="17" t="n">
        <v>5</v>
      </c>
      <c r="P132" s="18" t="n">
        <v>0</v>
      </c>
      <c r="Q132" s="19" t="n">
        <v>1</v>
      </c>
      <c r="R132" s="13" t="s">
        <v>875</v>
      </c>
      <c r="S132" s="25" t="s">
        <v>309</v>
      </c>
      <c r="T132" s="6" t="s">
        <v>82</v>
      </c>
      <c r="U132" s="13" t="s">
        <v>876</v>
      </c>
      <c r="V132" s="14" t="n">
        <v>30000</v>
      </c>
      <c r="W132" s="15" t="n">
        <v>38000</v>
      </c>
      <c r="X132" s="15" t="n">
        <v>24000</v>
      </c>
      <c r="Y132" s="16" t="n">
        <v>2400000</v>
      </c>
    </row>
    <row r="133" customFormat="false" ht="30" hidden="false" customHeight="true" outlineLevel="0" collapsed="false">
      <c r="A133" s="6" t="n">
        <v>132</v>
      </c>
      <c r="B133" s="6" t="s">
        <v>864</v>
      </c>
      <c r="C133" s="6" t="s">
        <v>877</v>
      </c>
      <c r="D133" s="6" t="s">
        <v>878</v>
      </c>
      <c r="E133" s="6" t="s">
        <v>879</v>
      </c>
      <c r="F133" s="13" t="s">
        <v>880</v>
      </c>
      <c r="G133" s="6" t="s">
        <v>26</v>
      </c>
      <c r="H133" s="6" t="s">
        <v>30</v>
      </c>
      <c r="I133" s="14" t="n">
        <v>25000</v>
      </c>
      <c r="J133" s="15" t="n">
        <v>32000</v>
      </c>
      <c r="K133" s="15" t="n">
        <v>22000</v>
      </c>
      <c r="L133" s="6" t="s">
        <v>193</v>
      </c>
      <c r="M133" s="16" t="n">
        <v>2500000</v>
      </c>
      <c r="N133" s="17" t="n">
        <v>1</v>
      </c>
      <c r="O133" s="17" t="n">
        <v>5</v>
      </c>
      <c r="P133" s="18" t="n">
        <v>0</v>
      </c>
      <c r="Q133" s="19" t="n">
        <v>0</v>
      </c>
      <c r="R133" s="13" t="s">
        <v>881</v>
      </c>
      <c r="S133" s="24" t="s">
        <v>132</v>
      </c>
      <c r="T133" s="6" t="s">
        <v>82</v>
      </c>
      <c r="U133" s="13" t="s">
        <v>882</v>
      </c>
      <c r="V133" s="14" t="n">
        <v>22000</v>
      </c>
      <c r="W133" s="15" t="n">
        <v>28000</v>
      </c>
      <c r="X133" s="15" t="n">
        <v>18000</v>
      </c>
      <c r="Y133" s="16" t="n">
        <v>1800000</v>
      </c>
    </row>
    <row r="134" customFormat="false" ht="30" hidden="false" customHeight="true" outlineLevel="0" collapsed="false">
      <c r="A134" s="6" t="n">
        <v>133</v>
      </c>
      <c r="B134" s="6" t="s">
        <v>864</v>
      </c>
      <c r="C134" s="6" t="s">
        <v>883</v>
      </c>
      <c r="D134" s="6" t="s">
        <v>884</v>
      </c>
      <c r="E134" s="6" t="s">
        <v>885</v>
      </c>
      <c r="F134" s="13" t="s">
        <v>886</v>
      </c>
      <c r="G134" s="6" t="s">
        <v>32</v>
      </c>
      <c r="H134" s="6" t="s">
        <v>32</v>
      </c>
      <c r="I134" s="14" t="n">
        <v>35000</v>
      </c>
      <c r="J134" s="15" t="n">
        <v>42000</v>
      </c>
      <c r="K134" s="15" t="n">
        <v>28000</v>
      </c>
      <c r="L134" s="6" t="s">
        <v>193</v>
      </c>
      <c r="M134" s="16" t="n">
        <v>4200000</v>
      </c>
      <c r="N134" s="17" t="n">
        <v>1</v>
      </c>
      <c r="O134" s="17" t="n">
        <v>4</v>
      </c>
      <c r="P134" s="18" t="n">
        <v>0</v>
      </c>
      <c r="Q134" s="19" t="n">
        <v>0</v>
      </c>
      <c r="R134" s="13" t="s">
        <v>887</v>
      </c>
      <c r="S134" s="25" t="s">
        <v>309</v>
      </c>
      <c r="T134" s="6" t="s">
        <v>82</v>
      </c>
      <c r="U134" s="13" t="s">
        <v>888</v>
      </c>
      <c r="V134" s="14" t="n">
        <v>25000</v>
      </c>
      <c r="W134" s="15" t="n">
        <v>30000</v>
      </c>
      <c r="X134" s="15" t="n">
        <v>20000</v>
      </c>
      <c r="Y134" s="16" t="n">
        <v>2400000</v>
      </c>
    </row>
    <row r="135" customFormat="false" ht="30" hidden="false" customHeight="true" outlineLevel="0" collapsed="false">
      <c r="A135" s="6" t="n">
        <v>134</v>
      </c>
      <c r="B135" s="6" t="s">
        <v>864</v>
      </c>
      <c r="C135" s="6" t="s">
        <v>889</v>
      </c>
      <c r="D135" s="6" t="s">
        <v>890</v>
      </c>
      <c r="E135" s="6" t="s">
        <v>891</v>
      </c>
      <c r="F135" s="13" t="s">
        <v>892</v>
      </c>
      <c r="G135" s="6" t="s">
        <v>26</v>
      </c>
      <c r="H135" s="6" t="s">
        <v>30</v>
      </c>
      <c r="I135" s="14" t="n">
        <v>65000</v>
      </c>
      <c r="J135" s="15" t="n">
        <v>80000</v>
      </c>
      <c r="K135" s="15" t="n">
        <v>55000</v>
      </c>
      <c r="L135" s="6" t="s">
        <v>193</v>
      </c>
      <c r="M135" s="16" t="n">
        <v>7500000</v>
      </c>
      <c r="N135" s="17" t="n">
        <v>1</v>
      </c>
      <c r="O135" s="17" t="n">
        <v>4</v>
      </c>
      <c r="P135" s="18" t="n">
        <v>0</v>
      </c>
      <c r="Q135" s="19" t="n">
        <v>0</v>
      </c>
      <c r="R135" s="13" t="s">
        <v>893</v>
      </c>
      <c r="S135" s="20" t="s">
        <v>81</v>
      </c>
      <c r="T135" s="6" t="s">
        <v>82</v>
      </c>
      <c r="U135" s="13" t="s">
        <v>894</v>
      </c>
      <c r="V135" s="14" t="n">
        <v>18000</v>
      </c>
      <c r="W135" s="15" t="n">
        <v>22000</v>
      </c>
      <c r="X135" s="15" t="n">
        <v>14000</v>
      </c>
      <c r="Y135" s="16" t="n">
        <v>1800000</v>
      </c>
    </row>
  </sheetData>
  <autoFilter ref="A1:Y13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8" min="1" style="1" width="28"/>
  </cols>
  <sheetData>
    <row r="1" customFormat="false" ht="21.75" hidden="false" customHeight="true" outlineLevel="0" collapsed="false">
      <c r="A1" s="3" t="s">
        <v>895</v>
      </c>
      <c r="B1" s="2"/>
      <c r="C1" s="2"/>
      <c r="D1" s="2"/>
    </row>
    <row r="2" customFormat="false" ht="15" hidden="false" customHeight="true" outlineLevel="0" collapsed="false">
      <c r="A2" s="4" t="s">
        <v>896</v>
      </c>
      <c r="B2" s="2"/>
      <c r="C2" s="2"/>
      <c r="D2" s="2"/>
    </row>
    <row r="3" customFormat="false" ht="15" hidden="false" customHeight="true" outlineLevel="0" collapsed="false">
      <c r="A3" s="2" t="s">
        <v>897</v>
      </c>
      <c r="B3" s="26" t="n">
        <v>90</v>
      </c>
      <c r="C3" s="4" t="s">
        <v>898</v>
      </c>
      <c r="D3" s="2"/>
    </row>
    <row r="4" customFormat="false" ht="15" hidden="false" customHeight="true" outlineLevel="0" collapsed="false">
      <c r="A4" s="2" t="s">
        <v>899</v>
      </c>
      <c r="B4" s="27" t="n">
        <v>92</v>
      </c>
      <c r="C4" s="2"/>
      <c r="D4" s="2"/>
    </row>
    <row r="5" customFormat="false" ht="15" hidden="false" customHeight="true" outlineLevel="0" collapsed="false">
      <c r="A5" s="2" t="s">
        <v>900</v>
      </c>
      <c r="B5" s="27" t="n">
        <v>85</v>
      </c>
      <c r="C5" s="2"/>
      <c r="D5" s="2"/>
    </row>
    <row r="6" customFormat="false" ht="15" hidden="false" customHeight="true" outlineLevel="0" collapsed="false">
      <c r="A6" s="2"/>
      <c r="B6" s="2"/>
      <c r="C6" s="2"/>
      <c r="D6" s="2"/>
    </row>
    <row r="7" customFormat="false" ht="15" hidden="false" customHeight="true" outlineLevel="0" collapsed="false">
      <c r="A7" s="7" t="s">
        <v>901</v>
      </c>
      <c r="B7" s="2"/>
      <c r="C7" s="2"/>
      <c r="D7" s="2"/>
    </row>
    <row r="8" customFormat="false" ht="15" hidden="false" customHeight="true" outlineLevel="0" collapsed="false">
      <c r="A8" s="28" t="s">
        <v>902</v>
      </c>
      <c r="B8" s="29" t="s">
        <v>30</v>
      </c>
      <c r="C8" s="29" t="s">
        <v>28</v>
      </c>
      <c r="D8" s="29" t="s">
        <v>26</v>
      </c>
    </row>
    <row r="9" customFormat="false" ht="15" hidden="false" customHeight="true" outlineLevel="0" collapsed="false">
      <c r="A9" s="6" t="s">
        <v>903</v>
      </c>
      <c r="B9" s="30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медицинский)"))&lt;=3))*(('Реестр оборудования'!$B$2:$B$135="Лучевая диагностика")+('Реестр оборудования'!$B$2:$B$135="Лаборатория и биомаркеры")+('Реестр оборудования'!$B$2:$B$135="Кардиология и пульмонология")+('Реестр оборудования'!$B$2:$B$135="Сон и неврология")+('Реестр оборудования'!$B$2:$B$135="Инфузионная терапия")+('Реестр оборудования'!$B$2:$B$135="Эстетика и регенеративные процедуры")+('Реестр оборудования'!$B$2:$B$135="Нутрициология и ЖКТ-диагностика")+('Реестр оборудования'!$B$2:$B$135="Состав тела и функциональная диагностика")+('Реестр оборудования'!$B$2:$B$135="Телемедицина и цифровое здоровье"))*IFERROR('Реестр оборудования'!$N$2:$N$135+0,0)*IFERROR('Реестр оборудования'!$I$2:$I$135+0,0))</f>
        <v>7636500</v>
      </c>
      <c r="C9" s="30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медицинский)"))&lt;=2))*(('Реестр оборудования'!$B$2:$B$135="Лучевая диагностика")+('Реестр оборудования'!$B$2:$B$135="Лаборатория и биомаркеры")+('Реестр оборудования'!$B$2:$B$135="Кардиология и пульмонология")+('Реестр оборудования'!$B$2:$B$135="Сон и неврология")+('Реестр оборудования'!$B$2:$B$135="Инфузионная терапия")+('Реестр оборудования'!$B$2:$B$135="Эстетика и регенеративные процедуры")+('Реестр оборудования'!$B$2:$B$135="Нутрициология и ЖКТ-диагностика")+('Реестр оборудования'!$B$2:$B$135="Состав тела и функциональная диагностика")+('Реестр оборудования'!$B$2:$B$135="Телемедицина и цифровое здоровье"))*IFERROR('Реестр оборудования'!$N$2:$N$135+0,0)*IFERROR('Реестр оборудования'!$I$2:$I$135+0,0))</f>
        <v>2222500</v>
      </c>
      <c r="D9" s="30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медицинский)"))&lt;=1))*(('Реестр оборудования'!$B$2:$B$135="Лучевая диагностика")+('Реестр оборудования'!$B$2:$B$135="Лаборатория и биомаркеры")+('Реестр оборудования'!$B$2:$B$135="Кардиология и пульмонология")+('Реестр оборудования'!$B$2:$B$135="Сон и неврология")+('Реестр оборудования'!$B$2:$B$135="Инфузионная терапия")+('Реестр оборудования'!$B$2:$B$135="Эстетика и регенеративные процедуры")+('Реестр оборудования'!$B$2:$B$135="Нутрициология и ЖКТ-диагностика")+('Реестр оборудования'!$B$2:$B$135="Состав тела и функциональная диагностика")+('Реестр оборудования'!$B$2:$B$135="Телемедицина и цифровое здоровье"))*IFERROR('Реестр оборудования'!$N$2:$N$135+0,0)*IFERROR('Реестр оборудования'!$I$2:$I$135+0,0))</f>
        <v>279000</v>
      </c>
    </row>
    <row r="10" customFormat="false" ht="15" hidden="false" customHeight="true" outlineLevel="0" collapsed="false">
      <c r="A10" s="6" t="s">
        <v>904</v>
      </c>
      <c r="B10" s="30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медицинский)"))&lt;=3))*(('Реестр оборудования'!$B$2:$B$135="Гидротерапия и SPA")+('Реестр оборудования'!$B$2:$B$135="Криотерапия и термальные зоны"))*IFERROR('Реестр оборудования'!$N$2:$N$135+0,0)*IFERROR('Реестр оборудования'!$I$2:$I$135+0,0))</f>
        <v>1626000</v>
      </c>
      <c r="C10" s="30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медицинский)"))&lt;=2))*(('Реестр оборудования'!$B$2:$B$135="Гидротерапия и SPA")+('Реестр оборудования'!$B$2:$B$135="Криотерапия и термальные зоны"))*IFERROR('Реестр оборудования'!$N$2:$N$135+0,0)*IFERROR('Реестр оборудования'!$I$2:$I$135+0,0))</f>
        <v>1626000</v>
      </c>
      <c r="D10" s="30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медицинский)"))&lt;=1))*(('Реестр оборудования'!$B$2:$B$135="Гидротерапия и SPA")+('Реестр оборудования'!$B$2:$B$135="Криотерапия и термальные зоны"))*IFERROR('Реестр оборудования'!$N$2:$N$135+0,0)*IFERROR('Реестр оборудования'!$I$2:$I$135+0,0))</f>
        <v>1626000</v>
      </c>
    </row>
    <row r="11" customFormat="false" ht="15" hidden="false" customHeight="true" outlineLevel="0" collapsed="false">
      <c r="A11" s="6" t="s">
        <v>905</v>
      </c>
      <c r="B11" s="30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медицинский)"))&lt;=3))*(('Реестр оборудования'!$B$2:$B$135="Движение и реабилитация")+('Реестр оборудования'!$B$2:$B$135="Тренажёрный зал и силовая зона"))*IFERROR('Реестр оборудования'!$N$2:$N$135+0,0)*IFERROR('Реестр оборудования'!$I$2:$I$135+0,0))</f>
        <v>1335000</v>
      </c>
      <c r="C11" s="30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медицинский)"))&lt;=2))*(('Реестр оборудования'!$B$2:$B$135="Движение и реабилитация")+('Реестр оборудования'!$B$2:$B$135="Тренажёрный зал и силовая зона"))*IFERROR('Реестр оборудования'!$N$2:$N$135+0,0)*IFERROR('Реестр оборудования'!$I$2:$I$135+0,0))</f>
        <v>581000</v>
      </c>
      <c r="D11" s="30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медицинский)"))&lt;=1))*(('Реестр оборудования'!$B$2:$B$135="Движение и реабилитация")+('Реестр оборудования'!$B$2:$B$135="Тренажёрный зал и силовая зона"))*IFERROR('Реестр оборудования'!$N$2:$N$135+0,0)*IFERROR('Реестр оборудования'!$I$2:$I$135+0,0))</f>
        <v>581000</v>
      </c>
    </row>
    <row r="12" customFormat="false" ht="15" hidden="false" customHeight="true" outlineLevel="0" collapsed="false">
      <c r="A12" s="6" t="s">
        <v>906</v>
      </c>
      <c r="B12" s="30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медицинский)"))&lt;=3))*(('Реестр оборудования'!$B$2:$B$135="ИТ, МИС, ПО для пациентов"))*IFERROR('Реестр оборудования'!$N$2:$N$135+0,0)*IFERROR('Реестр оборудования'!$I$2:$I$135+0,0))</f>
        <v>1000000</v>
      </c>
      <c r="C12" s="30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медицинский)"))&lt;=2))*(('Реестр оборудования'!$B$2:$B$135="ИТ, МИС, ПО для пациентов"))*IFERROR('Реестр оборудования'!$N$2:$N$135+0,0)*IFERROR('Реестр оборудования'!$I$2:$I$135+0,0))</f>
        <v>1000000</v>
      </c>
      <c r="D12" s="30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медицинский)"))&lt;=1))*(('Реестр оборудования'!$B$2:$B$135="ИТ, МИС, ПО для пациентов"))*IFERROR('Реестр оборудования'!$N$2:$N$135+0,0)*IFERROR('Реестр оборудования'!$I$2:$I$135+0,0))</f>
        <v>820000</v>
      </c>
    </row>
    <row r="13" customFormat="false" ht="15" hidden="false" customHeight="true" outlineLevel="0" collapsed="false">
      <c r="A13" s="6" t="s">
        <v>907</v>
      </c>
      <c r="B13" s="30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медицинский)"))&lt;=3))*(('Реестр оборудования'!$B$2:$B$135="Кухня и F&amp;B"))*IFERROR('Реестр оборудования'!$N$2:$N$135+0,0)*IFERROR('Реестр оборудования'!$I$2:$I$135+0,0))</f>
        <v>1056000</v>
      </c>
      <c r="C13" s="30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медицинский)"))&lt;=2))*(('Реестр оборудования'!$B$2:$B$135="Кухня и F&amp;B"))*IFERROR('Реестр оборудования'!$N$2:$N$135+0,0)*IFERROR('Реестр оборудования'!$I$2:$I$135+0,0))</f>
        <v>1056000</v>
      </c>
      <c r="D13" s="30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медицинский)"))&lt;=1))*(('Реестр оборудования'!$B$2:$B$135="Кухня и F&amp;B"))*IFERROR('Реестр оборудования'!$N$2:$N$135+0,0)*IFERROR('Реестр оборудования'!$I$2:$I$135+0,0))</f>
        <v>1056000</v>
      </c>
    </row>
    <row r="14" customFormat="false" ht="15" hidden="false" customHeight="true" outlineLevel="0" collapsed="false">
      <c r="A14" s="6" t="s">
        <v>908</v>
      </c>
      <c r="B14" s="30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медицинский)"))&lt;=3))*(('Реестр оборудования'!$B$2:$B$135="Медицинская инфраструктура"))*IFERROR('Реестр оборудования'!$N$2:$N$135+0,0)*IFERROR('Реестр оборудования'!$I$2:$I$135+0,0))</f>
        <v>1077000</v>
      </c>
      <c r="C14" s="30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медицинский)"))&lt;=2))*(('Реестр оборудования'!$B$2:$B$135="Медицинская инфраструктура"))*IFERROR('Реестр оборудования'!$N$2:$N$135+0,0)*IFERROR('Реестр оборудования'!$I$2:$I$135+0,0))</f>
        <v>127000</v>
      </c>
      <c r="D14" s="30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медицинский)"))&lt;=1))*(('Реестр оборудования'!$B$2:$B$135="Медицинская инфраструктура"))*IFERROR('Реестр оборудования'!$N$2:$N$135+0,0)*IFERROR('Реестр оборудования'!$I$2:$I$135+0,0))</f>
        <v>0</v>
      </c>
    </row>
    <row r="15" customFormat="false" ht="15" hidden="false" customHeight="true" outlineLevel="0" collapsed="false">
      <c r="A15" s="31" t="s">
        <v>909</v>
      </c>
      <c r="B15" s="32" t="n">
        <f aca="false">SUM(B9:B14)</f>
        <v>13730500</v>
      </c>
      <c r="C15" s="32" t="n">
        <f aca="false">SUM(C9:C14)</f>
        <v>6612500</v>
      </c>
      <c r="D15" s="32" t="n">
        <f aca="false">SUM(D9:D14)</f>
        <v>4362000</v>
      </c>
    </row>
    <row r="16" customFormat="false" ht="15" hidden="false" customHeight="true" outlineLevel="0" collapsed="false">
      <c r="A16" s="6" t="s">
        <v>910</v>
      </c>
      <c r="B16" s="33" t="n">
        <f aca="false">B15/$B$3</f>
        <v>152561.111111111</v>
      </c>
      <c r="C16" s="33" t="n">
        <f aca="false">C15/$B$3</f>
        <v>73472.2222222222</v>
      </c>
      <c r="D16" s="33" t="n">
        <f aca="false">D15/$B$3</f>
        <v>48466.6666666667</v>
      </c>
    </row>
    <row r="17" customFormat="false" ht="15" hidden="false" customHeight="true" outlineLevel="0" collapsed="false">
      <c r="A17" s="2"/>
      <c r="B17" s="2"/>
      <c r="C17" s="2"/>
      <c r="D17" s="2"/>
    </row>
    <row r="18" customFormat="false" ht="15" hidden="false" customHeight="true" outlineLevel="0" collapsed="false">
      <c r="A18" s="7" t="s">
        <v>911</v>
      </c>
      <c r="B18" s="2"/>
      <c r="C18" s="2"/>
      <c r="D18" s="2"/>
    </row>
    <row r="19" customFormat="false" ht="15" hidden="false" customHeight="true" outlineLevel="0" collapsed="false">
      <c r="A19" s="28" t="s">
        <v>902</v>
      </c>
      <c r="B19" s="29" t="s">
        <v>30</v>
      </c>
      <c r="C19" s="29" t="s">
        <v>28</v>
      </c>
      <c r="D19" s="29" t="s">
        <v>26</v>
      </c>
    </row>
    <row r="20" customFormat="false" ht="15" hidden="false" customHeight="true" outlineLevel="0" collapsed="false">
      <c r="A20" s="6" t="s">
        <v>903</v>
      </c>
      <c r="B20" s="34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медицинский)"))&lt;=3))*(('Реестр оборудования'!$B$2:$B$135="Лучевая диагностика")+('Реестр оборудования'!$B$2:$B$135="Лаборатория и биомаркеры")+('Реестр оборудования'!$B$2:$B$135="Кардиология и пульмонология")+('Реестр оборудования'!$B$2:$B$135="Сон и неврология")+('Реестр оборудования'!$B$2:$B$135="Инфузионная терапия")+('Реестр оборудования'!$B$2:$B$135="Эстетика и регенеративные процедуры")+('Реестр оборудования'!$B$2:$B$135="Нутрициология и ЖКТ-диагностика")+('Реестр оборудования'!$B$2:$B$135="Состав тела и функциональная диагностика")+('Реестр оборудования'!$B$2:$B$135="Телемедицина и цифровое здоровье"))*IFERROR('Реестр оборудования'!$N$2:$N$135+0,0)*IFERROR('Реестр оборудования'!$J$2:$J$135+0,0))</f>
        <v>8738700</v>
      </c>
      <c r="C20" s="34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медицинский)"))&lt;=2))*(('Реестр оборудования'!$B$2:$B$135="Лучевая диагностика")+('Реестр оборудования'!$B$2:$B$135="Лаборатория и биомаркеры")+('Реестр оборудования'!$B$2:$B$135="Кардиология и пульмонология")+('Реестр оборудования'!$B$2:$B$135="Сон и неврология")+('Реестр оборудования'!$B$2:$B$135="Инфузионная терапия")+('Реестр оборудования'!$B$2:$B$135="Эстетика и регенеративные процедуры")+('Реестр оборудования'!$B$2:$B$135="Нутрициология и ЖКТ-диагностика")+('Реестр оборудования'!$B$2:$B$135="Состав тела и функциональная диагностика")+('Реестр оборудования'!$B$2:$B$135="Телемедицина и цифровое здоровье"))*IFERROR('Реестр оборудования'!$N$2:$N$135+0,0)*IFERROR('Реестр оборудования'!$J$2:$J$135+0,0))</f>
        <v>2577700</v>
      </c>
      <c r="D20" s="34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медицинский)"))&lt;=1))*(('Реестр оборудования'!$B$2:$B$135="Лучевая диагностика")+('Реестр оборудования'!$B$2:$B$135="Лаборатория и биомаркеры")+('Реестр оборудования'!$B$2:$B$135="Кардиология и пульмонология")+('Реестр оборудования'!$B$2:$B$135="Сон и неврология")+('Реестр оборудования'!$B$2:$B$135="Инфузионная терапия")+('Реестр оборудования'!$B$2:$B$135="Эстетика и регенеративные процедуры")+('Реестр оборудования'!$B$2:$B$135="Нутрициология и ЖКТ-диагностика")+('Реестр оборудования'!$B$2:$B$135="Состав тела и функциональная диагностика")+('Реестр оборудования'!$B$2:$B$135="Телемедицина и цифровое здоровье"))*IFERROR('Реестр оборудования'!$N$2:$N$135+0,0)*IFERROR('Реестр оборудования'!$J$2:$J$135+0,0))</f>
        <v>337200</v>
      </c>
    </row>
    <row r="21" customFormat="false" ht="15" hidden="false" customHeight="true" outlineLevel="0" collapsed="false">
      <c r="A21" s="6" t="s">
        <v>904</v>
      </c>
      <c r="B21" s="34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медицинский)"))&lt;=3))*(('Реестр оборудования'!$B$2:$B$135="Гидротерапия и SPA")+('Реестр оборудования'!$B$2:$B$135="Криотерапия и термальные зоны"))*IFERROR('Реестр оборудования'!$N$2:$N$135+0,0)*IFERROR('Реестр оборудования'!$J$2:$J$135+0,0))</f>
        <v>1945200</v>
      </c>
      <c r="C21" s="34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медицинский)"))&lt;=2))*(('Реестр оборудования'!$B$2:$B$135="Гидротерапия и SPA")+('Реестр оборудования'!$B$2:$B$135="Криотерапия и термальные зоны"))*IFERROR('Реестр оборудования'!$N$2:$N$135+0,0)*IFERROR('Реестр оборудования'!$J$2:$J$135+0,0))</f>
        <v>1945200</v>
      </c>
      <c r="D21" s="34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медицинский)"))&lt;=1))*(('Реестр оборудования'!$B$2:$B$135="Гидротерапия и SPA")+('Реестр оборудования'!$B$2:$B$135="Криотерапия и термальные зоны"))*IFERROR('Реестр оборудования'!$N$2:$N$135+0,0)*IFERROR('Реестр оборудования'!$J$2:$J$135+0,0))</f>
        <v>1945200</v>
      </c>
    </row>
    <row r="22" customFormat="false" ht="15" hidden="false" customHeight="true" outlineLevel="0" collapsed="false">
      <c r="A22" s="6" t="s">
        <v>905</v>
      </c>
      <c r="B22" s="34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медицинский)"))&lt;=3))*(('Реестр оборудования'!$B$2:$B$135="Движение и реабилитация")+('Реестр оборудования'!$B$2:$B$135="Тренажёрный зал и силовая зона"))*IFERROR('Реестр оборудования'!$N$2:$N$135+0,0)*IFERROR('Реестр оборудования'!$J$2:$J$135+0,0))</f>
        <v>1585000</v>
      </c>
      <c r="C22" s="34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медицинский)"))&lt;=2))*(('Реестр оборудования'!$B$2:$B$135="Движение и реабилитация")+('Реестр оборудования'!$B$2:$B$135="Тренажёрный зал и силовая зона"))*IFERROR('Реестр оборудования'!$N$2:$N$135+0,0)*IFERROR('Реестр оборудования'!$J$2:$J$135+0,0))</f>
        <v>687000</v>
      </c>
      <c r="D22" s="34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медицинский)"))&lt;=1))*(('Реестр оборудования'!$B$2:$B$135="Движение и реабилитация")+('Реестр оборудования'!$B$2:$B$135="Тренажёрный зал и силовая зона"))*IFERROR('Реестр оборудования'!$N$2:$N$135+0,0)*IFERROR('Реестр оборудования'!$J$2:$J$135+0,0))</f>
        <v>687000</v>
      </c>
    </row>
    <row r="23" customFormat="false" ht="15" hidden="false" customHeight="true" outlineLevel="0" collapsed="false">
      <c r="A23" s="6" t="s">
        <v>906</v>
      </c>
      <c r="B23" s="34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медицинский)"))&lt;=3))*(('Реестр оборудования'!$B$2:$B$135="ИТ, МИС, ПО для пациентов"))*IFERROR('Реестр оборудования'!$N$2:$N$135+0,0)*IFERROR('Реестр оборудования'!$J$2:$J$135+0,0))</f>
        <v>1208000</v>
      </c>
      <c r="C23" s="34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медицинский)"))&lt;=2))*(('Реестр оборудования'!$B$2:$B$135="ИТ, МИС, ПО для пациентов"))*IFERROR('Реестр оборудования'!$N$2:$N$135+0,0)*IFERROR('Реестр оборудования'!$J$2:$J$135+0,0))</f>
        <v>1208000</v>
      </c>
      <c r="D23" s="34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медицинский)"))&lt;=1))*(('Реестр оборудования'!$B$2:$B$135="ИТ, МИС, ПО для пациентов"))*IFERROR('Реестр оборудования'!$N$2:$N$135+0,0)*IFERROR('Реестр оборудования'!$J$2:$J$135+0,0))</f>
        <v>988000</v>
      </c>
    </row>
    <row r="24" customFormat="false" ht="15" hidden="false" customHeight="true" outlineLevel="0" collapsed="false">
      <c r="A24" s="6" t="s">
        <v>907</v>
      </c>
      <c r="B24" s="34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медицинский)"))&lt;=3))*(('Реестр оборудования'!$B$2:$B$135="Кухня и F&amp;B"))*IFERROR('Реестр оборудования'!$N$2:$N$135+0,0)*IFERROR('Реестр оборудования'!$J$2:$J$135+0,0))</f>
        <v>1243800</v>
      </c>
      <c r="C24" s="34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медицинский)"))&lt;=2))*(('Реестр оборудования'!$B$2:$B$135="Кухня и F&amp;B"))*IFERROR('Реестр оборудования'!$N$2:$N$135+0,0)*IFERROR('Реестр оборудования'!$J$2:$J$135+0,0))</f>
        <v>1243800</v>
      </c>
      <c r="D24" s="34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медицинский)"))&lt;=1))*(('Реестр оборудования'!$B$2:$B$135="Кухня и F&amp;B"))*IFERROR('Реестр оборудования'!$N$2:$N$135+0,0)*IFERROR('Реестр оборудования'!$J$2:$J$135+0,0))</f>
        <v>1243800</v>
      </c>
    </row>
    <row r="25" customFormat="false" ht="15" hidden="false" customHeight="true" outlineLevel="0" collapsed="false">
      <c r="A25" s="6" t="s">
        <v>908</v>
      </c>
      <c r="B25" s="34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медицинский)"))&lt;=3))*(('Реестр оборудования'!$B$2:$B$135="Медицинская инфраструктура"))*IFERROR('Реестр оборудования'!$N$2:$N$135+0,0)*IFERROR('Реестр оборудования'!$J$2:$J$135+0,0))</f>
        <v>1295000</v>
      </c>
      <c r="C25" s="34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медицинский)"))&lt;=2))*(('Реестр оборудования'!$B$2:$B$135="Медицинская инфраструктура"))*IFERROR('Реестр оборудования'!$N$2:$N$135+0,0)*IFERROR('Реестр оборудования'!$J$2:$J$135+0,0))</f>
        <v>155000</v>
      </c>
      <c r="D25" s="34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медицинский)"))&lt;=1))*(('Реестр оборудования'!$B$2:$B$135="Медицинская инфраструктура"))*IFERROR('Реестр оборудования'!$N$2:$N$135+0,0)*IFERROR('Реестр оборудования'!$J$2:$J$135+0,0))</f>
        <v>0</v>
      </c>
    </row>
    <row r="26" customFormat="false" ht="15" hidden="false" customHeight="true" outlineLevel="0" collapsed="false">
      <c r="A26" s="31" t="s">
        <v>909</v>
      </c>
      <c r="B26" s="35" t="n">
        <f aca="false">SUM(B20:B25)</f>
        <v>16015700</v>
      </c>
      <c r="C26" s="35" t="n">
        <f aca="false">SUM(C20:C25)</f>
        <v>7816700</v>
      </c>
      <c r="D26" s="35" t="n">
        <f aca="false">SUM(D20:D25)</f>
        <v>5201200</v>
      </c>
    </row>
    <row r="27" customFormat="false" ht="15" hidden="false" customHeight="true" outlineLevel="0" collapsed="false">
      <c r="A27" s="6" t="s">
        <v>910</v>
      </c>
      <c r="B27" s="36" t="n">
        <f aca="false">B26/$B$3</f>
        <v>177952.222222222</v>
      </c>
      <c r="C27" s="36" t="n">
        <f aca="false">C26/$B$3</f>
        <v>86852.2222222222</v>
      </c>
      <c r="D27" s="36" t="n">
        <f aca="false">D26/$B$3</f>
        <v>57791.1111111111</v>
      </c>
    </row>
    <row r="28" customFormat="false" ht="15" hidden="false" customHeight="true" outlineLevel="0" collapsed="false">
      <c r="A28" s="2"/>
      <c r="B28" s="2"/>
      <c r="C28" s="2"/>
      <c r="D28" s="2"/>
    </row>
    <row r="29" customFormat="false" ht="15" hidden="false" customHeight="true" outlineLevel="0" collapsed="false">
      <c r="A29" s="7" t="s">
        <v>912</v>
      </c>
      <c r="B29" s="2"/>
      <c r="C29" s="2"/>
      <c r="D29" s="2"/>
    </row>
    <row r="30" customFormat="false" ht="15" hidden="false" customHeight="true" outlineLevel="0" collapsed="false">
      <c r="A30" s="28" t="s">
        <v>902</v>
      </c>
      <c r="B30" s="29" t="s">
        <v>30</v>
      </c>
      <c r="C30" s="29" t="s">
        <v>28</v>
      </c>
      <c r="D30" s="29" t="s">
        <v>26</v>
      </c>
    </row>
    <row r="31" customFormat="false" ht="15" hidden="false" customHeight="true" outlineLevel="0" collapsed="false">
      <c r="A31" s="6" t="s">
        <v>903</v>
      </c>
      <c r="B31" s="34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медицинский)"))&lt;=3))*(('Реестр оборудования'!$B$2:$B$135="Лучевая диагностика")+('Реестр оборудования'!$B$2:$B$135="Лаборатория и биомаркеры")+('Реестр оборудования'!$B$2:$B$135="Кардиология и пульмонология")+('Реестр оборудования'!$B$2:$B$135="Сон и неврология")+('Реестр оборудования'!$B$2:$B$135="Инфузионная терапия")+('Реестр оборудования'!$B$2:$B$135="Эстетика и регенеративные процедуры")+('Реестр оборудования'!$B$2:$B$135="Нутрициология и ЖКТ-диагностика")+('Реестр оборудования'!$B$2:$B$135="Состав тела и функциональная диагностика")+('Реестр оборудования'!$B$2:$B$135="Телемедицина и цифровое здоровье"))*IFERROR('Реестр оборудования'!$N$2:$N$135+0,0)*IFERROR('Реестр оборудования'!$K$2:$K$135+0,0))</f>
        <v>6556200</v>
      </c>
      <c r="C31" s="34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медицинский)"))&lt;=2))*(('Реестр оборудования'!$B$2:$B$135="Лучевая диагностика")+('Реестр оборудования'!$B$2:$B$135="Лаборатория и биомаркеры")+('Реестр оборудования'!$B$2:$B$135="Кардиология и пульмонология")+('Реестр оборудования'!$B$2:$B$135="Сон и неврология")+('Реестр оборудования'!$B$2:$B$135="Инфузионная терапия")+('Реестр оборудования'!$B$2:$B$135="Эстетика и регенеративные процедуры")+('Реестр оборудования'!$B$2:$B$135="Нутрициология и ЖКТ-диагностика")+('Реестр оборудования'!$B$2:$B$135="Состав тела и функциональная диагностика")+('Реестр оборудования'!$B$2:$B$135="Телемедицина и цифровое здоровье"))*IFERROR('Реестр оборудования'!$N$2:$N$135+0,0)*IFERROR('Реестр оборудования'!$K$2:$K$135+0,0))</f>
        <v>1883200</v>
      </c>
      <c r="D31" s="34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медицинский)"))&lt;=1))*(('Реестр оборудования'!$B$2:$B$135="Лучевая диагностика")+('Реестр оборудования'!$B$2:$B$135="Лаборатория и биомаркеры")+('Реестр оборудования'!$B$2:$B$135="Кардиология и пульмонология")+('Реестр оборудования'!$B$2:$B$135="Сон и неврология")+('Реестр оборудования'!$B$2:$B$135="Инфузионная терапия")+('Реестр оборудования'!$B$2:$B$135="Эстетика и регенеративные процедуры")+('Реестр оборудования'!$B$2:$B$135="Нутрициология и ЖКТ-диагностика")+('Реестр оборудования'!$B$2:$B$135="Состав тела и функциональная диагностика")+('Реестр оборудования'!$B$2:$B$135="Телемедицина и цифровое здоровье"))*IFERROR('Реестр оборудования'!$N$2:$N$135+0,0)*IFERROR('Реестр оборудования'!$K$2:$K$135+0,0))</f>
        <v>247000</v>
      </c>
    </row>
    <row r="32" customFormat="false" ht="15" hidden="false" customHeight="true" outlineLevel="0" collapsed="false">
      <c r="A32" s="6" t="s">
        <v>904</v>
      </c>
      <c r="B32" s="34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медицинский)"))&lt;=3))*(('Реестр оборудования'!$B$2:$B$135="Гидротерапия и SPA")+('Реестр оборудования'!$B$2:$B$135="Криотерапия и термальные зоны"))*IFERROR('Реестр оборудования'!$N$2:$N$135+0,0)*IFERROR('Реестр оборудования'!$K$2:$K$135+0,0))</f>
        <v>1528800</v>
      </c>
      <c r="C32" s="34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медицинский)"))&lt;=2))*(('Реестр оборудования'!$B$2:$B$135="Гидротерапия и SPA")+('Реестр оборудования'!$B$2:$B$135="Криотерапия и термальные зоны"))*IFERROR('Реестр оборудования'!$N$2:$N$135+0,0)*IFERROR('Реестр оборудования'!$K$2:$K$135+0,0))</f>
        <v>1528800</v>
      </c>
      <c r="D32" s="34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медицинский)"))&lt;=1))*(('Реестр оборудования'!$B$2:$B$135="Гидротерапия и SPA")+('Реестр оборудования'!$B$2:$B$135="Криотерапия и термальные зоны"))*IFERROR('Реестр оборудования'!$N$2:$N$135+0,0)*IFERROR('Реестр оборудования'!$K$2:$K$135+0,0))</f>
        <v>1528800</v>
      </c>
    </row>
    <row r="33" customFormat="false" ht="15" hidden="false" customHeight="true" outlineLevel="0" collapsed="false">
      <c r="A33" s="6" t="s">
        <v>905</v>
      </c>
      <c r="B33" s="34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медицинский)"))&lt;=3))*(('Реестр оборудования'!$B$2:$B$135="Движение и реабилитация")+('Реестр оборудования'!$B$2:$B$135="Тренажёрный зал и силовая зона"))*IFERROR('Реестр оборудования'!$N$2:$N$135+0,0)*IFERROR('Реестр оборудования'!$K$2:$K$135+0,0))</f>
        <v>1265000</v>
      </c>
      <c r="C33" s="34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медицинский)"))&lt;=2))*(('Реестр оборудования'!$B$2:$B$135="Движение и реабилитация")+('Реестр оборудования'!$B$2:$B$135="Тренажёрный зал и силовая зона"))*IFERROR('Реестр оборудования'!$N$2:$N$135+0,0)*IFERROR('Реестр оборудования'!$K$2:$K$135+0,0))</f>
        <v>547000</v>
      </c>
      <c r="D33" s="34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медицинский)"))&lt;=1))*(('Реестр оборудования'!$B$2:$B$135="Движение и реабилитация")+('Реестр оборудования'!$B$2:$B$135="Тренажёрный зал и силовая зона"))*IFERROR('Реестр оборудования'!$N$2:$N$135+0,0)*IFERROR('Реестр оборудования'!$K$2:$K$135+0,0))</f>
        <v>547000</v>
      </c>
    </row>
    <row r="34" customFormat="false" ht="15" hidden="false" customHeight="true" outlineLevel="0" collapsed="false">
      <c r="A34" s="6" t="s">
        <v>906</v>
      </c>
      <c r="B34" s="34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медицинский)"))&lt;=3))*(('Реестр оборудования'!$B$2:$B$135="ИТ, МИС, ПО для пациентов"))*IFERROR('Реестр оборудования'!$N$2:$N$135+0,0)*IFERROR('Реестр оборудования'!$K$2:$K$135+0,0))</f>
        <v>803000</v>
      </c>
      <c r="C34" s="34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медицинский)"))&lt;=2))*(('Реестр оборудования'!$B$2:$B$135="ИТ, МИС, ПО для пациентов"))*IFERROR('Реестр оборудования'!$N$2:$N$135+0,0)*IFERROR('Реестр оборудования'!$K$2:$K$135+0,0))</f>
        <v>803000</v>
      </c>
      <c r="D34" s="34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медицинский)"))&lt;=1))*(('Реестр оборудования'!$B$2:$B$135="ИТ, МИС, ПО для пациентов"))*IFERROR('Реестр оборудования'!$N$2:$N$135+0,0)*IFERROR('Реестр оборудования'!$K$2:$K$135+0,0))</f>
        <v>653000</v>
      </c>
    </row>
    <row r="35" customFormat="false" ht="15" hidden="false" customHeight="true" outlineLevel="0" collapsed="false">
      <c r="A35" s="6" t="s">
        <v>907</v>
      </c>
      <c r="B35" s="34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медицинский)"))&lt;=3))*(('Реестр оборудования'!$B$2:$B$135="Кухня и F&amp;B"))*IFERROR('Реестр оборудования'!$N$2:$N$135+0,0)*IFERROR('Реестр оборудования'!$K$2:$K$135+0,0))</f>
        <v>823000</v>
      </c>
      <c r="C35" s="34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медицинский)"))&lt;=2))*(('Реестр оборудования'!$B$2:$B$135="Кухня и F&amp;B"))*IFERROR('Реестр оборудования'!$N$2:$N$135+0,0)*IFERROR('Реестр оборудования'!$K$2:$K$135+0,0))</f>
        <v>823000</v>
      </c>
      <c r="D35" s="34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медицинский)"))&lt;=1))*(('Реестр оборудования'!$B$2:$B$135="Кухня и F&amp;B"))*IFERROR('Реестр оборудования'!$N$2:$N$135+0,0)*IFERROR('Реестр оборудования'!$K$2:$K$135+0,0))</f>
        <v>823000</v>
      </c>
    </row>
    <row r="36" customFormat="false" ht="15" hidden="false" customHeight="true" outlineLevel="0" collapsed="false">
      <c r="A36" s="6" t="s">
        <v>908</v>
      </c>
      <c r="B36" s="34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медицинский)"))&lt;=3))*(('Реестр оборудования'!$B$2:$B$135="Медицинская инфраструктура"))*IFERROR('Реестр оборудования'!$N$2:$N$135+0,0)*IFERROR('Реестр оборудования'!$K$2:$K$135+0,0))</f>
        <v>834000</v>
      </c>
      <c r="C36" s="34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медицинский)"))&lt;=2))*(('Реестр оборудования'!$B$2:$B$135="Медицинская инфраструктура"))*IFERROR('Реестр оборудования'!$N$2:$N$135+0,0)*IFERROR('Реестр оборудования'!$K$2:$K$135+0,0))</f>
        <v>94000</v>
      </c>
      <c r="D36" s="34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медицинский)"))&lt;=1))*(('Реестр оборудования'!$B$2:$B$135="Медицинская инфраструктура"))*IFERROR('Реестр оборудования'!$N$2:$N$135+0,0)*IFERROR('Реестр оборудования'!$K$2:$K$135+0,0))</f>
        <v>0</v>
      </c>
    </row>
    <row r="37" customFormat="false" ht="15" hidden="false" customHeight="true" outlineLevel="0" collapsed="false">
      <c r="A37" s="31" t="s">
        <v>909</v>
      </c>
      <c r="B37" s="35" t="n">
        <f aca="false">SUM(B31:B36)</f>
        <v>11810000</v>
      </c>
      <c r="C37" s="35" t="n">
        <f aca="false">SUM(C31:C36)</f>
        <v>5679000</v>
      </c>
      <c r="D37" s="35" t="n">
        <f aca="false">SUM(D31:D36)</f>
        <v>3798800</v>
      </c>
    </row>
    <row r="38" customFormat="false" ht="15" hidden="false" customHeight="true" outlineLevel="0" collapsed="false">
      <c r="A38" s="6" t="s">
        <v>910</v>
      </c>
      <c r="B38" s="36" t="n">
        <f aca="false">B37/$B$3</f>
        <v>131222.222222222</v>
      </c>
      <c r="C38" s="36" t="n">
        <f aca="false">C37/$B$3</f>
        <v>63100</v>
      </c>
      <c r="D38" s="36" t="n">
        <f aca="false">D37/$B$3</f>
        <v>42208.8888888889</v>
      </c>
    </row>
    <row r="39" customFormat="false" ht="15" hidden="false" customHeight="true" outlineLevel="0" collapsed="false">
      <c r="A39" s="2"/>
      <c r="B39" s="2"/>
      <c r="C39" s="2"/>
      <c r="D39" s="2"/>
    </row>
    <row r="40" customFormat="false" ht="15" hidden="false" customHeight="true" outlineLevel="0" collapsed="false">
      <c r="A40" s="7" t="s">
        <v>913</v>
      </c>
      <c r="B40" s="2"/>
      <c r="C40" s="2"/>
      <c r="D40" s="2"/>
    </row>
    <row r="41" customFormat="false" ht="15" hidden="false" customHeight="true" outlineLevel="0" collapsed="false">
      <c r="A41" s="28" t="s">
        <v>902</v>
      </c>
      <c r="B41" s="29" t="s">
        <v>30</v>
      </c>
      <c r="C41" s="29" t="s">
        <v>28</v>
      </c>
      <c r="D41" s="29" t="s">
        <v>26</v>
      </c>
    </row>
    <row r="42" customFormat="false" ht="15" hidden="false" customHeight="true" outlineLevel="0" collapsed="false">
      <c r="A42" s="6" t="s">
        <v>903</v>
      </c>
      <c r="B42" s="37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медицинский)"))&lt;=3))*(('Реестр оборудования'!$B$2:$B$135="Лучевая диагностика")+('Реестр оборудования'!$B$2:$B$135="Лаборатория и биомаркеры")+('Реестр оборудования'!$B$2:$B$135="Кардиология и пульмонология")+('Реестр оборудования'!$B$2:$B$135="Сон и неврология")+('Реестр оборудования'!$B$2:$B$135="Инфузионная терапия")+('Реестр оборудования'!$B$2:$B$135="Эстетика и регенеративные процедуры")+('Реестр оборудования'!$B$2:$B$135="Нутрициология и ЖКТ-диагностика")+('Реестр оборудования'!$B$2:$B$135="Состав тела и функциональная диагностика")+('Реестр оборудования'!$B$2:$B$135="Телемедицина и цифровое здоровье"))*IFERROR('Реестр оборудования'!$N$2:$N$135+0,0)*IFERROR('Реестр оборудования'!$M$2:$M$135+0,0))</f>
        <v>1046550000</v>
      </c>
      <c r="C42" s="37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медицинский)"))&lt;=2))*(('Реестр оборудования'!$B$2:$B$135="Лучевая диагностика")+('Реестр оборудования'!$B$2:$B$135="Лаборатория и биомаркеры")+('Реестр оборудования'!$B$2:$B$135="Кардиология и пульмонология")+('Реестр оборудования'!$B$2:$B$135="Сон и неврология")+('Реестр оборудования'!$B$2:$B$135="Инфузионная терапия")+('Реестр оборудования'!$B$2:$B$135="Эстетика и регенеративные процедуры")+('Реестр оборудования'!$B$2:$B$135="Нутрициология и ЖКТ-диагностика")+('Реестр оборудования'!$B$2:$B$135="Состав тела и функциональная диагностика")+('Реестр оборудования'!$B$2:$B$135="Телемедицина и цифровое здоровье"))*IFERROR('Реестр оборудования'!$N$2:$N$135+0,0)*IFERROR('Реестр оборудования'!$M$2:$M$135+0,0))</f>
        <v>300450000</v>
      </c>
      <c r="D42" s="37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медицинский)"))&lt;=1))*(('Реестр оборудования'!$B$2:$B$135="Лучевая диагностика")+('Реестр оборудования'!$B$2:$B$135="Лаборатория и биомаркеры")+('Реестр оборудования'!$B$2:$B$135="Кардиология и пульмонология")+('Реестр оборудования'!$B$2:$B$135="Сон и неврология")+('Реестр оборудования'!$B$2:$B$135="Инфузионная терапия")+('Реестр оборудования'!$B$2:$B$135="Эстетика и регенеративные процедуры")+('Реестр оборудования'!$B$2:$B$135="Нутрициология и ЖКТ-диагностика")+('Реестр оборудования'!$B$2:$B$135="Состав тела и функциональная диагностика")+('Реестр оборудования'!$B$2:$B$135="Телемедицина и цифровое здоровье"))*IFERROR('Реестр оборудования'!$N$2:$N$135+0,0)*IFERROR('Реестр оборудования'!$M$2:$M$135+0,0))</f>
        <v>33700000</v>
      </c>
    </row>
    <row r="43" customFormat="false" ht="15" hidden="false" customHeight="true" outlineLevel="0" collapsed="false">
      <c r="A43" s="6" t="s">
        <v>904</v>
      </c>
      <c r="B43" s="37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медицинский)"))&lt;=3))*(('Реестр оборудования'!$B$2:$B$135="Гидротерапия и SPA")+('Реестр оборудования'!$B$2:$B$135="Криотерапия и термальные зоны"))*IFERROR('Реестр оборудования'!$N$2:$N$135+0,0)*IFERROR('Реестр оборудования'!$M$2:$M$135+0,0))</f>
        <v>215440000</v>
      </c>
      <c r="C43" s="37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медицинский)"))&lt;=2))*(('Реестр оборудования'!$B$2:$B$135="Гидротерапия и SPA")+('Реестр оборудования'!$B$2:$B$135="Криотерапия и термальные зоны"))*IFERROR('Реестр оборудования'!$N$2:$N$135+0,0)*IFERROR('Реестр оборудования'!$M$2:$M$135+0,0))</f>
        <v>215440000</v>
      </c>
      <c r="D43" s="37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медицинский)"))&lt;=1))*(('Реестр оборудования'!$B$2:$B$135="Гидротерапия и SPA")+('Реестр оборудования'!$B$2:$B$135="Криотерапия и термальные зоны"))*IFERROR('Реестр оборудования'!$N$2:$N$135+0,0)*IFERROR('Реестр оборудования'!$M$2:$M$135+0,0))</f>
        <v>215440000</v>
      </c>
    </row>
    <row r="44" customFormat="false" ht="15" hidden="false" customHeight="true" outlineLevel="0" collapsed="false">
      <c r="A44" s="6" t="s">
        <v>905</v>
      </c>
      <c r="B44" s="37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медицинский)"))&lt;=3))*(('Реестр оборудования'!$B$2:$B$135="Движение и реабилитация")+('Реестр оборудования'!$B$2:$B$135="Тренажёрный зал и силовая зона"))*IFERROR('Реестр оборудования'!$N$2:$N$135+0,0)*IFERROR('Реестр оборудования'!$M$2:$M$135+0,0))</f>
        <v>183670000</v>
      </c>
      <c r="C44" s="37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медицинский)"))&lt;=2))*(('Реестр оборудования'!$B$2:$B$135="Движение и реабилитация")+('Реестр оборудования'!$B$2:$B$135="Тренажёрный зал и силовая зона"))*IFERROR('Реестр оборудования'!$N$2:$N$135+0,0)*IFERROR('Реестр оборудования'!$M$2:$M$135+0,0))</f>
        <v>80170000</v>
      </c>
      <c r="D44" s="37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медицинский)"))&lt;=1))*(('Реестр оборудования'!$B$2:$B$135="Движение и реабилитация")+('Реестр оборудования'!$B$2:$B$135="Тренажёрный зал и силовая зона"))*IFERROR('Реестр оборудования'!$N$2:$N$135+0,0)*IFERROR('Реестр оборудования'!$M$2:$M$135+0,0))</f>
        <v>80170000</v>
      </c>
    </row>
    <row r="45" customFormat="false" ht="15" hidden="false" customHeight="true" outlineLevel="0" collapsed="false">
      <c r="A45" s="6" t="s">
        <v>906</v>
      </c>
      <c r="B45" s="37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медицинский)"))&lt;=3))*(('Реестр оборудования'!$B$2:$B$135="ИТ, МИС, ПО для пациентов"))*IFERROR('Реестр оборудования'!$N$2:$N$135+0,0)*IFERROR('Реестр оборудования'!$M$2:$M$135+0,0))</f>
        <v>104800000</v>
      </c>
      <c r="C45" s="37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медицинский)"))&lt;=2))*(('Реестр оборудования'!$B$2:$B$135="ИТ, МИС, ПО для пациентов"))*IFERROR('Реестр оборудования'!$N$2:$N$135+0,0)*IFERROR('Реестр оборудования'!$M$2:$M$135+0,0))</f>
        <v>104800000</v>
      </c>
      <c r="D45" s="37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медицинский)"))&lt;=1))*(('Реестр оборудования'!$B$2:$B$135="ИТ, МИС, ПО для пациентов"))*IFERROR('Реестр оборудования'!$N$2:$N$135+0,0)*IFERROR('Реестр оборудования'!$M$2:$M$135+0,0))</f>
        <v>92800000</v>
      </c>
    </row>
    <row r="46" customFormat="false" ht="15" hidden="false" customHeight="true" outlineLevel="0" collapsed="false">
      <c r="A46" s="6" t="s">
        <v>907</v>
      </c>
      <c r="B46" s="37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медицинский)"))&lt;=3))*(('Реестр оборудования'!$B$2:$B$135="Кухня и F&amp;B"))*IFERROR('Реестр оборудования'!$N$2:$N$135+0,0)*IFERROR('Реестр оборудования'!$M$2:$M$135+0,0))</f>
        <v>130950000</v>
      </c>
      <c r="C46" s="37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медицинский)"))&lt;=2))*(('Реестр оборудования'!$B$2:$B$135="Кухня и F&amp;B"))*IFERROR('Реестр оборудования'!$N$2:$N$135+0,0)*IFERROR('Реестр оборудования'!$M$2:$M$135+0,0))</f>
        <v>130950000</v>
      </c>
      <c r="D46" s="37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медицинский)"))&lt;=1))*(('Реестр оборудования'!$B$2:$B$135="Кухня и F&amp;B"))*IFERROR('Реестр оборудования'!$N$2:$N$135+0,0)*IFERROR('Реестр оборудования'!$M$2:$M$135+0,0))</f>
        <v>130950000</v>
      </c>
    </row>
    <row r="47" customFormat="false" ht="15" hidden="false" customHeight="true" outlineLevel="0" collapsed="false">
      <c r="A47" s="6" t="s">
        <v>908</v>
      </c>
      <c r="B47" s="37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медицинский)"))&lt;=3))*(('Реестр оборудования'!$B$2:$B$135="Медицинская инфраструктура"))*IFERROR('Реестр оборудования'!$N$2:$N$135+0,0)*IFERROR('Реестр оборудования'!$M$2:$M$135+0,0))</f>
        <v>134000000</v>
      </c>
      <c r="C47" s="37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медицинский)"))&lt;=2))*(('Реестр оборудования'!$B$2:$B$135="Медицинская инфраструктура"))*IFERROR('Реестр оборудования'!$N$2:$N$135+0,0)*IFERROR('Реестр оборудования'!$M$2:$M$135+0,0))</f>
        <v>16000000</v>
      </c>
      <c r="D47" s="37" t="n">
        <f aca="false"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медицинский)"))&lt;=1))*(('Реестр оборудования'!$B$2:$B$135="Медицинская инфраструктура"))*IFERROR('Реестр оборудования'!$N$2:$N$135+0,0)*IFERROR('Реестр оборудования'!$M$2:$M$135+0,0))</f>
        <v>0</v>
      </c>
    </row>
    <row r="48" customFormat="false" ht="15" hidden="false" customHeight="true" outlineLevel="0" collapsed="false">
      <c r="A48" s="31" t="s">
        <v>909</v>
      </c>
      <c r="B48" s="38" t="n">
        <f aca="false">SUM(B42:B47)</f>
        <v>1815410000</v>
      </c>
      <c r="C48" s="38" t="n">
        <f aca="false">SUM(C42:C47)</f>
        <v>847810000</v>
      </c>
      <c r="D48" s="38" t="n">
        <f aca="false">SUM(D42:D47)</f>
        <v>553060000</v>
      </c>
    </row>
    <row r="49" customFormat="false" ht="15" hidden="false" customHeight="true" outlineLevel="0" collapsed="false">
      <c r="A49" s="6" t="s">
        <v>910</v>
      </c>
      <c r="B49" s="39" t="n">
        <f aca="false">B48/$B$3</f>
        <v>20171222.2222222</v>
      </c>
      <c r="C49" s="39" t="n">
        <f aca="false">C48/$B$3</f>
        <v>9420111.11111111</v>
      </c>
      <c r="D49" s="39" t="n">
        <f aca="false">D48/$B$3</f>
        <v>6145111.11111111</v>
      </c>
    </row>
    <row r="50" customFormat="false" ht="15" hidden="false" customHeight="true" outlineLevel="0" collapsed="false">
      <c r="A50" s="2"/>
      <c r="B50" s="2"/>
      <c r="C50" s="2"/>
      <c r="D50" s="2"/>
    </row>
    <row r="51" customFormat="false" ht="15" hidden="false" customHeight="true" outlineLevel="0" collapsed="false">
      <c r="A51" s="7" t="s">
        <v>914</v>
      </c>
      <c r="B51" s="2"/>
      <c r="C51" s="2"/>
      <c r="D51" s="2"/>
    </row>
    <row r="52" customFormat="false" ht="26.25" hidden="false" customHeight="true" outlineLevel="0" collapsed="false">
      <c r="A52" s="5" t="s">
        <v>915</v>
      </c>
      <c r="B52" s="13" t="s">
        <v>916</v>
      </c>
      <c r="C52" s="2"/>
      <c r="D52" s="40" t="s">
        <v>917</v>
      </c>
    </row>
    <row r="53" customFormat="false" ht="39" hidden="false" customHeight="true" outlineLevel="0" collapsed="false">
      <c r="A53" s="5" t="s">
        <v>918</v>
      </c>
      <c r="B53" s="13" t="s">
        <v>919</v>
      </c>
      <c r="C53" s="2"/>
      <c r="D53" s="40" t="s">
        <v>920</v>
      </c>
    </row>
    <row r="54" customFormat="false" ht="26.25" hidden="false" customHeight="true" outlineLevel="0" collapsed="false">
      <c r="A54" s="5" t="s">
        <v>921</v>
      </c>
      <c r="B54" s="13" t="s">
        <v>922</v>
      </c>
      <c r="C54" s="2"/>
      <c r="D54" s="40" t="s">
        <v>923</v>
      </c>
    </row>
    <row r="55" customFormat="false" ht="51.75" hidden="false" customHeight="true" outlineLevel="0" collapsed="false">
      <c r="A55" s="5" t="s">
        <v>924</v>
      </c>
      <c r="B55" s="13" t="s">
        <v>925</v>
      </c>
      <c r="C55" s="2"/>
      <c r="D55" s="40" t="s">
        <v>926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8"/>
    <col collapsed="false" customWidth="true" hidden="false" outlineLevel="0" max="10" min="2" style="1" width="22"/>
    <col collapsed="false" customWidth="true" hidden="false" outlineLevel="0" max="11" min="11" style="1" width="50"/>
  </cols>
  <sheetData>
    <row r="1" customFormat="false" ht="21.75" hidden="false" customHeight="true" outlineLevel="0" collapsed="false">
      <c r="A1" s="3" t="s">
        <v>927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true" outlineLevel="0" collapsed="false">
      <c r="A2" s="4" t="s">
        <v>928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5" hidden="false" customHeight="tru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customFormat="false" ht="15" hidden="false" customHeight="true" outlineLevel="0" collapsed="false">
      <c r="A4" s="7" t="s">
        <v>929</v>
      </c>
      <c r="B4" s="2"/>
      <c r="C4" s="2"/>
      <c r="D4" s="2"/>
      <c r="E4" s="2"/>
      <c r="F4" s="2"/>
      <c r="G4" s="2"/>
      <c r="H4" s="2"/>
      <c r="I4" s="2"/>
      <c r="J4" s="2"/>
      <c r="K4" s="2"/>
    </row>
    <row r="5" customFormat="false" ht="15" hidden="false" customHeight="true" outlineLevel="0" collapsed="false">
      <c r="A5" s="6" t="s">
        <v>930</v>
      </c>
      <c r="B5" s="26" t="n">
        <v>90</v>
      </c>
      <c r="C5" s="2"/>
      <c r="D5" s="2"/>
      <c r="E5" s="2"/>
      <c r="F5" s="2"/>
      <c r="G5" s="2"/>
      <c r="H5" s="2"/>
      <c r="I5" s="2"/>
      <c r="J5" s="2"/>
      <c r="K5" s="2"/>
    </row>
    <row r="6" customFormat="false" ht="15" hidden="false" customHeight="true" outlineLevel="0" collapsed="false">
      <c r="A6" s="6" t="s">
        <v>931</v>
      </c>
      <c r="B6" s="41" t="n">
        <v>0.65</v>
      </c>
      <c r="C6" s="2"/>
      <c r="D6" s="2"/>
      <c r="E6" s="2"/>
      <c r="F6" s="2"/>
      <c r="G6" s="2"/>
      <c r="H6" s="2"/>
      <c r="I6" s="2"/>
      <c r="J6" s="2"/>
      <c r="K6" s="2"/>
    </row>
    <row r="7" customFormat="false" ht="15" hidden="false" customHeight="true" outlineLevel="0" collapsed="false">
      <c r="A7" s="6" t="s">
        <v>932</v>
      </c>
      <c r="B7" s="42" t="n">
        <v>21352</v>
      </c>
      <c r="C7" s="2"/>
      <c r="D7" s="2"/>
      <c r="E7" s="2"/>
      <c r="F7" s="2"/>
      <c r="G7" s="2"/>
      <c r="H7" s="2"/>
      <c r="I7" s="2"/>
      <c r="J7" s="2"/>
      <c r="K7" s="2"/>
    </row>
    <row r="8" customFormat="false" ht="15" hidden="false" customHeight="true" outlineLevel="0" collapsed="false">
      <c r="A8" s="6" t="s">
        <v>933</v>
      </c>
      <c r="B8" s="42" t="n">
        <v>3050</v>
      </c>
      <c r="C8" s="2"/>
      <c r="D8" s="2"/>
      <c r="E8" s="2"/>
      <c r="F8" s="2"/>
      <c r="G8" s="2"/>
      <c r="H8" s="2"/>
      <c r="I8" s="2"/>
      <c r="J8" s="2"/>
      <c r="K8" s="2"/>
    </row>
    <row r="9" customFormat="false" ht="15" hidden="false" customHeight="true" outlineLevel="0" collapsed="false">
      <c r="A9" s="6" t="s">
        <v>899</v>
      </c>
      <c r="B9" s="27" t="n">
        <v>92</v>
      </c>
      <c r="C9" s="2"/>
      <c r="D9" s="2"/>
      <c r="E9" s="2"/>
      <c r="F9" s="2"/>
      <c r="G9" s="2"/>
      <c r="H9" s="2"/>
      <c r="I9" s="2"/>
      <c r="J9" s="2"/>
      <c r="K9" s="2"/>
    </row>
    <row r="10" customFormat="false" ht="15" hidden="false" customHeight="true" outlineLevel="0" collapsed="false">
      <c r="A10" s="6" t="s">
        <v>934</v>
      </c>
      <c r="B10" s="26" t="n">
        <v>320</v>
      </c>
      <c r="C10" s="2"/>
      <c r="D10" s="2"/>
      <c r="E10" s="2"/>
      <c r="F10" s="2"/>
      <c r="G10" s="2"/>
      <c r="H10" s="2"/>
      <c r="I10" s="2"/>
      <c r="J10" s="2"/>
      <c r="K10" s="2"/>
    </row>
    <row r="11" customFormat="false" ht="15" hidden="false" customHeight="true" outlineLevel="0" collapsed="false">
      <c r="A11" s="6" t="s">
        <v>935</v>
      </c>
      <c r="B11" s="26" t="n">
        <v>10</v>
      </c>
      <c r="C11" s="2"/>
      <c r="D11" s="2"/>
      <c r="E11" s="2"/>
      <c r="F11" s="2"/>
      <c r="G11" s="2"/>
      <c r="H11" s="2"/>
      <c r="I11" s="2"/>
      <c r="J11" s="2"/>
      <c r="K11" s="2"/>
    </row>
    <row r="12" customFormat="false" ht="15" hidden="false" customHeight="true" outlineLevel="0" collapsed="false">
      <c r="A12" s="6" t="s">
        <v>936</v>
      </c>
      <c r="B12" s="42" t="n">
        <v>3200</v>
      </c>
      <c r="C12" s="2"/>
      <c r="D12" s="2"/>
      <c r="E12" s="2"/>
      <c r="F12" s="2"/>
      <c r="G12" s="2"/>
      <c r="H12" s="2"/>
      <c r="I12" s="2"/>
      <c r="J12" s="2"/>
      <c r="K12" s="2"/>
    </row>
    <row r="13" customFormat="false" ht="15" hidden="false" customHeight="tru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customFormat="false" ht="15" hidden="false" customHeight="true" outlineLevel="0" collapsed="false">
      <c r="A14" s="7" t="s">
        <v>937</v>
      </c>
      <c r="B14" s="2"/>
      <c r="C14" s="2"/>
      <c r="D14" s="2"/>
      <c r="E14" s="2"/>
      <c r="F14" s="2"/>
      <c r="G14" s="2"/>
      <c r="H14" s="2"/>
      <c r="I14" s="2"/>
      <c r="J14" s="2"/>
      <c r="K14" s="2"/>
    </row>
    <row r="15" customFormat="false" ht="36" hidden="false" customHeight="true" outlineLevel="0" collapsed="false">
      <c r="A15" s="12" t="s">
        <v>938</v>
      </c>
      <c r="B15" s="12" t="s">
        <v>939</v>
      </c>
      <c r="C15" s="12" t="s">
        <v>940</v>
      </c>
      <c r="D15" s="12" t="s">
        <v>941</v>
      </c>
      <c r="E15" s="12" t="s">
        <v>942</v>
      </c>
      <c r="F15" s="12" t="s">
        <v>943</v>
      </c>
      <c r="G15" s="12" t="s">
        <v>944</v>
      </c>
      <c r="H15" s="12" t="s">
        <v>945</v>
      </c>
      <c r="I15" s="12" t="s">
        <v>946</v>
      </c>
      <c r="J15" s="12" t="s">
        <v>947</v>
      </c>
      <c r="K15" s="12" t="s">
        <v>69</v>
      </c>
    </row>
    <row r="16" customFormat="false" ht="30" hidden="false" customHeight="true" outlineLevel="0" collapsed="false">
      <c r="A16" s="8" t="s">
        <v>948</v>
      </c>
      <c r="B16" s="2" t="s">
        <v>30</v>
      </c>
      <c r="C16" s="16" t="n">
        <v>290000000</v>
      </c>
      <c r="D16" s="16" t="n">
        <v>32200000</v>
      </c>
      <c r="E16" s="16" t="n">
        <v>110000</v>
      </c>
      <c r="F16" s="42" t="n">
        <v>1210</v>
      </c>
      <c r="G16" s="16" t="n">
        <v>133100000</v>
      </c>
      <c r="H16" s="16" t="n">
        <v>100900000</v>
      </c>
      <c r="I16" s="27" t="n">
        <v>2.87</v>
      </c>
      <c r="J16" s="8" t="s">
        <v>949</v>
      </c>
      <c r="K16" s="8" t="s">
        <v>950</v>
      </c>
    </row>
    <row r="17" customFormat="false" ht="30" hidden="false" customHeight="true" outlineLevel="0" collapsed="false">
      <c r="A17" s="8" t="s">
        <v>951</v>
      </c>
      <c r="B17" s="2" t="s">
        <v>30</v>
      </c>
      <c r="C17" s="16" t="n">
        <v>130000000</v>
      </c>
      <c r="D17" s="16" t="n">
        <v>16300000</v>
      </c>
      <c r="E17" s="16" t="n">
        <v>70000</v>
      </c>
      <c r="F17" s="42" t="n">
        <v>810</v>
      </c>
      <c r="G17" s="16" t="n">
        <v>56700000</v>
      </c>
      <c r="H17" s="16" t="n">
        <v>40400000</v>
      </c>
      <c r="I17" s="27" t="n">
        <v>3.22</v>
      </c>
      <c r="J17" s="8" t="s">
        <v>949</v>
      </c>
      <c r="K17" s="8" t="s">
        <v>952</v>
      </c>
    </row>
    <row r="18" customFormat="false" ht="30" hidden="false" customHeight="true" outlineLevel="0" collapsed="false">
      <c r="A18" s="8" t="s">
        <v>953</v>
      </c>
      <c r="B18" s="2" t="s">
        <v>30</v>
      </c>
      <c r="C18" s="16" t="n">
        <v>117000000</v>
      </c>
      <c r="D18" s="16" t="n">
        <v>16660000</v>
      </c>
      <c r="E18" s="16" t="n">
        <v>45000</v>
      </c>
      <c r="F18" s="42" t="n">
        <v>800</v>
      </c>
      <c r="G18" s="16" t="n">
        <v>36000000</v>
      </c>
      <c r="H18" s="16" t="n">
        <v>19340000</v>
      </c>
      <c r="I18" s="27" t="n">
        <v>6.05</v>
      </c>
      <c r="J18" s="8" t="s">
        <v>949</v>
      </c>
      <c r="K18" s="8" t="s">
        <v>954</v>
      </c>
    </row>
    <row r="19" customFormat="false" ht="30" hidden="false" customHeight="true" outlineLevel="0" collapsed="false">
      <c r="A19" s="8" t="s">
        <v>955</v>
      </c>
      <c r="B19" s="2" t="s">
        <v>30</v>
      </c>
      <c r="C19" s="16" t="n">
        <v>13000000</v>
      </c>
      <c r="D19" s="16" t="n">
        <v>2010000</v>
      </c>
      <c r="E19" s="16" t="n">
        <v>12000</v>
      </c>
      <c r="F19" s="42" t="n">
        <v>1375</v>
      </c>
      <c r="G19" s="16" t="n">
        <v>16500000</v>
      </c>
      <c r="H19" s="16" t="n">
        <v>14490000</v>
      </c>
      <c r="I19" s="27" t="n">
        <v>0.9</v>
      </c>
      <c r="J19" s="8" t="s">
        <v>949</v>
      </c>
      <c r="K19" s="8" t="s">
        <v>956</v>
      </c>
    </row>
    <row r="20" customFormat="false" ht="30" hidden="false" customHeight="true" outlineLevel="0" collapsed="false">
      <c r="A20" s="8" t="s">
        <v>957</v>
      </c>
      <c r="B20" s="2" t="s">
        <v>30</v>
      </c>
      <c r="C20" s="16" t="n">
        <v>12500000</v>
      </c>
      <c r="D20" s="16" t="n">
        <v>4950000</v>
      </c>
      <c r="E20" s="16" t="n">
        <v>80000</v>
      </c>
      <c r="F20" s="42" t="n">
        <v>192</v>
      </c>
      <c r="G20" s="16" t="n">
        <v>15360000</v>
      </c>
      <c r="H20" s="16" t="n">
        <v>10410000</v>
      </c>
      <c r="I20" s="27" t="n">
        <v>1.2</v>
      </c>
      <c r="J20" s="8" t="s">
        <v>949</v>
      </c>
      <c r="K20" s="8" t="s">
        <v>958</v>
      </c>
    </row>
    <row r="21" customFormat="false" ht="30" hidden="false" customHeight="true" outlineLevel="0" collapsed="false">
      <c r="A21" s="8" t="s">
        <v>959</v>
      </c>
      <c r="B21" s="2" t="s">
        <v>30</v>
      </c>
      <c r="C21" s="16" t="n">
        <v>9000000</v>
      </c>
      <c r="D21" s="16" t="n">
        <v>4450000</v>
      </c>
      <c r="E21" s="16" t="n">
        <v>25000</v>
      </c>
      <c r="F21" s="42" t="n">
        <v>990</v>
      </c>
      <c r="G21" s="16" t="n">
        <v>24750000</v>
      </c>
      <c r="H21" s="16" t="n">
        <v>20300000</v>
      </c>
      <c r="I21" s="27" t="n">
        <v>0.44</v>
      </c>
      <c r="J21" s="8" t="s">
        <v>949</v>
      </c>
      <c r="K21" s="8" t="s">
        <v>960</v>
      </c>
    </row>
    <row r="22" customFormat="false" ht="30" hidden="false" customHeight="true" outlineLevel="0" collapsed="false">
      <c r="A22" s="8" t="s">
        <v>961</v>
      </c>
      <c r="B22" s="2" t="s">
        <v>30</v>
      </c>
      <c r="C22" s="16" t="n">
        <v>18000000</v>
      </c>
      <c r="D22" s="16" t="n">
        <v>6040000</v>
      </c>
      <c r="E22" s="16" t="n">
        <v>15000</v>
      </c>
      <c r="F22" s="42" t="n">
        <v>800</v>
      </c>
      <c r="G22" s="16" t="n">
        <v>12000000</v>
      </c>
      <c r="H22" s="16" t="n">
        <v>5960000</v>
      </c>
      <c r="I22" s="27" t="n">
        <v>3.02</v>
      </c>
      <c r="J22" s="8" t="s">
        <v>949</v>
      </c>
      <c r="K22" s="8" t="s">
        <v>962</v>
      </c>
    </row>
    <row r="23" customFormat="false" ht="30" hidden="false" customHeight="true" outlineLevel="0" collapsed="false">
      <c r="A23" s="8" t="s">
        <v>963</v>
      </c>
      <c r="B23" s="2" t="s">
        <v>30</v>
      </c>
      <c r="C23" s="16" t="n">
        <v>10400000</v>
      </c>
      <c r="D23" s="16" t="n">
        <v>4840000</v>
      </c>
      <c r="E23" s="16" t="n">
        <v>8000</v>
      </c>
      <c r="F23" s="42" t="n">
        <v>1600</v>
      </c>
      <c r="G23" s="16" t="n">
        <v>12800000</v>
      </c>
      <c r="H23" s="16" t="n">
        <v>15960000</v>
      </c>
      <c r="I23" s="27" t="n">
        <v>0.65</v>
      </c>
      <c r="J23" s="8" t="s">
        <v>949</v>
      </c>
      <c r="K23" s="8" t="s">
        <v>964</v>
      </c>
    </row>
    <row r="24" customFormat="false" ht="30" hidden="false" customHeight="true" outlineLevel="0" collapsed="false">
      <c r="A24" s="8" t="s">
        <v>687</v>
      </c>
      <c r="B24" s="2" t="s">
        <v>30</v>
      </c>
      <c r="C24" s="16" t="n">
        <v>6200000</v>
      </c>
      <c r="D24" s="16" t="n">
        <v>3020000</v>
      </c>
      <c r="E24" s="16" t="n">
        <v>2500</v>
      </c>
      <c r="F24" s="42" t="n">
        <v>2000</v>
      </c>
      <c r="G24" s="16" t="n">
        <v>5000000</v>
      </c>
      <c r="H24" s="16" t="n">
        <v>5980000</v>
      </c>
      <c r="I24" s="27" t="n">
        <v>1.04</v>
      </c>
      <c r="J24" s="8" t="s">
        <v>949</v>
      </c>
      <c r="K24" s="8" t="s">
        <v>965</v>
      </c>
    </row>
    <row r="25" customFormat="false" ht="30" hidden="false" customHeight="true" outlineLevel="0" collapsed="false">
      <c r="A25" s="8" t="s">
        <v>966</v>
      </c>
      <c r="B25" s="2" t="s">
        <v>30</v>
      </c>
      <c r="C25" s="16" t="n">
        <v>2880000</v>
      </c>
      <c r="D25" s="16" t="n">
        <v>7715200</v>
      </c>
      <c r="E25" s="16" t="n">
        <v>22000</v>
      </c>
      <c r="F25" s="42" t="n">
        <v>2880</v>
      </c>
      <c r="G25" s="16" t="n">
        <v>63360000</v>
      </c>
      <c r="H25" s="16" t="n">
        <v>55644800</v>
      </c>
      <c r="I25" s="27" t="n">
        <v>0.05</v>
      </c>
      <c r="J25" s="8" t="s">
        <v>949</v>
      </c>
      <c r="K25" s="8" t="s">
        <v>967</v>
      </c>
    </row>
    <row r="26" customFormat="false" ht="30" hidden="false" customHeight="true" outlineLevel="0" collapsed="false">
      <c r="A26" s="8" t="s">
        <v>968</v>
      </c>
      <c r="B26" s="2" t="s">
        <v>30</v>
      </c>
      <c r="C26" s="16" t="n">
        <v>28000000</v>
      </c>
      <c r="D26" s="16" t="n">
        <v>4080000</v>
      </c>
      <c r="E26" s="16" t="n">
        <v>4500</v>
      </c>
      <c r="F26" s="42" t="n">
        <v>2400</v>
      </c>
      <c r="G26" s="16" t="n">
        <v>10800000</v>
      </c>
      <c r="H26" s="16" t="n">
        <v>6720000</v>
      </c>
      <c r="I26" s="27" t="n">
        <v>4.17</v>
      </c>
      <c r="J26" s="8" t="s">
        <v>949</v>
      </c>
      <c r="K26" s="8" t="s">
        <v>969</v>
      </c>
    </row>
    <row r="27" customFormat="false" ht="30" hidden="false" customHeight="true" outlineLevel="0" collapsed="false">
      <c r="A27" s="8" t="s">
        <v>970</v>
      </c>
      <c r="B27" s="2" t="s">
        <v>30</v>
      </c>
      <c r="C27" s="16" t="n">
        <v>44000000</v>
      </c>
      <c r="D27" s="16" t="n">
        <v>4800000</v>
      </c>
      <c r="E27" s="16" t="n">
        <v>0</v>
      </c>
      <c r="F27" s="42" t="n">
        <v>0</v>
      </c>
      <c r="G27" s="16" t="n">
        <v>0</v>
      </c>
      <c r="H27" s="16" t="n">
        <v>0</v>
      </c>
      <c r="I27" s="2" t="s">
        <v>971</v>
      </c>
      <c r="J27" s="8" t="s">
        <v>949</v>
      </c>
      <c r="K27" s="8" t="s">
        <v>972</v>
      </c>
    </row>
    <row r="28" customFormat="false" ht="30" hidden="false" customHeight="true" outlineLevel="0" collapsed="false">
      <c r="A28" s="8" t="s">
        <v>973</v>
      </c>
      <c r="B28" s="2" t="s">
        <v>30</v>
      </c>
      <c r="C28" s="16" t="n">
        <v>48000000</v>
      </c>
      <c r="D28" s="16" t="n">
        <v>5580000</v>
      </c>
      <c r="E28" s="16" t="n">
        <v>8500</v>
      </c>
      <c r="F28" s="42" t="n">
        <v>200</v>
      </c>
      <c r="G28" s="16" t="n">
        <v>1700000</v>
      </c>
      <c r="H28" s="16" t="n">
        <v>-3880000</v>
      </c>
      <c r="I28" s="2" t="s">
        <v>974</v>
      </c>
      <c r="J28" s="8" t="s">
        <v>975</v>
      </c>
      <c r="K28" s="8" t="s">
        <v>976</v>
      </c>
    </row>
    <row r="29" customFormat="false" ht="30" hidden="false" customHeight="true" outlineLevel="0" collapsed="false">
      <c r="A29" s="8" t="s">
        <v>977</v>
      </c>
      <c r="B29" s="2" t="s">
        <v>28</v>
      </c>
      <c r="C29" s="16" t="n">
        <v>5200000</v>
      </c>
      <c r="D29" s="16" t="n">
        <v>4058000</v>
      </c>
      <c r="E29" s="16" t="n">
        <v>0</v>
      </c>
      <c r="F29" s="42" t="n">
        <v>0</v>
      </c>
      <c r="G29" s="16" t="n">
        <v>0</v>
      </c>
      <c r="H29" s="16" t="n">
        <v>0</v>
      </c>
      <c r="I29" s="2" t="s">
        <v>971</v>
      </c>
      <c r="J29" s="8" t="s">
        <v>975</v>
      </c>
      <c r="K29" s="8" t="s">
        <v>978</v>
      </c>
    </row>
    <row r="30" customFormat="false" ht="30" hidden="false" customHeight="true" outlineLevel="0" collapsed="false">
      <c r="A30" s="8" t="s">
        <v>979</v>
      </c>
      <c r="B30" s="2" t="s">
        <v>26</v>
      </c>
      <c r="C30" s="16" t="n">
        <v>60930000</v>
      </c>
      <c r="D30" s="16" t="n">
        <v>5846500</v>
      </c>
      <c r="E30" s="16" t="n">
        <v>0</v>
      </c>
      <c r="F30" s="42" t="n">
        <v>0</v>
      </c>
      <c r="G30" s="16" t="n">
        <v>0</v>
      </c>
      <c r="H30" s="16" t="n">
        <v>0</v>
      </c>
      <c r="I30" s="2" t="s">
        <v>971</v>
      </c>
      <c r="J30" s="8" t="s">
        <v>975</v>
      </c>
      <c r="K30" s="8" t="s">
        <v>980</v>
      </c>
    </row>
    <row r="31" customFormat="false" ht="30" hidden="false" customHeight="true" outlineLevel="0" collapsed="false">
      <c r="A31" s="8" t="s">
        <v>981</v>
      </c>
      <c r="B31" s="2" t="s">
        <v>28</v>
      </c>
      <c r="C31" s="16" t="n">
        <v>17700000</v>
      </c>
      <c r="D31" s="16" t="n">
        <v>4185000</v>
      </c>
      <c r="E31" s="16" t="n">
        <v>15000</v>
      </c>
      <c r="F31" s="42" t="n">
        <v>600</v>
      </c>
      <c r="G31" s="16" t="n">
        <v>9000000</v>
      </c>
      <c r="H31" s="16" t="n">
        <v>4815000</v>
      </c>
      <c r="I31" s="27" t="n">
        <v>3.68</v>
      </c>
      <c r="J31" s="8" t="s">
        <v>982</v>
      </c>
      <c r="K31" s="8" t="s">
        <v>983</v>
      </c>
    </row>
    <row r="32" customFormat="false" ht="30" hidden="false" customHeight="true" outlineLevel="0" collapsed="false">
      <c r="A32" s="8" t="s">
        <v>984</v>
      </c>
      <c r="B32" s="2" t="s">
        <v>28</v>
      </c>
      <c r="C32" s="16" t="n">
        <v>35000000</v>
      </c>
      <c r="D32" s="16" t="n">
        <v>4250000</v>
      </c>
      <c r="E32" s="16" t="n">
        <v>11000</v>
      </c>
      <c r="F32" s="42" t="n">
        <v>800</v>
      </c>
      <c r="G32" s="16" t="n">
        <v>8800000</v>
      </c>
      <c r="H32" s="16" t="n">
        <v>4550000</v>
      </c>
      <c r="I32" s="27" t="n">
        <v>7.69</v>
      </c>
      <c r="J32" s="8" t="s">
        <v>985</v>
      </c>
      <c r="K32" s="8" t="s">
        <v>986</v>
      </c>
    </row>
    <row r="33" customFormat="false" ht="30" hidden="false" customHeight="true" outlineLevel="0" collapsed="false">
      <c r="A33" s="8" t="s">
        <v>987</v>
      </c>
      <c r="B33" s="2" t="s">
        <v>26</v>
      </c>
      <c r="C33" s="16" t="n">
        <v>130950000</v>
      </c>
      <c r="D33" s="16" t="n">
        <v>7857000</v>
      </c>
      <c r="E33" s="16" t="n">
        <v>0</v>
      </c>
      <c r="F33" s="42" t="n">
        <v>0</v>
      </c>
      <c r="G33" s="16" t="n">
        <v>0</v>
      </c>
      <c r="H33" s="16" t="n">
        <v>0</v>
      </c>
      <c r="I33" s="2" t="s">
        <v>988</v>
      </c>
      <c r="J33" s="8" t="s">
        <v>985</v>
      </c>
      <c r="K33" s="8" t="s">
        <v>989</v>
      </c>
    </row>
    <row r="34" customFormat="false" ht="30" hidden="false" customHeight="true" outlineLevel="0" collapsed="false">
      <c r="A34" s="8" t="s">
        <v>990</v>
      </c>
      <c r="B34" s="2" t="s">
        <v>30</v>
      </c>
      <c r="C34" s="16" t="n">
        <v>12000000</v>
      </c>
      <c r="D34" s="16" t="n">
        <v>6900000</v>
      </c>
      <c r="E34" s="16" t="n">
        <v>0</v>
      </c>
      <c r="F34" s="42" t="n">
        <v>0</v>
      </c>
      <c r="G34" s="16" t="n">
        <v>0</v>
      </c>
      <c r="H34" s="16" t="n">
        <v>0</v>
      </c>
      <c r="I34" s="2" t="s">
        <v>988</v>
      </c>
      <c r="J34" s="8" t="s">
        <v>985</v>
      </c>
      <c r="K34" s="8" t="s">
        <v>991</v>
      </c>
    </row>
    <row r="35" customFormat="false" ht="30" hidden="false" customHeight="true" outlineLevel="0" collapsed="false">
      <c r="A35" s="8" t="s">
        <v>992</v>
      </c>
      <c r="B35" s="2" t="s">
        <v>26</v>
      </c>
      <c r="C35" s="16" t="n">
        <v>15500000</v>
      </c>
      <c r="D35" s="16" t="n">
        <v>5800000</v>
      </c>
      <c r="E35" s="16" t="n">
        <v>0</v>
      </c>
      <c r="F35" s="42" t="n">
        <v>0</v>
      </c>
      <c r="G35" s="16" t="n">
        <v>0</v>
      </c>
      <c r="H35" s="16" t="n">
        <v>0</v>
      </c>
      <c r="I35" s="2" t="s">
        <v>988</v>
      </c>
      <c r="J35" s="8" t="s">
        <v>985</v>
      </c>
      <c r="K35" s="8" t="s">
        <v>993</v>
      </c>
    </row>
    <row r="36" customFormat="false" ht="15" hidden="false" customHeight="tru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customFormat="false" ht="15" hidden="false" customHeight="true" outlineLevel="0" collapsed="false">
      <c r="A37" s="7" t="s">
        <v>994</v>
      </c>
      <c r="B37" s="2"/>
      <c r="C37" s="2"/>
      <c r="D37" s="2"/>
      <c r="E37" s="2"/>
      <c r="F37" s="2"/>
      <c r="G37" s="2"/>
      <c r="H37" s="2"/>
      <c r="I37" s="2"/>
      <c r="J37" s="2"/>
      <c r="K37" s="2"/>
    </row>
    <row r="38" customFormat="false" ht="36" hidden="false" customHeight="true" outlineLevel="0" collapsed="false">
      <c r="A38" s="12" t="s">
        <v>995</v>
      </c>
      <c r="B38" s="12" t="s">
        <v>996</v>
      </c>
      <c r="C38" s="12" t="s">
        <v>997</v>
      </c>
      <c r="D38" s="12" t="s">
        <v>998</v>
      </c>
      <c r="E38" s="12" t="s">
        <v>999</v>
      </c>
      <c r="F38" s="12" t="s">
        <v>1000</v>
      </c>
      <c r="G38" s="12" t="s">
        <v>69</v>
      </c>
      <c r="H38" s="2"/>
      <c r="I38" s="2"/>
      <c r="J38" s="2"/>
      <c r="K38" s="2"/>
    </row>
    <row r="39" customFormat="false" ht="30" hidden="false" customHeight="true" outlineLevel="0" collapsed="false">
      <c r="A39" s="8" t="s">
        <v>1001</v>
      </c>
      <c r="B39" s="14" t="n">
        <v>2200</v>
      </c>
      <c r="C39" s="14" t="n">
        <v>1800</v>
      </c>
      <c r="D39" s="14" t="n">
        <v>2500</v>
      </c>
      <c r="E39" s="16" t="n">
        <v>111000</v>
      </c>
      <c r="F39" s="14" t="n">
        <v>1207</v>
      </c>
      <c r="G39" s="8" t="s">
        <v>1002</v>
      </c>
      <c r="H39" s="2"/>
      <c r="I39" s="2"/>
      <c r="J39" s="2"/>
      <c r="K39" s="2"/>
    </row>
    <row r="40" customFormat="false" ht="30" hidden="false" customHeight="true" outlineLevel="0" collapsed="false">
      <c r="A40" s="8" t="s">
        <v>1003</v>
      </c>
      <c r="B40" s="14" t="n">
        <v>200</v>
      </c>
      <c r="C40" s="14" t="n">
        <v>180</v>
      </c>
      <c r="D40" s="14" t="n">
        <v>250</v>
      </c>
      <c r="E40" s="16" t="n">
        <v>10000</v>
      </c>
      <c r="F40" s="14" t="n">
        <v>109</v>
      </c>
      <c r="G40" s="8" t="s">
        <v>1004</v>
      </c>
      <c r="H40" s="2"/>
      <c r="I40" s="2"/>
      <c r="J40" s="2"/>
      <c r="K40" s="2"/>
    </row>
    <row r="41" customFormat="false" ht="30" hidden="false" customHeight="true" outlineLevel="0" collapsed="false">
      <c r="A41" s="8" t="s">
        <v>1005</v>
      </c>
      <c r="B41" s="14" t="n">
        <v>400</v>
      </c>
      <c r="C41" s="14" t="n">
        <v>350</v>
      </c>
      <c r="D41" s="14" t="n">
        <v>500</v>
      </c>
      <c r="E41" s="16" t="n">
        <v>20000</v>
      </c>
      <c r="F41" s="14" t="n">
        <v>217</v>
      </c>
      <c r="G41" s="8" t="s">
        <v>1006</v>
      </c>
      <c r="H41" s="2"/>
      <c r="I41" s="2"/>
      <c r="J41" s="2"/>
      <c r="K41" s="2"/>
    </row>
    <row r="42" customFormat="false" ht="30" hidden="false" customHeight="true" outlineLevel="0" collapsed="false">
      <c r="A42" s="8" t="s">
        <v>1007</v>
      </c>
      <c r="B42" s="14" t="n">
        <v>1500</v>
      </c>
      <c r="C42" s="14" t="n">
        <v>1300</v>
      </c>
      <c r="D42" s="14" t="n">
        <v>1800</v>
      </c>
      <c r="E42" s="16" t="n">
        <v>76000</v>
      </c>
      <c r="F42" s="14" t="n">
        <v>826</v>
      </c>
      <c r="G42" s="8" t="s">
        <v>1008</v>
      </c>
      <c r="H42" s="2"/>
      <c r="I42" s="2"/>
      <c r="J42" s="2"/>
      <c r="K42" s="2"/>
    </row>
    <row r="43" customFormat="false" ht="30" hidden="false" customHeight="true" outlineLevel="0" collapsed="false">
      <c r="A43" s="8" t="s">
        <v>1009</v>
      </c>
      <c r="B43" s="14" t="n">
        <v>4046</v>
      </c>
      <c r="C43" s="14" t="n">
        <v>3825</v>
      </c>
      <c r="D43" s="14" t="n">
        <v>8500</v>
      </c>
      <c r="E43" s="16" t="n">
        <v>223000</v>
      </c>
      <c r="F43" s="14" t="n">
        <v>2424</v>
      </c>
      <c r="G43" s="8" t="s">
        <v>1010</v>
      </c>
      <c r="H43" s="2"/>
      <c r="I43" s="2"/>
      <c r="J43" s="2"/>
      <c r="K43" s="2"/>
    </row>
    <row r="44" customFormat="false" ht="30" hidden="false" customHeight="true" outlineLevel="0" collapsed="false">
      <c r="A44" s="8" t="s">
        <v>1011</v>
      </c>
      <c r="B44" s="14" t="n">
        <v>8053</v>
      </c>
      <c r="C44" s="14" t="n">
        <v>7500</v>
      </c>
      <c r="D44" s="14" t="n">
        <v>21300</v>
      </c>
      <c r="E44" s="16" t="n">
        <v>407000</v>
      </c>
      <c r="F44" s="14" t="n">
        <v>4424</v>
      </c>
      <c r="G44" s="8" t="s">
        <v>1012</v>
      </c>
      <c r="H44" s="2"/>
      <c r="I44" s="2"/>
      <c r="J44" s="2"/>
      <c r="K44" s="2"/>
    </row>
    <row r="45" customFormat="false" ht="30" hidden="false" customHeight="true" outlineLevel="0" collapsed="false">
      <c r="A45" s="8" t="s">
        <v>1013</v>
      </c>
      <c r="B45" s="14" t="n">
        <v>600</v>
      </c>
      <c r="C45" s="14" t="n">
        <v>500</v>
      </c>
      <c r="D45" s="14" t="n">
        <v>800</v>
      </c>
      <c r="E45" s="16" t="n">
        <v>33000</v>
      </c>
      <c r="F45" s="14" t="n">
        <v>359</v>
      </c>
      <c r="G45" s="8" t="s">
        <v>1014</v>
      </c>
      <c r="H45" s="2"/>
      <c r="I45" s="2"/>
      <c r="J45" s="2"/>
      <c r="K45" s="2"/>
    </row>
    <row r="46" customFormat="false" ht="30" hidden="false" customHeight="true" outlineLevel="0" collapsed="false">
      <c r="A46" s="8" t="s">
        <v>1015</v>
      </c>
      <c r="B46" s="14" t="n">
        <v>450</v>
      </c>
      <c r="C46" s="14" t="n">
        <v>400</v>
      </c>
      <c r="D46" s="14" t="n">
        <v>600</v>
      </c>
      <c r="E46" s="16" t="n">
        <v>23000</v>
      </c>
      <c r="F46" s="14" t="n">
        <v>250</v>
      </c>
      <c r="G46" s="8" t="s">
        <v>1016</v>
      </c>
      <c r="H46" s="2"/>
      <c r="I46" s="2"/>
      <c r="J46" s="2"/>
      <c r="K46" s="2"/>
    </row>
    <row r="47" customFormat="false" ht="30" hidden="false" customHeight="true" outlineLevel="0" collapsed="false">
      <c r="A47" s="8" t="s">
        <v>1017</v>
      </c>
      <c r="B47" s="14" t="n">
        <v>5000</v>
      </c>
      <c r="C47" s="14" t="n">
        <v>4000</v>
      </c>
      <c r="D47" s="14" t="n">
        <v>7000</v>
      </c>
      <c r="E47" s="16" t="n">
        <v>253000</v>
      </c>
      <c r="F47" s="14" t="n">
        <v>2750</v>
      </c>
      <c r="G47" s="8" t="s">
        <v>1018</v>
      </c>
      <c r="H47" s="2"/>
      <c r="I47" s="2"/>
      <c r="J47" s="2"/>
      <c r="K47" s="2"/>
    </row>
    <row r="48" customFormat="false" ht="1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customFormat="false" ht="15" hidden="false" customHeight="true" outlineLevel="0" collapsed="false">
      <c r="A49" s="7" t="s">
        <v>1019</v>
      </c>
      <c r="B49" s="2"/>
      <c r="C49" s="2"/>
      <c r="D49" s="2"/>
      <c r="E49" s="2"/>
      <c r="F49" s="2"/>
      <c r="G49" s="2"/>
      <c r="H49" s="2"/>
      <c r="I49" s="2"/>
      <c r="J49" s="2"/>
      <c r="K49" s="2"/>
    </row>
    <row r="50" customFormat="false" ht="36" hidden="false" customHeight="true" outlineLevel="0" collapsed="false">
      <c r="A50" s="12" t="s">
        <v>1020</v>
      </c>
      <c r="B50" s="12" t="s">
        <v>1021</v>
      </c>
      <c r="C50" s="12" t="s">
        <v>1022</v>
      </c>
      <c r="D50" s="12" t="s">
        <v>1023</v>
      </c>
      <c r="E50" s="12" t="s">
        <v>1024</v>
      </c>
      <c r="F50" s="12" t="s">
        <v>66</v>
      </c>
      <c r="G50" s="2"/>
      <c r="H50" s="2"/>
      <c r="I50" s="2"/>
      <c r="J50" s="2"/>
      <c r="K50" s="2"/>
    </row>
    <row r="51" customFormat="false" ht="36" hidden="false" customHeight="true" outlineLevel="0" collapsed="false">
      <c r="A51" s="2" t="s">
        <v>1025</v>
      </c>
      <c r="B51" s="8" t="s">
        <v>1026</v>
      </c>
      <c r="C51" s="14" t="n">
        <v>8053</v>
      </c>
      <c r="D51" s="14" t="n">
        <v>8175</v>
      </c>
      <c r="E51" s="8" t="s">
        <v>1027</v>
      </c>
      <c r="F51" s="8" t="s">
        <v>1028</v>
      </c>
      <c r="G51" s="2"/>
      <c r="H51" s="2"/>
      <c r="I51" s="2"/>
      <c r="J51" s="2"/>
      <c r="K51" s="2"/>
    </row>
    <row r="52" customFormat="false" ht="36" hidden="false" customHeight="true" outlineLevel="0" collapsed="false">
      <c r="A52" s="2" t="s">
        <v>1029</v>
      </c>
      <c r="B52" s="8" t="s">
        <v>1030</v>
      </c>
      <c r="C52" s="14" t="n">
        <v>12520</v>
      </c>
      <c r="D52" s="2"/>
      <c r="E52" s="8" t="s">
        <v>1031</v>
      </c>
      <c r="F52" s="8" t="s">
        <v>1032</v>
      </c>
      <c r="G52" s="2"/>
      <c r="H52" s="2"/>
      <c r="I52" s="2"/>
      <c r="J52" s="2"/>
      <c r="K52" s="2"/>
    </row>
    <row r="53" customFormat="false" ht="36" hidden="false" customHeight="true" outlineLevel="0" collapsed="false">
      <c r="A53" s="2" t="s">
        <v>1033</v>
      </c>
      <c r="B53" s="8" t="s">
        <v>1034</v>
      </c>
      <c r="C53" s="2"/>
      <c r="D53" s="2"/>
      <c r="E53" s="8" t="s">
        <v>1035</v>
      </c>
      <c r="F53" s="8" t="s">
        <v>1036</v>
      </c>
      <c r="G53" s="2"/>
      <c r="H53" s="2"/>
      <c r="I53" s="2"/>
      <c r="J53" s="2"/>
      <c r="K53" s="2"/>
    </row>
    <row r="54" customFormat="false" ht="36" hidden="false" customHeight="true" outlineLevel="0" collapsed="false">
      <c r="A54" s="2" t="s">
        <v>1033</v>
      </c>
      <c r="B54" s="8" t="s">
        <v>1037</v>
      </c>
      <c r="C54" s="2"/>
      <c r="D54" s="2"/>
      <c r="E54" s="8" t="s">
        <v>1038</v>
      </c>
      <c r="F54" s="8" t="s">
        <v>1039</v>
      </c>
      <c r="G54" s="2"/>
      <c r="H54" s="2"/>
      <c r="I54" s="2"/>
      <c r="J54" s="2"/>
      <c r="K54" s="2"/>
    </row>
    <row r="55" customFormat="false" ht="36" hidden="false" customHeight="true" outlineLevel="0" collapsed="false">
      <c r="A55" s="2" t="s">
        <v>1040</v>
      </c>
      <c r="B55" s="8" t="s">
        <v>1041</v>
      </c>
      <c r="C55" s="2"/>
      <c r="D55" s="2"/>
      <c r="E55" s="8" t="s">
        <v>1042</v>
      </c>
      <c r="F55" s="8" t="s">
        <v>1043</v>
      </c>
      <c r="G55" s="2"/>
      <c r="H55" s="2"/>
      <c r="I55" s="2"/>
      <c r="J55" s="2"/>
      <c r="K55" s="2"/>
    </row>
    <row r="56" customFormat="false" ht="36" hidden="false" customHeight="true" outlineLevel="0" collapsed="false">
      <c r="A56" s="2" t="s">
        <v>1044</v>
      </c>
      <c r="B56" s="8" t="s">
        <v>1045</v>
      </c>
      <c r="C56" s="2"/>
      <c r="D56" s="2"/>
      <c r="E56" s="8" t="s">
        <v>1046</v>
      </c>
      <c r="F56" s="8" t="s">
        <v>1047</v>
      </c>
      <c r="G56" s="2"/>
      <c r="H56" s="2"/>
      <c r="I56" s="2"/>
      <c r="J56" s="2"/>
      <c r="K56" s="2"/>
    </row>
    <row r="57" customFormat="false" ht="36" hidden="false" customHeight="true" outlineLevel="0" collapsed="false">
      <c r="A57" s="2" t="s">
        <v>1048</v>
      </c>
      <c r="B57" s="8" t="s">
        <v>1049</v>
      </c>
      <c r="C57" s="2"/>
      <c r="D57" s="2"/>
      <c r="E57" s="8" t="s">
        <v>1050</v>
      </c>
      <c r="F57" s="8" t="s">
        <v>1051</v>
      </c>
      <c r="G57" s="2"/>
      <c r="H57" s="2"/>
      <c r="I57" s="2"/>
      <c r="J57" s="2"/>
      <c r="K57" s="2"/>
    </row>
    <row r="58" customFormat="false" ht="36" hidden="false" customHeight="true" outlineLevel="0" collapsed="false">
      <c r="A58" s="2" t="s">
        <v>1052</v>
      </c>
      <c r="B58" s="8" t="s">
        <v>1053</v>
      </c>
      <c r="C58" s="2"/>
      <c r="D58" s="2"/>
      <c r="E58" s="8" t="s">
        <v>1054</v>
      </c>
      <c r="F58" s="8" t="s">
        <v>1055</v>
      </c>
      <c r="G58" s="2"/>
      <c r="H58" s="2"/>
      <c r="I58" s="2"/>
      <c r="J58" s="2"/>
      <c r="K58" s="2"/>
    </row>
    <row r="59" customFormat="false" ht="1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customFormat="false" ht="15" hidden="false" customHeight="true" outlineLevel="0" collapsed="false">
      <c r="A60" s="7" t="s">
        <v>1056</v>
      </c>
      <c r="B60" s="2"/>
      <c r="C60" s="2"/>
      <c r="D60" s="2"/>
      <c r="E60" s="2"/>
      <c r="F60" s="2"/>
      <c r="G60" s="2"/>
      <c r="H60" s="2"/>
      <c r="I60" s="2"/>
      <c r="J60" s="2"/>
      <c r="K60" s="2"/>
    </row>
    <row r="61" customFormat="false" ht="15" hidden="false" customHeight="true" outlineLevel="0" collapsed="false">
      <c r="A61" s="12" t="s">
        <v>1057</v>
      </c>
      <c r="B61" s="12" t="s">
        <v>1058</v>
      </c>
      <c r="C61" s="12" t="s">
        <v>1059</v>
      </c>
      <c r="D61" s="12" t="s">
        <v>69</v>
      </c>
      <c r="E61" s="2"/>
      <c r="F61" s="2"/>
      <c r="G61" s="2"/>
      <c r="H61" s="2"/>
      <c r="I61" s="2"/>
      <c r="J61" s="2"/>
      <c r="K61" s="2"/>
    </row>
    <row r="62" customFormat="false" ht="26.25" hidden="false" customHeight="true" outlineLevel="0" collapsed="false">
      <c r="A62" s="2" t="s">
        <v>1060</v>
      </c>
      <c r="B62" s="41" t="n">
        <v>0.3</v>
      </c>
      <c r="C62" s="14" t="n">
        <v>4500</v>
      </c>
      <c r="D62" s="8" t="s">
        <v>1061</v>
      </c>
      <c r="E62" s="2"/>
      <c r="F62" s="2"/>
      <c r="G62" s="2"/>
      <c r="H62" s="2"/>
      <c r="I62" s="2"/>
      <c r="J62" s="2"/>
      <c r="K62" s="2"/>
    </row>
    <row r="63" customFormat="false" ht="39" hidden="false" customHeight="true" outlineLevel="0" collapsed="false">
      <c r="A63" s="2" t="s">
        <v>1062</v>
      </c>
      <c r="B63" s="41" t="n">
        <v>0.25</v>
      </c>
      <c r="C63" s="14" t="n">
        <v>3750</v>
      </c>
      <c r="D63" s="8" t="s">
        <v>1063</v>
      </c>
      <c r="E63" s="2"/>
      <c r="F63" s="2"/>
      <c r="G63" s="2"/>
      <c r="H63" s="2"/>
      <c r="I63" s="2"/>
      <c r="J63" s="2"/>
      <c r="K63" s="2"/>
    </row>
    <row r="64" customFormat="false" ht="39" hidden="false" customHeight="true" outlineLevel="0" collapsed="false">
      <c r="A64" s="2" t="s">
        <v>1064</v>
      </c>
      <c r="B64" s="41" t="n">
        <v>0.15</v>
      </c>
      <c r="C64" s="14" t="n">
        <v>2250</v>
      </c>
      <c r="D64" s="8" t="s">
        <v>1065</v>
      </c>
      <c r="E64" s="2"/>
      <c r="F64" s="2"/>
      <c r="G64" s="2"/>
      <c r="H64" s="2"/>
      <c r="I64" s="2"/>
      <c r="J64" s="2"/>
      <c r="K64" s="2"/>
    </row>
    <row r="65" customFormat="false" ht="26.25" hidden="false" customHeight="true" outlineLevel="0" collapsed="false">
      <c r="A65" s="2" t="s">
        <v>1066</v>
      </c>
      <c r="B65" s="41" t="n">
        <v>0.12</v>
      </c>
      <c r="C65" s="14" t="n">
        <v>1800</v>
      </c>
      <c r="D65" s="8" t="s">
        <v>1067</v>
      </c>
      <c r="E65" s="2"/>
      <c r="F65" s="2"/>
      <c r="G65" s="2"/>
      <c r="H65" s="2"/>
      <c r="I65" s="2"/>
      <c r="J65" s="2"/>
      <c r="K65" s="2"/>
    </row>
    <row r="66" customFormat="false" ht="39" hidden="false" customHeight="true" outlineLevel="0" collapsed="false">
      <c r="A66" s="2" t="s">
        <v>1068</v>
      </c>
      <c r="B66" s="41" t="n">
        <v>0.13</v>
      </c>
      <c r="C66" s="14" t="n">
        <v>1950</v>
      </c>
      <c r="D66" s="8" t="s">
        <v>1069</v>
      </c>
      <c r="E66" s="2"/>
      <c r="F66" s="2"/>
      <c r="G66" s="2"/>
      <c r="H66" s="2"/>
      <c r="I66" s="2"/>
      <c r="J66" s="2"/>
      <c r="K66" s="2"/>
    </row>
    <row r="67" customFormat="false" ht="26.25" hidden="false" customHeight="true" outlineLevel="0" collapsed="false">
      <c r="A67" s="2" t="s">
        <v>1070</v>
      </c>
      <c r="B67" s="41" t="n">
        <v>0.05</v>
      </c>
      <c r="C67" s="14" t="n">
        <v>750</v>
      </c>
      <c r="D67" s="8" t="s">
        <v>1071</v>
      </c>
      <c r="E67" s="2"/>
      <c r="F67" s="2"/>
      <c r="G67" s="2"/>
      <c r="H67" s="2"/>
      <c r="I67" s="2"/>
      <c r="J67" s="2"/>
      <c r="K67" s="2"/>
    </row>
    <row r="68" customFormat="false" ht="15" hidden="false" customHeight="true" outlineLevel="0" collapsed="false">
      <c r="A68" s="31" t="s">
        <v>1072</v>
      </c>
      <c r="B68" s="43" t="n">
        <f aca="false">SUM(B62:B67)</f>
        <v>1</v>
      </c>
      <c r="C68" s="32" t="n">
        <f aca="false">SUM(C62:C67)</f>
        <v>15000</v>
      </c>
      <c r="D68" s="2"/>
      <c r="E68" s="2"/>
      <c r="F68" s="2"/>
      <c r="G68" s="2"/>
      <c r="H68" s="2"/>
      <c r="I68" s="2"/>
      <c r="J68" s="2"/>
      <c r="K68" s="2"/>
    </row>
    <row r="69" customFormat="false" ht="1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customFormat="false" ht="15" hidden="false" customHeight="true" outlineLevel="0" collapsed="false">
      <c r="A70" s="7" t="s">
        <v>1073</v>
      </c>
      <c r="B70" s="2"/>
      <c r="C70" s="2"/>
      <c r="D70" s="2"/>
      <c r="E70" s="2"/>
      <c r="F70" s="2"/>
      <c r="G70" s="2"/>
      <c r="H70" s="2"/>
      <c r="I70" s="2"/>
      <c r="J70" s="2"/>
      <c r="K70" s="2"/>
    </row>
    <row r="71" customFormat="false" ht="60" hidden="false" customHeight="true" outlineLevel="0" collapsed="false">
      <c r="A71" s="5" t="s">
        <v>1074</v>
      </c>
      <c r="B71" s="8" t="s">
        <v>1075</v>
      </c>
      <c r="C71" s="2"/>
      <c r="D71" s="2"/>
      <c r="E71" s="2"/>
      <c r="F71" s="2"/>
      <c r="G71" s="2"/>
      <c r="H71" s="2"/>
      <c r="I71" s="2"/>
      <c r="J71" s="2"/>
      <c r="K71" s="2"/>
    </row>
    <row r="72" customFormat="false" ht="15" hidden="false" customHeight="true" outlineLevel="0" collapsed="false">
      <c r="A72" s="6" t="s">
        <v>1076</v>
      </c>
      <c r="B72" s="14" t="n">
        <v>250</v>
      </c>
      <c r="C72" s="2"/>
      <c r="D72" s="2"/>
      <c r="E72" s="2"/>
      <c r="F72" s="2"/>
      <c r="G72" s="2"/>
      <c r="H72" s="2"/>
      <c r="I72" s="2"/>
      <c r="J72" s="2"/>
      <c r="K72" s="2"/>
    </row>
    <row r="73" customFormat="false" ht="15" hidden="false" customHeight="true" outlineLevel="0" collapsed="false">
      <c r="A73" s="6" t="s">
        <v>1077</v>
      </c>
      <c r="B73" s="16" t="n">
        <v>23000</v>
      </c>
      <c r="C73" s="2"/>
      <c r="D73" s="2"/>
      <c r="E73" s="2"/>
      <c r="F73" s="2"/>
      <c r="G73" s="2"/>
      <c r="H73" s="2"/>
      <c r="I73" s="2"/>
      <c r="J73" s="2"/>
      <c r="K73" s="2"/>
    </row>
    <row r="74" customFormat="false" ht="15" hidden="false" customHeight="true" outlineLevel="0" collapsed="false">
      <c r="A74" s="6" t="s">
        <v>932</v>
      </c>
      <c r="B74" s="42" t="n">
        <v>21352</v>
      </c>
      <c r="C74" s="2"/>
      <c r="D74" s="2"/>
      <c r="E74" s="2"/>
      <c r="F74" s="2"/>
      <c r="G74" s="2"/>
      <c r="H74" s="2"/>
      <c r="I74" s="2"/>
      <c r="J74" s="2"/>
      <c r="K74" s="2"/>
    </row>
    <row r="75" customFormat="false" ht="15" hidden="false" customHeight="true" outlineLevel="0" collapsed="false">
      <c r="A75" s="6" t="s">
        <v>1078</v>
      </c>
      <c r="B75" s="16" t="n">
        <v>491096000</v>
      </c>
      <c r="C75" s="2"/>
      <c r="D75" s="2"/>
      <c r="E75" s="2"/>
      <c r="F75" s="2"/>
      <c r="G75" s="2"/>
      <c r="H75" s="2"/>
      <c r="I75" s="2"/>
      <c r="J75" s="2"/>
      <c r="K75" s="2"/>
    </row>
    <row r="76" customFormat="false" ht="15" hidden="false" customHeight="true" outlineLevel="0" collapsed="false">
      <c r="A76" s="6" t="s">
        <v>1079</v>
      </c>
      <c r="B76" s="14" t="n">
        <v>5338000</v>
      </c>
      <c r="C76" s="2"/>
      <c r="D76" s="2"/>
      <c r="E76" s="2"/>
      <c r="F76" s="2"/>
      <c r="G76" s="2"/>
      <c r="H76" s="2"/>
      <c r="I76" s="2"/>
      <c r="J76" s="2"/>
      <c r="K76" s="2"/>
    </row>
    <row r="77" customFormat="false" ht="60" hidden="false" customHeight="true" outlineLevel="0" collapsed="false">
      <c r="A77" s="5" t="s">
        <v>69</v>
      </c>
      <c r="B77" s="8" t="s">
        <v>1080</v>
      </c>
      <c r="C77" s="2"/>
      <c r="D77" s="2"/>
      <c r="E77" s="2"/>
      <c r="F77" s="2"/>
      <c r="G77" s="2"/>
      <c r="H77" s="2"/>
      <c r="I77" s="2"/>
      <c r="J77" s="2"/>
      <c r="K77" s="2"/>
    </row>
    <row r="78" customFormat="false" ht="1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customFormat="false" ht="15" hidden="false" customHeight="true" outlineLevel="0" collapsed="false">
      <c r="A79" s="7" t="s">
        <v>1081</v>
      </c>
      <c r="B79" s="2"/>
      <c r="C79" s="2"/>
      <c r="D79" s="2"/>
      <c r="E79" s="2"/>
      <c r="F79" s="2"/>
      <c r="G79" s="2"/>
      <c r="H79" s="2"/>
      <c r="I79" s="2"/>
      <c r="J79" s="2"/>
      <c r="K79" s="2"/>
    </row>
    <row r="80" customFormat="false" ht="60" hidden="false" customHeight="true" outlineLevel="0" collapsed="false">
      <c r="A80" s="5" t="s">
        <v>1082</v>
      </c>
      <c r="B80" s="8" t="s">
        <v>1083</v>
      </c>
      <c r="C80" s="2"/>
      <c r="D80" s="2"/>
      <c r="E80" s="2"/>
      <c r="F80" s="2"/>
      <c r="G80" s="2"/>
      <c r="H80" s="2"/>
      <c r="I80" s="2"/>
      <c r="J80" s="2"/>
      <c r="K80" s="2"/>
    </row>
    <row r="81" customFormat="false" ht="60" hidden="false" customHeight="true" outlineLevel="0" collapsed="false">
      <c r="A81" s="5" t="s">
        <v>1084</v>
      </c>
      <c r="B81" s="8" t="s">
        <v>1085</v>
      </c>
      <c r="C81" s="2"/>
      <c r="D81" s="2"/>
      <c r="E81" s="2"/>
      <c r="F81" s="2"/>
      <c r="G81" s="2"/>
      <c r="H81" s="2"/>
      <c r="I81" s="2"/>
      <c r="J81" s="2"/>
      <c r="K81" s="2"/>
    </row>
    <row r="82" customFormat="false" ht="60" hidden="false" customHeight="true" outlineLevel="0" collapsed="false">
      <c r="A82" s="5" t="s">
        <v>1086</v>
      </c>
      <c r="B82" s="8" t="s">
        <v>1087</v>
      </c>
      <c r="C82" s="2"/>
      <c r="D82" s="2"/>
      <c r="E82" s="2"/>
      <c r="F82" s="2"/>
      <c r="G82" s="2"/>
      <c r="H82" s="2"/>
      <c r="I82" s="2"/>
      <c r="J82" s="2"/>
      <c r="K82" s="2"/>
    </row>
    <row r="83" customFormat="false" ht="60" hidden="false" customHeight="true" outlineLevel="0" collapsed="false">
      <c r="A83" s="5" t="s">
        <v>1088</v>
      </c>
      <c r="B83" s="8" t="s">
        <v>1089</v>
      </c>
      <c r="C83" s="2"/>
      <c r="D83" s="2"/>
      <c r="E83" s="2"/>
      <c r="F83" s="2"/>
      <c r="G83" s="2"/>
      <c r="H83" s="2"/>
      <c r="I83" s="2"/>
      <c r="J83" s="2"/>
      <c r="K8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10"/>
  </cols>
  <sheetData>
    <row r="1" customFormat="false" ht="21.75" hidden="false" customHeight="true" outlineLevel="0" collapsed="false">
      <c r="A1" s="3" t="s">
        <v>1090</v>
      </c>
      <c r="B1" s="2"/>
    </row>
    <row r="2" customFormat="false" ht="15" hidden="false" customHeight="true" outlineLevel="0" collapsed="false">
      <c r="A2" s="4" t="s">
        <v>1091</v>
      </c>
      <c r="B2" s="2"/>
    </row>
    <row r="3" customFormat="false" ht="15" hidden="false" customHeight="true" outlineLevel="0" collapsed="false">
      <c r="A3" s="2"/>
      <c r="B3" s="2"/>
    </row>
    <row r="4" customFormat="false" ht="15" hidden="false" customHeight="true" outlineLevel="0" collapsed="false">
      <c r="A4" s="44" t="s">
        <v>1092</v>
      </c>
      <c r="B4" s="45"/>
    </row>
    <row r="5" customFormat="false" ht="87.75" hidden="false" customHeight="true" outlineLevel="0" collapsed="false">
      <c r="A5" s="46" t="s">
        <v>1093</v>
      </c>
      <c r="B5" s="8" t="s">
        <v>1094</v>
      </c>
    </row>
    <row r="6" customFormat="false" ht="39.75" hidden="false" customHeight="true" outlineLevel="0" collapsed="false">
      <c r="A6" s="46" t="s">
        <v>1095</v>
      </c>
      <c r="B6" s="8" t="s">
        <v>1096</v>
      </c>
    </row>
    <row r="7" customFormat="false" ht="39.75" hidden="false" customHeight="true" outlineLevel="0" collapsed="false">
      <c r="A7" s="46" t="s">
        <v>1097</v>
      </c>
      <c r="B7" s="8" t="s">
        <v>1098</v>
      </c>
    </row>
    <row r="8" customFormat="false" ht="69.75" hidden="false" customHeight="true" outlineLevel="0" collapsed="false">
      <c r="A8" s="46" t="s">
        <v>1099</v>
      </c>
      <c r="B8" s="8" t="s">
        <v>1100</v>
      </c>
    </row>
    <row r="9" customFormat="false" ht="61.5" hidden="false" customHeight="true" outlineLevel="0" collapsed="false">
      <c r="A9" s="46" t="s">
        <v>1101</v>
      </c>
      <c r="B9" s="8" t="s">
        <v>1102</v>
      </c>
    </row>
    <row r="10" customFormat="false" ht="39.75" hidden="false" customHeight="true" outlineLevel="0" collapsed="false">
      <c r="A10" s="46" t="s">
        <v>1103</v>
      </c>
      <c r="B10" s="8" t="s">
        <v>1104</v>
      </c>
    </row>
    <row r="11" customFormat="false" ht="15" hidden="false" customHeight="true" outlineLevel="0" collapsed="false">
      <c r="A11" s="2"/>
      <c r="B11" s="2"/>
    </row>
    <row r="12" customFormat="false" ht="15" hidden="false" customHeight="true" outlineLevel="0" collapsed="false">
      <c r="A12" s="44" t="s">
        <v>1105</v>
      </c>
      <c r="B12" s="45"/>
    </row>
    <row r="13" customFormat="false" ht="54" hidden="false" customHeight="true" outlineLevel="0" collapsed="false">
      <c r="A13" s="46" t="s">
        <v>1106</v>
      </c>
      <c r="B13" s="8" t="s">
        <v>1107</v>
      </c>
    </row>
    <row r="14" customFormat="false" ht="61.5" hidden="false" customHeight="true" outlineLevel="0" collapsed="false">
      <c r="A14" s="46" t="s">
        <v>1108</v>
      </c>
      <c r="B14" s="8" t="s">
        <v>1109</v>
      </c>
    </row>
    <row r="15" customFormat="false" ht="57" hidden="false" customHeight="true" outlineLevel="0" collapsed="false">
      <c r="A15" s="46" t="s">
        <v>1110</v>
      </c>
      <c r="B15" s="8" t="s">
        <v>1111</v>
      </c>
    </row>
    <row r="16" customFormat="false" ht="39.75" hidden="false" customHeight="true" outlineLevel="0" collapsed="false">
      <c r="A16" s="46" t="s">
        <v>1112</v>
      </c>
      <c r="B16" s="8" t="s">
        <v>1113</v>
      </c>
    </row>
    <row r="17" customFormat="false" ht="45" hidden="false" customHeight="true" outlineLevel="0" collapsed="false">
      <c r="A17" s="46" t="s">
        <v>1101</v>
      </c>
      <c r="B17" s="8" t="s">
        <v>1114</v>
      </c>
    </row>
    <row r="18" customFormat="false" ht="15" hidden="false" customHeight="true" outlineLevel="0" collapsed="false">
      <c r="A18" s="2"/>
      <c r="B18" s="2"/>
    </row>
    <row r="19" customFormat="false" ht="15" hidden="false" customHeight="true" outlineLevel="0" collapsed="false">
      <c r="A19" s="44" t="s">
        <v>1115</v>
      </c>
      <c r="B19" s="45"/>
    </row>
    <row r="20" customFormat="false" ht="81.75" hidden="false" customHeight="true" outlineLevel="0" collapsed="false">
      <c r="A20" s="46" t="s">
        <v>1116</v>
      </c>
      <c r="B20" s="8" t="s">
        <v>1117</v>
      </c>
    </row>
    <row r="21" customFormat="false" ht="48.75" hidden="false" customHeight="true" outlineLevel="0" collapsed="false">
      <c r="A21" s="46" t="s">
        <v>1118</v>
      </c>
      <c r="B21" s="8" t="s">
        <v>1119</v>
      </c>
    </row>
    <row r="22" customFormat="false" ht="39.75" hidden="false" customHeight="true" outlineLevel="0" collapsed="false">
      <c r="A22" s="46" t="s">
        <v>1112</v>
      </c>
      <c r="B22" s="8" t="s">
        <v>1120</v>
      </c>
    </row>
    <row r="23" customFormat="false" ht="54.75" hidden="false" customHeight="true" outlineLevel="0" collapsed="false">
      <c r="A23" s="46" t="s">
        <v>1101</v>
      </c>
      <c r="B23" s="8" t="s">
        <v>1121</v>
      </c>
    </row>
    <row r="24" customFormat="false" ht="15" hidden="false" customHeight="true" outlineLevel="0" collapsed="false">
      <c r="A24" s="2"/>
      <c r="B24" s="2"/>
    </row>
    <row r="25" customFormat="false" ht="15" hidden="false" customHeight="true" outlineLevel="0" collapsed="false">
      <c r="A25" s="44" t="s">
        <v>1122</v>
      </c>
      <c r="B25" s="45"/>
    </row>
    <row r="26" customFormat="false" ht="61.5" hidden="false" customHeight="true" outlineLevel="0" collapsed="false">
      <c r="A26" s="46" t="s">
        <v>1123</v>
      </c>
      <c r="B26" s="8" t="s">
        <v>1124</v>
      </c>
    </row>
    <row r="27" customFormat="false" ht="54" hidden="false" customHeight="true" outlineLevel="0" collapsed="false">
      <c r="A27" s="46" t="s">
        <v>1125</v>
      </c>
      <c r="B27" s="8" t="s">
        <v>1126</v>
      </c>
    </row>
    <row r="28" customFormat="false" ht="64.5" hidden="false" customHeight="true" outlineLevel="0" collapsed="false">
      <c r="A28" s="46" t="s">
        <v>1127</v>
      </c>
      <c r="B28" s="8" t="s">
        <v>1128</v>
      </c>
    </row>
    <row r="29" customFormat="false" ht="114" hidden="false" customHeight="true" outlineLevel="0" collapsed="false">
      <c r="A29" s="46" t="s">
        <v>1129</v>
      </c>
      <c r="B29" s="8" t="s">
        <v>1130</v>
      </c>
    </row>
    <row r="30" customFormat="false" ht="87" hidden="false" customHeight="true" outlineLevel="0" collapsed="false">
      <c r="A30" s="46" t="s">
        <v>1131</v>
      </c>
      <c r="B30" s="8" t="s">
        <v>1132</v>
      </c>
    </row>
    <row r="31" customFormat="false" ht="84" hidden="false" customHeight="true" outlineLevel="0" collapsed="false">
      <c r="A31" s="46" t="s">
        <v>1133</v>
      </c>
      <c r="B31" s="8" t="s">
        <v>1134</v>
      </c>
    </row>
    <row r="32" customFormat="false" ht="52.5" hidden="false" customHeight="true" outlineLevel="0" collapsed="false">
      <c r="A32" s="46" t="s">
        <v>1135</v>
      </c>
      <c r="B32" s="8" t="s">
        <v>1136</v>
      </c>
    </row>
    <row r="33" customFormat="false" ht="162.75" hidden="false" customHeight="true" outlineLevel="0" collapsed="false">
      <c r="A33" s="46" t="s">
        <v>1137</v>
      </c>
      <c r="B33" s="8" t="s">
        <v>1138</v>
      </c>
    </row>
    <row r="34" customFormat="false" ht="15" hidden="false" customHeight="true" outlineLevel="0" collapsed="false">
      <c r="A34" s="2"/>
      <c r="B34" s="2"/>
    </row>
    <row r="35" customFormat="false" ht="15" hidden="false" customHeight="true" outlineLevel="0" collapsed="false">
      <c r="A35" s="7" t="s">
        <v>1139</v>
      </c>
      <c r="B35" s="2"/>
    </row>
    <row r="36" customFormat="false" ht="259.5" hidden="false" customHeight="true" outlineLevel="0" collapsed="false">
      <c r="A36" s="46" t="s">
        <v>1140</v>
      </c>
      <c r="B36" s="8" t="s">
        <v>1141</v>
      </c>
    </row>
    <row r="37" customFormat="false" ht="15" hidden="false" customHeight="true" outlineLevel="0" collapsed="false">
      <c r="A37" s="47" t="s">
        <v>1142</v>
      </c>
      <c r="B37" s="48"/>
    </row>
    <row r="38" customFormat="false" ht="58.5" hidden="false" customHeight="true" outlineLevel="0" collapsed="false">
      <c r="A38" s="46" t="s">
        <v>1143</v>
      </c>
      <c r="B38" s="8" t="s">
        <v>1144</v>
      </c>
    </row>
    <row r="39" customFormat="false" ht="84" hidden="false" customHeight="true" outlineLevel="0" collapsed="false">
      <c r="A39" s="46" t="s">
        <v>1145</v>
      </c>
      <c r="B39" s="8" t="s">
        <v>1146</v>
      </c>
    </row>
    <row r="40" customFormat="false" ht="78" hidden="false" customHeight="true" outlineLevel="0" collapsed="false">
      <c r="A40" s="46" t="s">
        <v>1147</v>
      </c>
      <c r="B40" s="8" t="s">
        <v>1148</v>
      </c>
    </row>
    <row r="41" customFormat="false" ht="81.75" hidden="false" customHeight="true" outlineLevel="0" collapsed="false">
      <c r="A41" s="46" t="s">
        <v>1149</v>
      </c>
      <c r="B41" s="8" t="s">
        <v>1150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22"/>
    <col collapsed="false" customWidth="true" hidden="false" outlineLevel="0" max="4" min="3" style="1" width="60"/>
    <col collapsed="false" customWidth="true" hidden="false" outlineLevel="0" max="5" min="5" style="1" width="14"/>
  </cols>
  <sheetData>
    <row r="1" customFormat="false" ht="21.75" hidden="false" customHeight="true" outlineLevel="0" collapsed="false">
      <c r="A1" s="3" t="s">
        <v>1151</v>
      </c>
      <c r="B1" s="2"/>
      <c r="C1" s="2"/>
      <c r="D1" s="2"/>
      <c r="E1" s="2"/>
    </row>
    <row r="2" customFormat="false" ht="15" hidden="false" customHeight="true" outlineLevel="0" collapsed="false">
      <c r="A2" s="4" t="s">
        <v>1152</v>
      </c>
      <c r="B2" s="2"/>
      <c r="C2" s="2"/>
      <c r="D2" s="2"/>
      <c r="E2" s="2"/>
    </row>
    <row r="3" customFormat="false" ht="15" hidden="false" customHeight="true" outlineLevel="0" collapsed="false">
      <c r="A3" s="2"/>
      <c r="B3" s="2"/>
      <c r="C3" s="2"/>
      <c r="D3" s="2"/>
      <c r="E3" s="2"/>
    </row>
    <row r="4" customFormat="false" ht="36" hidden="false" customHeight="true" outlineLevel="0" collapsed="false">
      <c r="A4" s="12" t="s">
        <v>1153</v>
      </c>
      <c r="B4" s="12" t="s">
        <v>1154</v>
      </c>
      <c r="C4" s="12" t="s">
        <v>1155</v>
      </c>
      <c r="D4" s="12" t="s">
        <v>1156</v>
      </c>
      <c r="E4" s="12" t="s">
        <v>1157</v>
      </c>
    </row>
    <row r="5" customFormat="false" ht="30" hidden="false" customHeight="true" outlineLevel="0" collapsed="false">
      <c r="A5" s="8" t="s">
        <v>1158</v>
      </c>
      <c r="B5" s="8" t="s">
        <v>1159</v>
      </c>
      <c r="C5" s="8" t="s">
        <v>1160</v>
      </c>
      <c r="D5" s="49" t="s">
        <v>1161</v>
      </c>
      <c r="E5" s="2" t="s">
        <v>3</v>
      </c>
    </row>
    <row r="6" customFormat="false" ht="30" hidden="false" customHeight="true" outlineLevel="0" collapsed="false">
      <c r="A6" s="8" t="s">
        <v>1162</v>
      </c>
      <c r="B6" s="8" t="s">
        <v>1159</v>
      </c>
      <c r="C6" s="8" t="s">
        <v>1163</v>
      </c>
      <c r="D6" s="49" t="s">
        <v>1164</v>
      </c>
      <c r="E6" s="2" t="s">
        <v>3</v>
      </c>
    </row>
    <row r="7" customFormat="false" ht="30" hidden="false" customHeight="true" outlineLevel="0" collapsed="false">
      <c r="A7" s="8" t="s">
        <v>1165</v>
      </c>
      <c r="B7" s="8" t="s">
        <v>1166</v>
      </c>
      <c r="C7" s="8" t="s">
        <v>1167</v>
      </c>
      <c r="D7" s="49" t="s">
        <v>1168</v>
      </c>
      <c r="E7" s="2" t="s">
        <v>3</v>
      </c>
    </row>
    <row r="8" customFormat="false" ht="30" hidden="false" customHeight="true" outlineLevel="0" collapsed="false">
      <c r="A8" s="8" t="s">
        <v>1169</v>
      </c>
      <c r="B8" s="8" t="s">
        <v>1159</v>
      </c>
      <c r="C8" s="8" t="s">
        <v>1170</v>
      </c>
      <c r="D8" s="49" t="s">
        <v>1171</v>
      </c>
      <c r="E8" s="2" t="s">
        <v>3</v>
      </c>
    </row>
    <row r="9" customFormat="false" ht="30" hidden="false" customHeight="true" outlineLevel="0" collapsed="false">
      <c r="A9" s="8" t="s">
        <v>1172</v>
      </c>
      <c r="B9" s="8" t="s">
        <v>1166</v>
      </c>
      <c r="C9" s="8" t="s">
        <v>1173</v>
      </c>
      <c r="D9" s="49" t="s">
        <v>1174</v>
      </c>
      <c r="E9" s="2" t="s">
        <v>3</v>
      </c>
    </row>
    <row r="10" customFormat="false" ht="30" hidden="false" customHeight="true" outlineLevel="0" collapsed="false">
      <c r="A10" s="8" t="s">
        <v>1175</v>
      </c>
      <c r="B10" s="8" t="s">
        <v>1159</v>
      </c>
      <c r="C10" s="8" t="s">
        <v>1176</v>
      </c>
      <c r="D10" s="49" t="s">
        <v>1177</v>
      </c>
      <c r="E10" s="2" t="s">
        <v>3</v>
      </c>
    </row>
    <row r="11" customFormat="false" ht="30" hidden="false" customHeight="true" outlineLevel="0" collapsed="false">
      <c r="A11" s="8" t="s">
        <v>1178</v>
      </c>
      <c r="B11" s="8" t="s">
        <v>1166</v>
      </c>
      <c r="C11" s="8" t="s">
        <v>1179</v>
      </c>
      <c r="D11" s="49" t="s">
        <v>1180</v>
      </c>
      <c r="E11" s="2" t="s">
        <v>3</v>
      </c>
    </row>
    <row r="12" customFormat="false" ht="30" hidden="false" customHeight="true" outlineLevel="0" collapsed="false">
      <c r="A12" s="8" t="s">
        <v>1181</v>
      </c>
      <c r="B12" s="8" t="s">
        <v>1159</v>
      </c>
      <c r="C12" s="8" t="s">
        <v>1182</v>
      </c>
      <c r="D12" s="49" t="s">
        <v>1183</v>
      </c>
      <c r="E12" s="2" t="s">
        <v>3</v>
      </c>
    </row>
    <row r="13" customFormat="false" ht="30" hidden="false" customHeight="true" outlineLevel="0" collapsed="false">
      <c r="A13" s="8" t="s">
        <v>1184</v>
      </c>
      <c r="B13" s="8" t="s">
        <v>1185</v>
      </c>
      <c r="C13" s="8" t="s">
        <v>1186</v>
      </c>
      <c r="D13" s="49" t="s">
        <v>1187</v>
      </c>
      <c r="E13" s="2" t="s">
        <v>3</v>
      </c>
    </row>
    <row r="14" customFormat="false" ht="30" hidden="false" customHeight="true" outlineLevel="0" collapsed="false">
      <c r="A14" s="8" t="s">
        <v>1188</v>
      </c>
      <c r="B14" s="8" t="s">
        <v>1185</v>
      </c>
      <c r="C14" s="8" t="s">
        <v>1189</v>
      </c>
      <c r="D14" s="49" t="s">
        <v>1190</v>
      </c>
      <c r="E14" s="2" t="s">
        <v>3</v>
      </c>
    </row>
    <row r="15" customFormat="false" ht="30" hidden="false" customHeight="true" outlineLevel="0" collapsed="false">
      <c r="A15" s="8" t="s">
        <v>1191</v>
      </c>
      <c r="B15" s="8" t="s">
        <v>1185</v>
      </c>
      <c r="C15" s="8" t="s">
        <v>1192</v>
      </c>
      <c r="D15" s="49" t="s">
        <v>1193</v>
      </c>
      <c r="E15" s="2" t="s">
        <v>3</v>
      </c>
    </row>
    <row r="16" customFormat="false" ht="30" hidden="false" customHeight="true" outlineLevel="0" collapsed="false">
      <c r="A16" s="8" t="s">
        <v>1194</v>
      </c>
      <c r="B16" s="8" t="s">
        <v>1159</v>
      </c>
      <c r="C16" s="8" t="s">
        <v>1195</v>
      </c>
      <c r="D16" s="49" t="s">
        <v>1196</v>
      </c>
      <c r="E16" s="2" t="s">
        <v>3</v>
      </c>
    </row>
    <row r="17" customFormat="false" ht="30" hidden="false" customHeight="true" outlineLevel="0" collapsed="false">
      <c r="A17" s="8" t="s">
        <v>1197</v>
      </c>
      <c r="B17" s="8" t="s">
        <v>1185</v>
      </c>
      <c r="C17" s="8" t="s">
        <v>1198</v>
      </c>
      <c r="D17" s="49" t="s">
        <v>1199</v>
      </c>
      <c r="E17" s="2" t="s">
        <v>3</v>
      </c>
    </row>
    <row r="18" customFormat="false" ht="30" hidden="false" customHeight="true" outlineLevel="0" collapsed="false">
      <c r="A18" s="8" t="s">
        <v>1200</v>
      </c>
      <c r="B18" s="8" t="s">
        <v>1185</v>
      </c>
      <c r="C18" s="8" t="s">
        <v>1201</v>
      </c>
      <c r="D18" s="49" t="s">
        <v>1202</v>
      </c>
      <c r="E18" s="2" t="s">
        <v>3</v>
      </c>
    </row>
    <row r="19" customFormat="false" ht="30" hidden="false" customHeight="true" outlineLevel="0" collapsed="false">
      <c r="A19" s="8" t="s">
        <v>1203</v>
      </c>
      <c r="B19" s="8" t="s">
        <v>1185</v>
      </c>
      <c r="C19" s="8" t="s">
        <v>1204</v>
      </c>
      <c r="D19" s="49" t="s">
        <v>1205</v>
      </c>
      <c r="E19" s="2" t="s">
        <v>3</v>
      </c>
    </row>
    <row r="20" customFormat="false" ht="30" hidden="false" customHeight="true" outlineLevel="0" collapsed="false">
      <c r="A20" s="8" t="s">
        <v>1206</v>
      </c>
      <c r="B20" s="8" t="s">
        <v>1207</v>
      </c>
      <c r="C20" s="8" t="s">
        <v>1208</v>
      </c>
      <c r="D20" s="49" t="s">
        <v>1209</v>
      </c>
      <c r="E20" s="2" t="s">
        <v>3</v>
      </c>
    </row>
    <row r="21" customFormat="false" ht="30" hidden="false" customHeight="true" outlineLevel="0" collapsed="false">
      <c r="A21" s="8" t="s">
        <v>1210</v>
      </c>
      <c r="B21" s="8" t="s">
        <v>1159</v>
      </c>
      <c r="C21" s="8" t="s">
        <v>1211</v>
      </c>
      <c r="D21" s="49" t="s">
        <v>1212</v>
      </c>
      <c r="E21" s="2" t="s">
        <v>3</v>
      </c>
    </row>
    <row r="22" customFormat="false" ht="30" hidden="false" customHeight="true" outlineLevel="0" collapsed="false">
      <c r="A22" s="8" t="s">
        <v>1213</v>
      </c>
      <c r="B22" s="8" t="s">
        <v>1159</v>
      </c>
      <c r="C22" s="8" t="s">
        <v>1214</v>
      </c>
      <c r="D22" s="49" t="s">
        <v>1215</v>
      </c>
      <c r="E22" s="2" t="s">
        <v>3</v>
      </c>
    </row>
    <row r="23" customFormat="false" ht="30" hidden="false" customHeight="true" outlineLevel="0" collapsed="false">
      <c r="A23" s="8" t="s">
        <v>1216</v>
      </c>
      <c r="B23" s="8" t="s">
        <v>1159</v>
      </c>
      <c r="C23" s="8" t="s">
        <v>1217</v>
      </c>
      <c r="D23" s="49" t="s">
        <v>1218</v>
      </c>
      <c r="E23" s="2" t="s">
        <v>3</v>
      </c>
    </row>
    <row r="24" customFormat="false" ht="30" hidden="false" customHeight="true" outlineLevel="0" collapsed="false">
      <c r="A24" s="8" t="s">
        <v>1219</v>
      </c>
      <c r="B24" s="8" t="s">
        <v>1159</v>
      </c>
      <c r="C24" s="8" t="s">
        <v>1220</v>
      </c>
      <c r="D24" s="49" t="s">
        <v>1221</v>
      </c>
      <c r="E24" s="2" t="s">
        <v>3</v>
      </c>
    </row>
    <row r="25" customFormat="false" ht="30" hidden="false" customHeight="true" outlineLevel="0" collapsed="false">
      <c r="A25" s="8" t="s">
        <v>1222</v>
      </c>
      <c r="B25" s="8" t="s">
        <v>1223</v>
      </c>
      <c r="C25" s="8" t="s">
        <v>1224</v>
      </c>
      <c r="D25" s="49" t="s">
        <v>1225</v>
      </c>
      <c r="E25" s="2" t="s">
        <v>3</v>
      </c>
    </row>
    <row r="26" customFormat="false" ht="30" hidden="false" customHeight="true" outlineLevel="0" collapsed="false">
      <c r="A26" s="8" t="s">
        <v>1226</v>
      </c>
      <c r="B26" s="8" t="s">
        <v>1227</v>
      </c>
      <c r="C26" s="8" t="s">
        <v>1228</v>
      </c>
      <c r="D26" s="49" t="s">
        <v>1229</v>
      </c>
      <c r="E26" s="2" t="s">
        <v>3</v>
      </c>
    </row>
    <row r="27" customFormat="false" ht="30" hidden="false" customHeight="true" outlineLevel="0" collapsed="false">
      <c r="A27" s="8" t="s">
        <v>1230</v>
      </c>
      <c r="B27" s="8" t="s">
        <v>1231</v>
      </c>
      <c r="C27" s="8" t="s">
        <v>1232</v>
      </c>
      <c r="D27" s="49" t="s">
        <v>1233</v>
      </c>
      <c r="E27" s="2" t="s">
        <v>3</v>
      </c>
    </row>
    <row r="28" customFormat="false" ht="30" hidden="false" customHeight="true" outlineLevel="0" collapsed="false">
      <c r="A28" s="8" t="s">
        <v>1234</v>
      </c>
      <c r="B28" s="8" t="s">
        <v>1227</v>
      </c>
      <c r="C28" s="8" t="s">
        <v>1235</v>
      </c>
      <c r="D28" s="49" t="s">
        <v>1236</v>
      </c>
      <c r="E28" s="2" t="s">
        <v>3</v>
      </c>
    </row>
    <row r="29" customFormat="false" ht="30" hidden="false" customHeight="true" outlineLevel="0" collapsed="false">
      <c r="A29" s="8" t="s">
        <v>1237</v>
      </c>
      <c r="B29" s="8" t="s">
        <v>1238</v>
      </c>
      <c r="C29" s="8" t="s">
        <v>1239</v>
      </c>
      <c r="D29" s="49" t="s">
        <v>1240</v>
      </c>
      <c r="E29" s="2" t="s">
        <v>3</v>
      </c>
    </row>
    <row r="30" customFormat="false" ht="30" hidden="false" customHeight="true" outlineLevel="0" collapsed="false">
      <c r="A30" s="8" t="s">
        <v>1241</v>
      </c>
      <c r="B30" s="8" t="s">
        <v>1242</v>
      </c>
      <c r="C30" s="8" t="s">
        <v>1243</v>
      </c>
      <c r="D30" s="49" t="s">
        <v>1244</v>
      </c>
      <c r="E30" s="2" t="s">
        <v>3</v>
      </c>
    </row>
    <row r="31" customFormat="false" ht="30" hidden="false" customHeight="true" outlineLevel="0" collapsed="false">
      <c r="A31" s="8" t="s">
        <v>1245</v>
      </c>
      <c r="B31" s="8" t="s">
        <v>1242</v>
      </c>
      <c r="C31" s="8" t="s">
        <v>1246</v>
      </c>
      <c r="D31" s="49" t="s">
        <v>1247</v>
      </c>
      <c r="E31" s="2" t="s">
        <v>3</v>
      </c>
    </row>
    <row r="32" customFormat="false" ht="30" hidden="false" customHeight="true" outlineLevel="0" collapsed="false">
      <c r="A32" s="8" t="s">
        <v>1248</v>
      </c>
      <c r="B32" s="8" t="s">
        <v>1249</v>
      </c>
      <c r="C32" s="8" t="s">
        <v>1250</v>
      </c>
      <c r="D32" s="49" t="s">
        <v>1251</v>
      </c>
      <c r="E32" s="2" t="s">
        <v>3</v>
      </c>
    </row>
    <row r="33" customFormat="false" ht="30" hidden="false" customHeight="true" outlineLevel="0" collapsed="false">
      <c r="A33" s="8" t="s">
        <v>1252</v>
      </c>
      <c r="B33" s="8" t="s">
        <v>1249</v>
      </c>
      <c r="C33" s="8" t="s">
        <v>1253</v>
      </c>
      <c r="D33" s="49" t="s">
        <v>1254</v>
      </c>
      <c r="E33" s="2" t="s">
        <v>3</v>
      </c>
    </row>
    <row r="34" customFormat="false" ht="30" hidden="false" customHeight="true" outlineLevel="0" collapsed="false">
      <c r="A34" s="8" t="s">
        <v>1255</v>
      </c>
      <c r="B34" s="8" t="s">
        <v>1256</v>
      </c>
      <c r="C34" s="8" t="s">
        <v>1257</v>
      </c>
      <c r="D34" s="49" t="s">
        <v>1258</v>
      </c>
      <c r="E34" s="2" t="s">
        <v>3</v>
      </c>
    </row>
    <row r="35" customFormat="false" ht="30" hidden="false" customHeight="true" outlineLevel="0" collapsed="false">
      <c r="A35" s="8" t="s">
        <v>1259</v>
      </c>
      <c r="B35" s="8" t="s">
        <v>1249</v>
      </c>
      <c r="C35" s="8" t="s">
        <v>1260</v>
      </c>
      <c r="D35" s="49" t="s">
        <v>1261</v>
      </c>
      <c r="E35" s="2" t="s">
        <v>3</v>
      </c>
    </row>
    <row r="36" customFormat="false" ht="30" hidden="false" customHeight="true" outlineLevel="0" collapsed="false">
      <c r="A36" s="8" t="s">
        <v>1262</v>
      </c>
      <c r="B36" s="8" t="s">
        <v>1249</v>
      </c>
      <c r="C36" s="8" t="s">
        <v>1263</v>
      </c>
      <c r="D36" s="49" t="s">
        <v>1264</v>
      </c>
      <c r="E36" s="2" t="s">
        <v>3</v>
      </c>
    </row>
    <row r="37" customFormat="false" ht="30" hidden="false" customHeight="true" outlineLevel="0" collapsed="false">
      <c r="A37" s="8" t="s">
        <v>1265</v>
      </c>
      <c r="B37" s="8" t="s">
        <v>1266</v>
      </c>
      <c r="C37" s="8" t="s">
        <v>1267</v>
      </c>
      <c r="D37" s="49" t="s">
        <v>1268</v>
      </c>
      <c r="E37" s="2" t="s">
        <v>3</v>
      </c>
    </row>
    <row r="38" customFormat="false" ht="30" hidden="false" customHeight="true" outlineLevel="0" collapsed="false">
      <c r="A38" s="8" t="s">
        <v>1269</v>
      </c>
      <c r="B38" s="8" t="s">
        <v>1266</v>
      </c>
      <c r="C38" s="8" t="s">
        <v>1270</v>
      </c>
      <c r="D38" s="49" t="s">
        <v>1271</v>
      </c>
      <c r="E38" s="2" t="s">
        <v>3</v>
      </c>
    </row>
    <row r="39" customFormat="false" ht="30" hidden="false" customHeight="true" outlineLevel="0" collapsed="false">
      <c r="A39" s="8" t="s">
        <v>1272</v>
      </c>
      <c r="B39" s="8" t="s">
        <v>1266</v>
      </c>
      <c r="C39" s="8" t="s">
        <v>1273</v>
      </c>
      <c r="D39" s="49" t="s">
        <v>1274</v>
      </c>
      <c r="E39" s="2" t="s">
        <v>3</v>
      </c>
    </row>
    <row r="40" customFormat="false" ht="30" hidden="false" customHeight="true" outlineLevel="0" collapsed="false">
      <c r="A40" s="8" t="s">
        <v>1275</v>
      </c>
      <c r="B40" s="8" t="s">
        <v>1266</v>
      </c>
      <c r="C40" s="8" t="s">
        <v>1276</v>
      </c>
      <c r="D40" s="49" t="s">
        <v>1277</v>
      </c>
      <c r="E40" s="2" t="s">
        <v>3</v>
      </c>
    </row>
    <row r="41" customFormat="false" ht="30" hidden="false" customHeight="true" outlineLevel="0" collapsed="false">
      <c r="A41" s="8" t="s">
        <v>1278</v>
      </c>
      <c r="B41" s="8" t="s">
        <v>1279</v>
      </c>
      <c r="C41" s="8" t="s">
        <v>1280</v>
      </c>
      <c r="D41" s="49" t="s">
        <v>1281</v>
      </c>
      <c r="E41" s="2" t="s">
        <v>3</v>
      </c>
    </row>
    <row r="42" customFormat="false" ht="30" hidden="false" customHeight="true" outlineLevel="0" collapsed="false">
      <c r="A42" s="8" t="s">
        <v>1282</v>
      </c>
      <c r="B42" s="8" t="s">
        <v>1279</v>
      </c>
      <c r="C42" s="8" t="s">
        <v>1283</v>
      </c>
      <c r="D42" s="49" t="s">
        <v>1284</v>
      </c>
      <c r="E42" s="2" t="s">
        <v>3</v>
      </c>
    </row>
    <row r="43" customFormat="false" ht="30" hidden="false" customHeight="true" outlineLevel="0" collapsed="false">
      <c r="A43" s="8" t="s">
        <v>1285</v>
      </c>
      <c r="B43" s="8" t="s">
        <v>1279</v>
      </c>
      <c r="C43" s="8" t="s">
        <v>1286</v>
      </c>
      <c r="D43" s="49" t="s">
        <v>1287</v>
      </c>
      <c r="E43" s="2" t="s">
        <v>3</v>
      </c>
    </row>
    <row r="44" customFormat="false" ht="30" hidden="false" customHeight="true" outlineLevel="0" collapsed="false">
      <c r="A44" s="8" t="s">
        <v>1288</v>
      </c>
      <c r="B44" s="8" t="s">
        <v>1289</v>
      </c>
      <c r="C44" s="8" t="s">
        <v>1290</v>
      </c>
      <c r="D44" s="49" t="s">
        <v>1291</v>
      </c>
      <c r="E44" s="2" t="s">
        <v>3</v>
      </c>
    </row>
    <row r="45" customFormat="false" ht="30" hidden="false" customHeight="true" outlineLevel="0" collapsed="false">
      <c r="A45" s="8" t="s">
        <v>1292</v>
      </c>
      <c r="B45" s="8" t="s">
        <v>1293</v>
      </c>
      <c r="C45" s="8" t="s">
        <v>1294</v>
      </c>
      <c r="D45" s="49" t="s">
        <v>1295</v>
      </c>
      <c r="E45" s="2" t="s">
        <v>3</v>
      </c>
    </row>
    <row r="46" customFormat="false" ht="30" hidden="false" customHeight="true" outlineLevel="0" collapsed="false">
      <c r="A46" s="8" t="s">
        <v>1296</v>
      </c>
      <c r="B46" s="8" t="s">
        <v>1293</v>
      </c>
      <c r="C46" s="8" t="s">
        <v>1297</v>
      </c>
      <c r="D46" s="49" t="s">
        <v>1298</v>
      </c>
      <c r="E46" s="2" t="s">
        <v>3</v>
      </c>
    </row>
    <row r="47" customFormat="false" ht="30" hidden="false" customHeight="true" outlineLevel="0" collapsed="false">
      <c r="A47" s="8" t="s">
        <v>1299</v>
      </c>
      <c r="B47" s="8" t="s">
        <v>1266</v>
      </c>
      <c r="C47" s="8" t="s">
        <v>1300</v>
      </c>
      <c r="D47" s="49" t="s">
        <v>1301</v>
      </c>
      <c r="E47" s="2" t="s">
        <v>3</v>
      </c>
    </row>
    <row r="48" customFormat="false" ht="30" hidden="false" customHeight="true" outlineLevel="0" collapsed="false">
      <c r="A48" s="8" t="s">
        <v>1302</v>
      </c>
      <c r="B48" s="8" t="s">
        <v>1223</v>
      </c>
      <c r="C48" s="8" t="s">
        <v>1303</v>
      </c>
      <c r="D48" s="49" t="s">
        <v>1304</v>
      </c>
      <c r="E48" s="2" t="s">
        <v>3</v>
      </c>
    </row>
    <row r="49" customFormat="false" ht="30" hidden="false" customHeight="true" outlineLevel="0" collapsed="false">
      <c r="A49" s="8" t="s">
        <v>1305</v>
      </c>
      <c r="B49" s="8" t="s">
        <v>1306</v>
      </c>
      <c r="C49" s="8" t="s">
        <v>1307</v>
      </c>
      <c r="D49" s="49" t="s">
        <v>1308</v>
      </c>
      <c r="E49" s="2" t="s">
        <v>3</v>
      </c>
    </row>
    <row r="50" customFormat="false" ht="30" hidden="false" customHeight="true" outlineLevel="0" collapsed="false">
      <c r="A50" s="8" t="s">
        <v>1309</v>
      </c>
      <c r="B50" s="8" t="s">
        <v>1256</v>
      </c>
      <c r="C50" s="8" t="s">
        <v>1310</v>
      </c>
      <c r="D50" s="49" t="s">
        <v>1311</v>
      </c>
      <c r="E50" s="2" t="s">
        <v>3</v>
      </c>
    </row>
    <row r="51" customFormat="false" ht="30" hidden="false" customHeight="true" outlineLevel="0" collapsed="false">
      <c r="A51" s="8" t="s">
        <v>1312</v>
      </c>
      <c r="B51" s="8" t="s">
        <v>1313</v>
      </c>
      <c r="C51" s="8" t="s">
        <v>1314</v>
      </c>
      <c r="D51" s="49" t="s">
        <v>1315</v>
      </c>
      <c r="E51" s="2" t="s">
        <v>3</v>
      </c>
    </row>
    <row r="52" customFormat="false" ht="30" hidden="false" customHeight="true" outlineLevel="0" collapsed="false">
      <c r="A52" s="8" t="s">
        <v>1316</v>
      </c>
      <c r="B52" s="8" t="s">
        <v>1317</v>
      </c>
      <c r="C52" s="8" t="s">
        <v>1318</v>
      </c>
      <c r="D52" s="49" t="s">
        <v>1319</v>
      </c>
      <c r="E52" s="2" t="s">
        <v>3</v>
      </c>
    </row>
    <row r="53" customFormat="false" ht="30" hidden="false" customHeight="true" outlineLevel="0" collapsed="false">
      <c r="A53" s="8" t="s">
        <v>1320</v>
      </c>
      <c r="B53" s="8" t="s">
        <v>1321</v>
      </c>
      <c r="C53" s="8" t="s">
        <v>1322</v>
      </c>
      <c r="D53" s="49" t="s">
        <v>1323</v>
      </c>
      <c r="E53" s="2" t="s">
        <v>3</v>
      </c>
    </row>
    <row r="54" customFormat="false" ht="30" hidden="false" customHeight="true" outlineLevel="0" collapsed="false">
      <c r="A54" s="8" t="s">
        <v>1324</v>
      </c>
      <c r="B54" s="8" t="s">
        <v>1279</v>
      </c>
      <c r="C54" s="8" t="s">
        <v>1325</v>
      </c>
      <c r="D54" s="49" t="s">
        <v>1326</v>
      </c>
      <c r="E54" s="2" t="s">
        <v>3</v>
      </c>
    </row>
    <row r="55" customFormat="false" ht="30" hidden="false" customHeight="true" outlineLevel="0" collapsed="false">
      <c r="A55" s="8" t="s">
        <v>1327</v>
      </c>
      <c r="B55" s="8" t="s">
        <v>1279</v>
      </c>
      <c r="C55" s="8" t="s">
        <v>1328</v>
      </c>
      <c r="D55" s="49" t="s">
        <v>1329</v>
      </c>
      <c r="E55" s="2" t="s">
        <v>3</v>
      </c>
    </row>
    <row r="56" customFormat="false" ht="30" hidden="false" customHeight="true" outlineLevel="0" collapsed="false">
      <c r="A56" s="8" t="s">
        <v>1330</v>
      </c>
      <c r="B56" s="8" t="s">
        <v>1207</v>
      </c>
      <c r="C56" s="8" t="s">
        <v>1331</v>
      </c>
      <c r="D56" s="49" t="s">
        <v>1332</v>
      </c>
      <c r="E56" s="2" t="s">
        <v>3</v>
      </c>
    </row>
    <row r="57" customFormat="false" ht="30" hidden="false" customHeight="true" outlineLevel="0" collapsed="false">
      <c r="A57" s="8" t="s">
        <v>1333</v>
      </c>
      <c r="B57" s="8" t="s">
        <v>1223</v>
      </c>
      <c r="C57" s="8" t="s">
        <v>1334</v>
      </c>
      <c r="D57" s="49" t="s">
        <v>1335</v>
      </c>
      <c r="E57" s="2" t="s">
        <v>3</v>
      </c>
    </row>
    <row r="58" customFormat="false" ht="30" hidden="false" customHeight="true" outlineLevel="0" collapsed="false">
      <c r="A58" s="8" t="s">
        <v>1336</v>
      </c>
      <c r="B58" s="8" t="s">
        <v>1337</v>
      </c>
      <c r="C58" s="8" t="s">
        <v>1338</v>
      </c>
      <c r="D58" s="49" t="s">
        <v>1339</v>
      </c>
      <c r="E58" s="2" t="s">
        <v>3</v>
      </c>
    </row>
    <row r="59" customFormat="false" ht="30" hidden="false" customHeight="true" outlineLevel="0" collapsed="false">
      <c r="A59" s="8" t="s">
        <v>1340</v>
      </c>
      <c r="B59" s="8" t="s">
        <v>1341</v>
      </c>
      <c r="C59" s="8" t="s">
        <v>1342</v>
      </c>
      <c r="D59" s="49" t="s">
        <v>1343</v>
      </c>
      <c r="E59" s="2" t="s">
        <v>3</v>
      </c>
    </row>
    <row r="60" customFormat="false" ht="30" hidden="false" customHeight="true" outlineLevel="0" collapsed="false">
      <c r="A60" s="8" t="s">
        <v>1344</v>
      </c>
      <c r="B60" s="8" t="s">
        <v>1207</v>
      </c>
      <c r="C60" s="8" t="s">
        <v>1345</v>
      </c>
      <c r="D60" s="49" t="s">
        <v>1346</v>
      </c>
      <c r="E60" s="2" t="s">
        <v>3</v>
      </c>
    </row>
    <row r="61" customFormat="false" ht="15" hidden="false" customHeight="true" outlineLevel="0" collapsed="false">
      <c r="A61" s="2"/>
      <c r="B61" s="2"/>
      <c r="C61" s="2"/>
      <c r="D61" s="2"/>
      <c r="E61" s="2"/>
    </row>
    <row r="62" customFormat="false" ht="15" hidden="false" customHeight="true" outlineLevel="0" collapsed="false">
      <c r="A62" s="2"/>
      <c r="B62" s="2"/>
      <c r="C62" s="2"/>
      <c r="D62" s="2"/>
      <c r="E62" s="2"/>
    </row>
    <row r="63" customFormat="false" ht="15" hidden="false" customHeight="true" outlineLevel="0" collapsed="false">
      <c r="A63" s="7" t="s">
        <v>1347</v>
      </c>
      <c r="B63" s="2"/>
      <c r="C63" s="2"/>
      <c r="D63" s="2"/>
      <c r="E63" s="2"/>
    </row>
    <row r="64" customFormat="false" ht="99.75" hidden="false" customHeight="true" outlineLevel="0" collapsed="false">
      <c r="A64" s="46" t="s">
        <v>1348</v>
      </c>
      <c r="B64" s="2"/>
      <c r="C64" s="8" t="s">
        <v>1349</v>
      </c>
      <c r="D64" s="2"/>
      <c r="E64" s="2"/>
    </row>
    <row r="65" customFormat="false" ht="99.75" hidden="false" customHeight="true" outlineLevel="0" collapsed="false">
      <c r="A65" s="46" t="s">
        <v>1350</v>
      </c>
      <c r="B65" s="2"/>
      <c r="C65" s="8" t="s">
        <v>1351</v>
      </c>
      <c r="D65" s="2"/>
      <c r="E65" s="2"/>
    </row>
    <row r="66" customFormat="false" ht="99.75" hidden="false" customHeight="true" outlineLevel="0" collapsed="false">
      <c r="A66" s="46" t="s">
        <v>1352</v>
      </c>
      <c r="B66" s="2"/>
      <c r="C66" s="8" t="s">
        <v>1353</v>
      </c>
      <c r="D66" s="2"/>
      <c r="E66" s="2"/>
    </row>
    <row r="67" customFormat="false" ht="99.75" hidden="false" customHeight="true" outlineLevel="0" collapsed="false">
      <c r="A67" s="46" t="s">
        <v>1354</v>
      </c>
      <c r="B67" s="2"/>
      <c r="C67" s="8" t="s">
        <v>1355</v>
      </c>
      <c r="D67" s="2"/>
      <c r="E67" s="2"/>
    </row>
    <row r="68" customFormat="false" ht="15" hidden="false" customHeight="true" outlineLevel="0" collapsed="false">
      <c r="A68" s="2"/>
      <c r="B68" s="2"/>
      <c r="C68" s="2"/>
      <c r="D68" s="2"/>
      <c r="E68" s="2"/>
    </row>
    <row r="69" customFormat="false" ht="15" hidden="false" customHeight="true" outlineLevel="0" collapsed="false">
      <c r="A69" s="7" t="s">
        <v>1356</v>
      </c>
      <c r="B69" s="2"/>
      <c r="C69" s="2"/>
      <c r="D69" s="2"/>
      <c r="E69" s="2"/>
    </row>
    <row r="70" customFormat="false" ht="90" hidden="false" customHeight="true" outlineLevel="0" collapsed="false">
      <c r="A70" s="46" t="s">
        <v>1357</v>
      </c>
      <c r="B70" s="2"/>
      <c r="C70" s="8" t="s">
        <v>1358</v>
      </c>
      <c r="D70" s="2"/>
      <c r="E70" s="2"/>
    </row>
    <row r="71" customFormat="false" ht="90" hidden="false" customHeight="true" outlineLevel="0" collapsed="false">
      <c r="A71" s="46" t="s">
        <v>1359</v>
      </c>
      <c r="B71" s="2"/>
      <c r="C71" s="8" t="s">
        <v>1360</v>
      </c>
      <c r="D71" s="2"/>
      <c r="E71" s="2"/>
    </row>
    <row r="72" customFormat="false" ht="90" hidden="false" customHeight="true" outlineLevel="0" collapsed="false">
      <c r="A72" s="46" t="s">
        <v>1361</v>
      </c>
      <c r="B72" s="2"/>
      <c r="C72" s="8" t="s">
        <v>1362</v>
      </c>
      <c r="D72" s="2"/>
      <c r="E72" s="2"/>
    </row>
    <row r="73" customFormat="false" ht="90" hidden="false" customHeight="true" outlineLevel="0" collapsed="false">
      <c r="A73" s="46" t="s">
        <v>1363</v>
      </c>
      <c r="B73" s="2"/>
      <c r="C73" s="8" t="s">
        <v>1364</v>
      </c>
      <c r="D73" s="2"/>
      <c r="E73" s="2"/>
    </row>
    <row r="74" customFormat="false" ht="90" hidden="false" customHeight="true" outlineLevel="0" collapsed="false">
      <c r="A74" s="46" t="s">
        <v>1365</v>
      </c>
      <c r="B74" s="2"/>
      <c r="C74" s="8" t="s">
        <v>1366</v>
      </c>
      <c r="D74" s="2"/>
      <c r="E74" s="2"/>
    </row>
  </sheetData>
  <hyperlinks>
    <hyperlink ref="D5" r:id="rId1" display="https://lanserhof.com/en/lanserhof-tegernsee/treatments/package-longevity-tegernsee/"/>
    <hyperlink ref="D6" r:id="rId2" display="https://lanserhof.com/en/lanserhof-lans/treatments/package-longevity-lans/"/>
    <hyperlink ref="D7" r:id="rId3" display="https://www.serenityways.com/clinics/lanserhof-tegernsee"/>
    <hyperlink ref="D8" r:id="rId4" display="https://shawellness.com/en/advanced-longevity/"/>
    <hyperlink ref="D9" r:id="rId5" display="https://www.serenityways.com/clinics/sha-spain"/>
    <hyperlink ref="D10" r:id="rId6" display="https://www.cliniquelaprairie.com/programs/master-detox/"/>
    <hyperlink ref="D11" r:id="rId7" display="https://swissmedexpert.com/clinic-la-prairie"/>
    <hyperlink ref="D12" r:id="rId8" display="https://www.chenot.com/chenot-palace/weggis/programmes/"/>
    <hyperlink ref="D13" r:id="rId9" display="https://www.chenot.com/wp-content/uploads/2024/05/Chenot-Palace-Weggis-Brochure-EN.pdf"/>
    <hyperlink ref="D14" r:id="rId10" display="https://www.vivamayr.com/en/downloads/"/>
    <hyperlink ref="D15" r:id="rId11" display="https://www.vivamayr.com/app/uploads/2025/01/VIVAMAYR_MW_Preisliste_E_inkl.-Programme_15.01.2024.pdf"/>
    <hyperlink ref="D16" r:id="rId12" display="https://www.buchinger-wilhelmi.com/en/buchinger-wilhelmi-lake-constance/arrangements-packages/"/>
    <hyperlink ref="D17" r:id="rId13" display="https://www.buchinger-wilhelmi.com/wp-content/uploads/2024/11/What-we-offer-2025_web_V1.3.pdf"/>
    <hyperlink ref="D18" r:id="rId14" display="https://www.buchinger-wilhelmi.com/wp-content/uploads/2024/11/What-we-offer-2025_web_V1.0.pdf"/>
    <hyperlink ref="D19" r:id="rId15" display="https://www.sixsenses.com/en/wellness-spa/personalized-wellness/longevity/"/>
    <hyperlink ref="D20" r:id="rId16" display="https://www.hotel-online.com/news/six-senses-2025-wellness-forecast"/>
    <hyperlink ref="D21" r:id="rId17" display="https://anova-irm.com/en/diagnostics/diagnostic-work-up"/>
    <hyperlink ref="D22" r:id="rId18" display="https://www.radiologie-dr-jung.de/en/mri-cost-overview/"/>
    <hyperlink ref="D23" r:id="rId19" display="https://prenuvo.com/pricing"/>
    <hyperlink ref="D24" r:id="rId20" display="https://www.ezra.com/pricing"/>
    <hyperlink ref="D25" r:id="rId21" display="https://www.sleepfoundation.org/sleep-studies/how-much-does-a-sleep-study-cost"/>
    <hyperlink ref="D26" r:id="rId22" display="https://shop.trudiagnostic.com/products/truage-complete-epigenetic-collection"/>
    <hyperlink ref="D27" r:id="rId23" display="https://www.longevityadvice.com/best-biological-age-tests/"/>
    <hyperlink ref="D28" r:id="rId24" display="https://www.viome.com/"/>
    <hyperlink ref="D29" r:id="rId25" display="https://www.innerbody.com/viome-review"/>
    <hyperlink ref="D30" r:id="rId26" display="https://www.hvs.com/article/9999-HVS-US-Hotel-Development-Cost-Survey-2024"/>
    <hyperlink ref="D31" r:id="rId27" display="https://www.hvs.com/article/10219-hvs-us-hotel-development-cost-survey-2025"/>
    <hyperlink ref="D32" r:id="rId28" display="https://www.cushmanwakefield.com/en/insights/hotel-investor-compass"/>
    <hyperlink ref="D33" r:id="rId29" display="https://www.cushmanwakefield.com/en/spain/news/2024/05/hotel-investor-campass-2024"/>
    <hyperlink ref="D34" r:id="rId30" display="https://www.statista.com/statistics/1380696/hotel-construction-costs-european-cities/"/>
    <hyperlink ref="D35" r:id="rId31" display="https://globalwellnessinstitute.org/wp-content/uploads/2024/05/GWI-Wellness-Real-Estate-2024.pdf"/>
    <hyperlink ref="D36" r:id="rId32" display="https://globalwellnessinstitute.org/press-room/press-releases/build-well-to-live-well-2025/"/>
    <hyperlink ref="D37" r:id="rId33" display="https://www.federalregister.gov/documents/2024/04/29/2024-09076/amendment-to-existing-controls-on-russia-and-belarus-under-the-export-administration-regulations-ear"/>
    <hyperlink ref="D38" r:id="rId34" display="https://www.bis.gov/media/961"/>
    <hyperlink ref="D39" r:id="rId35" display="https://finance.ec.europa.eu/system/files/2023-02/faqs-sanctions-russia-medical_en.pdf"/>
    <hyperlink ref="D40" r:id="rId36" display="https://eur-lex.europa.eu/eli/reg/2014/833/oj/eng"/>
    <hyperlink ref="D41" r:id="rId37" display="https://brace-lf.com/en/analytics/pharmaceutical-and-medical-law/parallel-import-russia-medicines-medical-devices"/>
    <hyperlink ref="D42" r:id="rId38" display="https://www.morganlewis.com/pubs/2022/04/update-russia-legalizes-parallel-import-of-certain-goods"/>
    <hyperlink ref="D43" r:id="rId39" display="https://denuo.legal/en/insights/news/240711/"/>
    <hyperlink ref="D44" r:id="rId40" display="https://www.trade.gov/country-commercial-guides/russia-medical-equipment"/>
    <hyperlink ref="D45" r:id="rId41" display="https://securiti.ai/russian-federal-law-no-152-fz/"/>
    <hyperlink ref="D46" r:id="rId42" display="https://konsugroup.com/en/news/new-requirements-personal-data-protection-russia-2025-07/"/>
    <hyperlink ref="D47" r:id="rId43" display="https://www.wto.org/english/res_e/statis_e/daily_update_e/tariff_profiles/RU_E.pdf"/>
    <hyperlink ref="D48" r:id="rId44" display="https://www.tonlexing.com/customs-clearance-in-russia/"/>
    <hyperlink ref="D49" r:id="rId45" display="https://www.mindray.com/en/media-center/blogs/unlimited-potentials-mindray-s-story-in-russia"/>
    <hyperlink ref="D50" r:id="rId46" display="https://tadviser.com/index.php/Article:Medical_Equipment_(Russian_Market)"/>
    <hyperlink ref="D51" r:id="rId47" display="https://schmidt-export.com/news/new-rules-registration-medical-devices-starting-march-1-2025-russia"/>
    <hyperlink ref="D52" r:id="rId48" display="https://www.focus-economics.com/country-indicator/russia/exchange-rate/"/>
    <hyperlink ref="D53" r:id="rId49" display="https://asiatimes.com/2024/12/ruble-volatility-exposes-russias-emerging-economic-crisis/"/>
    <hyperlink ref="D54" r:id="rId50" display="https://www.cooley.com/news/insight/2024/2024-05-06-new-license-exception-authorizes-exports-of-previously-restricted-medical-devices-and-related-items"/>
    <hyperlink ref="D55" r:id="rId51" display="https://www.curtis.com/our-firm/news/the-eu-adopts-its-14th-sanctions-package-against-russia"/>
    <hyperlink ref="D56" r:id="rId52" display="https://www.hospitalitynet.org/news/4125285.html"/>
    <hyperlink ref="D57" r:id="rId53" display="https://www.bodyspec.com/blog/post/how_much_does_a_dexa_scan_cost_in_major_cities"/>
    <hyperlink ref="D58" r:id="rId54" display="https://www.blockimaging.com/ge-and-hologic-bone-densitometer-price-cost-guide"/>
    <hyperlink ref="D59" r:id="rId55" display="https://www.healingholidays.com/accommodation/germany/lanserhof-tegernsee"/>
    <hyperlink ref="D60" r:id="rId56" display="https://globetrender.com/2025/12/02/four-new-six-senses-resorts-2026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2026-05-03T21:28:30Z</dcterms:created>
  <dc:creator>openpyxl</dc:creator>
  <dc:description/>
  <dc:language>en-US</dc:language>
  <cp:lastModifiedBy/>
  <dcterms:modified xsi:type="dcterms:W3CDTF">2026-05-03T23:08:15Z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