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quipment Master List" sheetId="2" state="visible" r:id="rId4"/>
    <sheet name="Capex Summary by Tier" sheetId="3" state="visible" r:id="rId5"/>
    <sheet name="Payback &amp; Revenue Logic" sheetId="4" state="visible" r:id="rId6"/>
    <sheet name="Regional Cost Drivers" sheetId="5" state="visible" r:id="rId7"/>
    <sheet name="Sources &amp; Methodology" sheetId="6" state="visible" r:id="rId8"/>
  </sheets>
  <definedNames>
    <definedName function="false" hidden="true" localSheetId="1" name="_xlnm._FilterDatabase" vbProcedure="false">'Equipment Master List'!$A$1:$Y$135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<sst xmlns="http://schemas.openxmlformats.org/spreadsheetml/2006/main" count="2336" uniqueCount="1372">
  <si>
    <t xml:space="preserve">Premium Longevity Resort — Capex Benchmark Study</t>
  </si>
  <si>
    <t xml:space="preserve">Equipment, Software, Spa, Kitchen &amp; Medical Infrastructure across 4 regions</t>
  </si>
  <si>
    <t xml:space="preserve">Date issued</t>
  </si>
  <si>
    <t xml:space="preserve">2026-05-03</t>
  </si>
  <si>
    <t xml:space="preserve">Tier coverage</t>
  </si>
  <si>
    <t xml:space="preserve">Lanserhof/CLP (full medical depth)  |  SHA/Chenot (medical-light)  |  Six Senses Place (wellness+)</t>
  </si>
  <si>
    <t xml:space="preserve">Property profile</t>
  </si>
  <si>
    <t xml:space="preserve">80–100 keys (model uses 90 keys mid-point); premium-luxury positioning</t>
  </si>
  <si>
    <t xml:space="preserve">Regions priced</t>
  </si>
  <si>
    <t xml:space="preserve">Western Europe (EUR) | North America (USD) | Asia (USD, country-tagged) | Russia (RUB est.)</t>
  </si>
  <si>
    <t xml:space="preserve">Items priced</t>
  </si>
  <si>
    <t xml:space="preserve">134 line items across 16 categories</t>
  </si>
  <si>
    <t xml:space="preserve">WORKBOOK CONTENTS</t>
  </si>
  <si>
    <t xml:space="preserve">Cover</t>
  </si>
  <si>
    <t xml:space="preserve">This page — methodology, tier definitions, color legend</t>
  </si>
  <si>
    <t xml:space="preserve">Equipment Master List</t>
  </si>
  <si>
    <t xml:space="preserve">All 134 line items with brand, prices in 4 regions, tier assignment, source, confidence</t>
  </si>
  <si>
    <t xml:space="preserve">Capex Summary by Tier</t>
  </si>
  <si>
    <t xml:space="preserve">Roll-up by tier x group x region. Live formulas — change Master List or keys_count to refresh.</t>
  </si>
  <si>
    <t xml:space="preserve">Payback &amp; Revenue Logic</t>
  </si>
  <si>
    <t xml:space="preserve">Equipment payback blocks, procedure &amp; package pricing, ADR uplift logic, payback bands</t>
  </si>
  <si>
    <t xml:space="preserve">Regional Cost Drivers</t>
  </si>
  <si>
    <t xml:space="preserve">Sanctions, customs/VAT, parallel import, domestic alternatives — Russia detail</t>
  </si>
  <si>
    <t xml:space="preserve">Sources &amp; Methodology</t>
  </si>
  <si>
    <t xml:space="preserve">All sources cited + confidence assessment + recommended verification path</t>
  </si>
  <si>
    <t xml:space="preserve">TIER DEFINITIONS</t>
  </si>
  <si>
    <t xml:space="preserve">Six Senses Place-tier</t>
  </si>
  <si>
    <t xml:space="preserve">Wellness-plus. Premium spa, full thermal, full Pilates+gym, full kitchen, PMS+IT. NO medical center, no imaging, no in-house lab, no EHR. Items here are present in EVERY tier (the operational floor).</t>
  </si>
  <si>
    <t xml:space="preserve">SHA/Chenot-tier</t>
  </si>
  <si>
    <t xml:space="preserve">Medical-light. Adds ultrasound, DEXA, X-ray, basic lab analyzers, ECG suite, HSAT, IV chairs, FibroScan, RMR, mid-market EHR, basic medical infra.</t>
  </si>
  <si>
    <t xml:space="preserve">Lanserhof/CLP-tier</t>
  </si>
  <si>
    <t xml:space="preserve">Full medical depth. Adds MRI 3T+1.5T, CT, OCT, mammography, full PSG/EEG, ozone/IHHT/HBOT, aesthetic lasers, full PACS, full medical gas + generator + HEPA.</t>
  </si>
  <si>
    <t xml:space="preserve">Optional upsell</t>
  </si>
  <si>
    <t xml:space="preserve">Reported separately — Epic EHR, Cryolipolysis, ECG patch fleet, WHOOP/Garmin enterprise. NOT in tier base totals.</t>
  </si>
  <si>
    <t xml:space="preserve">COLOR-CODE LEGEND</t>
  </si>
  <si>
    <t xml:space="preserve">Hardcoded input</t>
  </si>
  <si>
    <t xml:space="preserve">Numbers a user can change for scenarios (unit prices, keys_count, FX)</t>
  </si>
  <si>
    <t xml:space="preserve">Formula / calculated</t>
  </si>
  <si>
    <t xml:space="preserve">Cells computed by the workbook from inputs above</t>
  </si>
  <si>
    <t xml:space="preserve">Cross-sheet link</t>
  </si>
  <si>
    <t xml:space="preserve">References to other sheets — keeps roll-ups in sync with the Master List</t>
  </si>
  <si>
    <t xml:space="preserve">Confidence fills</t>
  </si>
  <si>
    <t xml:space="preserve">Green = High, Yellow = Medium, Orange = Low — applied to Master List Confidence column.</t>
  </si>
  <si>
    <t xml:space="preserve">READING THIS WORKBOOK</t>
  </si>
  <si>
    <t xml:space="preserve">1. The Master List is the single source of truth. Edit a price or quantity there — the Capex Summary updates via SUMPRODUCT.</t>
  </si>
  <si>
    <t xml:space="preserve">2. Capex Summary uses tier inclusion logic: Six Senses items count in ALL 3 tiers; SHA items count in CLP + SHA; CLP items count only in CLP.</t>
  </si>
  <si>
    <t xml:space="preserve">3. Software shows upfront capex AND annual subscription separately. Annual figures are opex (excluded from capex totals).</t>
  </si>
  <si>
    <t xml:space="preserve">4. The Russia (RUB) column carries the LOWEST confidence — see Sources &amp; Methodology for verification recommendations.</t>
  </si>
  <si>
    <t xml:space="preserve">5. 'Capex per key' uses keys_count in cell B3 of the Capex Summary sheet (default 90 — editable).</t>
  </si>
  <si>
    <t xml:space="preserve">ID</t>
  </si>
  <si>
    <t xml:space="preserve">Category</t>
  </si>
  <si>
    <t xml:space="preserve">Subcategory</t>
  </si>
  <si>
    <t xml:space="preserve">Equipment item</t>
  </si>
  <si>
    <t xml:space="preserve">Brand examples</t>
  </si>
  <si>
    <t xml:space="preserve">Function</t>
  </si>
  <si>
    <t xml:space="preserve">Tier (corrected)</t>
  </si>
  <si>
    <t xml:space="preserve">Tier (research-assigned)</t>
  </si>
  <si>
    <t xml:space="preserve">Price — Western Europe (€)</t>
  </si>
  <si>
    <t xml:space="preserve">Price — North America (USD)</t>
  </si>
  <si>
    <t xml:space="preserve">Price — Asia (USD)</t>
  </si>
  <si>
    <t xml:space="preserve">Asia country</t>
  </si>
  <si>
    <t xml:space="preserve">Price — Russia est. (₽)</t>
  </si>
  <si>
    <t xml:space="preserve">Quantity (80–100 keys)</t>
  </si>
  <si>
    <t xml:space="preserve">Useful life (yrs)</t>
  </si>
  <si>
    <t xml:space="preserve">Annual maint (% capex)</t>
  </si>
  <si>
    <t xml:space="preserve">Operator FTE</t>
  </si>
  <si>
    <t xml:space="preserve">Source</t>
  </si>
  <si>
    <t xml:space="preserve">Confidence</t>
  </si>
  <si>
    <t xml:space="preserve">Last verified</t>
  </si>
  <si>
    <t xml:space="preserve">Notes</t>
  </si>
  <si>
    <t xml:space="preserve">EU annual € (sw)</t>
  </si>
  <si>
    <t xml:space="preserve">NA annual $ (sw)</t>
  </si>
  <si>
    <t xml:space="preserve">Asia annual $ (sw)</t>
  </si>
  <si>
    <t xml:space="preserve">Russia annual ₽ (sw)</t>
  </si>
  <si>
    <t xml:space="preserve">Aesthetic &amp; Regenerative</t>
  </si>
  <si>
    <t xml:space="preserve">Ablative/non-ablative platform</t>
  </si>
  <si>
    <t xml:space="preserve">Modular aesthetic laser platform (BBL+Halo+ProFractional)</t>
  </si>
  <si>
    <t xml:space="preserve">Sciton JOULE X / Lumenis M22</t>
  </si>
  <si>
    <t xml:space="preserve">Skin resurfacing, pigment, vascular - workhorse aesthetic platform</t>
  </si>
  <si>
    <t xml:space="preserve">UAE</t>
  </si>
  <si>
    <t xml:space="preserve">Sciton dealer; pre-owned mJOULE $149,950 (mrp.io); Lumenis dealer 2024</t>
  </si>
  <si>
    <t xml:space="preserve">Medium</t>
  </si>
  <si>
    <t xml:space="preserve">2026-05</t>
  </si>
  <si>
    <t xml:space="preserve">REGULATORY FLAG: US-OEM. Russian import via parallel channels +20-30%. Consider European alternatives (Asclepion, Quantel).</t>
  </si>
  <si>
    <t xml:space="preserve">Cryolipolysis</t>
  </si>
  <si>
    <t xml:space="preserve">Cryolipolysis system (fat reduction)</t>
  </si>
  <si>
    <t xml:space="preserve">Allergan CoolSculpting Elite / Cooltech Define</t>
  </si>
  <si>
    <t xml:space="preserve">Non-invasive fat reduction - high-margin aesthetic service</t>
  </si>
  <si>
    <t xml:space="preserve">Allergan dealer 2024; Offer Aesthetic refurbished CoolSculpting Elite listings</t>
  </si>
  <si>
    <t xml:space="preserve">REGULATORY FLAG: Allergan/AbbVie US-controlled. Cooltech (Spain, now Cocoon Medical) preferable for Russia.</t>
  </si>
  <si>
    <t xml:space="preserve">EMSculpt / muscle stim</t>
  </si>
  <si>
    <t xml:space="preserve">Electromagnetic muscle stimulation (HIFEM)</t>
  </si>
  <si>
    <t xml:space="preserve">BTL EMSculpt NEO</t>
  </si>
  <si>
    <t xml:space="preserve">Muscle building + fat reduction - popular spa add-on</t>
  </si>
  <si>
    <t xml:space="preserve">BTL Industries dealer quotes 2024-25</t>
  </si>
  <si>
    <t xml:space="preserve">BTL is Czech-owned - Russia route relatively clean.</t>
  </si>
  <si>
    <t xml:space="preserve">HIFU skin lifting</t>
  </si>
  <si>
    <t xml:space="preserve">Microfocused ultrasound skin lifting (HIFU)</t>
  </si>
  <si>
    <t xml:space="preserve">Merz Ultherapy Prime / Ulthera</t>
  </si>
  <si>
    <t xml:space="preserve">Non-surgical skin tightening - high demand procedure</t>
  </si>
  <si>
    <t xml:space="preserve">konmison Ultherapy machine cost guide 2025; vsquareclinic Ulthera Prime</t>
  </si>
  <si>
    <t xml:space="preserve">Cartridge consumables ~$300/treatment. Russia: Merz EU-OEM, lower sanctions risk than US.</t>
  </si>
  <si>
    <t xml:space="preserve">LED light therapy</t>
  </si>
  <si>
    <t xml:space="preserve">LED light therapy bed / panel (medical)</t>
  </si>
  <si>
    <t xml:space="preserve">NovoTHOR / Celluma PRO panels</t>
  </si>
  <si>
    <t xml:space="preserve">Photobiomodulation for skin/recovery/longevity</t>
  </si>
  <si>
    <t xml:space="preserve">NovoTHOR retail 2024 (~$70-90k); Celluma Pro $3-5k panels alt</t>
  </si>
  <si>
    <t xml:space="preserve">NovoTHOR full-body bed is signature offering at premium clinics.</t>
  </si>
  <si>
    <t xml:space="preserve">Radiofrequency therapy</t>
  </si>
  <si>
    <t xml:space="preserve">Radiofrequency therapy device (448 kHz Tecar)</t>
  </si>
  <si>
    <t xml:space="preserve">Indiba Activ Elite NS / Indiba CT9</t>
  </si>
  <si>
    <t xml:space="preserve">Tissue regeneration, recovery, body contouring - rehab+aesthetic dual use</t>
  </si>
  <si>
    <t xml:space="preserve">Indiba dealer references; NYDNRehab clinical pricing; eBay used listings ~$55k</t>
  </si>
  <si>
    <t xml:space="preserve">Spanish OEM, cleaner Russia route than US lasers.</t>
  </si>
  <si>
    <t xml:space="preserve">Vascular/pigment laser platform</t>
  </si>
  <si>
    <t xml:space="preserve">Multi-wavelength aesthetic laser platform (KTP+Nd:YAG)</t>
  </si>
  <si>
    <t xml:space="preserve">Cutera Excel V+ / Candela GentleMax Pro</t>
  </si>
  <si>
    <t xml:space="preserve">Vascular lesions, pigmentation, skin rejuvenation</t>
  </si>
  <si>
    <t xml:space="preserve">The Laser Agent 2025 new Cutera Excel V+ listings, Bimedis range $18,613-$49,950 used</t>
  </si>
  <si>
    <t xml:space="preserve">REGULATORY FLAG: US/Israel-OEM aesthetic lasers face Russian import constraints. Source via Turkey/UAE re-export, expect +15-25% markup and parallel-import warranty risk.</t>
  </si>
  <si>
    <t xml:space="preserve">Body Composition &amp; Performance</t>
  </si>
  <si>
    <t xml:space="preserve">Body composition - air displacement</t>
  </si>
  <si>
    <t xml:space="preserve">BodPod GS-X air displacement plethysmograph</t>
  </si>
  <si>
    <t xml:space="preserve">Cosmed BodPod GS-X</t>
  </si>
  <si>
    <t xml:space="preserve">Gold-standard 2-compartment body composition; differentiator vs InBody</t>
  </si>
  <si>
    <t xml:space="preserve">Cosmed dealer quotes, MedicalExpo 2024</t>
  </si>
  <si>
    <t xml:space="preserve">Used by Lanserhof, CLP. Heavy unit, dedicated room with stable temperature required.</t>
  </si>
  <si>
    <t xml:space="preserve">Body composition - bioimpedance</t>
  </si>
  <si>
    <t xml:space="preserve">Medical-grade body composition analyzer (BIA, multi-frequency)</t>
  </si>
  <si>
    <t xml:space="preserve">InBody 970 / Seca mBCA 555 (medical-grade)</t>
  </si>
  <si>
    <t xml:space="preserve">Segmental body composition, ECW/ICW, phase angle - foundational longevity assessment</t>
  </si>
  <si>
    <t xml:space="preserve">InBody USA shop list 2025 ($32,605); Seca mBCA Pro $9,599 base; HaB Direct mBCA 555 listing</t>
  </si>
  <si>
    <t xml:space="preserve">High</t>
  </si>
  <si>
    <t xml:space="preserve">InBody 970 is the workhorse; Seca mBCA 555 is medical-CE class. Russia: distributors in Moscow available, no sanctions issues.</t>
  </si>
  <si>
    <t xml:space="preserve">Cardiopulmonary</t>
  </si>
  <si>
    <t xml:space="preserve">VO2 max / metabolic cart (CPET)</t>
  </si>
  <si>
    <t xml:space="preserve">Cosmed K5 / Cosmed Quark CPET / MGC Diagnostics</t>
  </si>
  <si>
    <t xml:space="preserve">VO2max, RMR - central healthy-aging metric</t>
  </si>
  <si>
    <t xml:space="preserve">Cosmed dealer 2024, MedicalExpo listings</t>
  </si>
  <si>
    <t xml:space="preserve">Lanserhof/SHA both run CPET. Includes treadmill or cycle ergometer.</t>
  </si>
  <si>
    <t xml:space="preserve">DEXA scanner</t>
  </si>
  <si>
    <t xml:space="preserve">DEXA body composition / bone density scanner</t>
  </si>
  <si>
    <t xml:space="preserve">Hologic Horizon / GE Lunar iDXA</t>
  </si>
  <si>
    <t xml:space="preserve">Bone density + body composition gold standard</t>
  </si>
  <si>
    <t xml:space="preserve">Hologic/GE dealer 2024</t>
  </si>
  <si>
    <t xml:space="preserve">May overlap with Phase 1 medical imaging - verify single source to avoid double-count.</t>
  </si>
  <si>
    <t xml:space="preserve">Force/gait analysis</t>
  </si>
  <si>
    <t xml:space="preserve">Force plate system (dual, embedded)</t>
  </si>
  <si>
    <t xml:space="preserve">AMTI BMS400600 / Bertec FP4060</t>
  </si>
  <si>
    <t xml:space="preserve">Ground reaction force, balance, gait kinetics</t>
  </si>
  <si>
    <t xml:space="preserve">AMTI dealer quotes, Noraxon partner pricing 2024</t>
  </si>
  <si>
    <t xml:space="preserve">Pair of plates; install requires recessed floor pit. Often paired with Vicon.</t>
  </si>
  <si>
    <t xml:space="preserve">Gait analysis</t>
  </si>
  <si>
    <t xml:space="preserve">3D motion capture system (8-camera, clinical)</t>
  </si>
  <si>
    <t xml:space="preserve">Vicon Vero/Valkyrie 8-cam + Nexus / Noraxon Ultium</t>
  </si>
  <si>
    <t xml:space="preserve">Markered 3D gait/biomechanics - premium clinic differentiator</t>
  </si>
  <si>
    <t xml:space="preserve">ResearchGate GBP 150k benchmark; Vicon dealer 2024 quotes</t>
  </si>
  <si>
    <t xml:space="preserve">Includes 8 Vero cameras, Nexus software, calibration. Optional upsell: Markerless. Russia: license/export controls minor.</t>
  </si>
  <si>
    <t xml:space="preserve">Strength assessment</t>
  </si>
  <si>
    <t xml:space="preserve">Isokinetic dynamometer (multi-joint)</t>
  </si>
  <si>
    <t xml:space="preserve">Biodex System 4 Pro / Cybex HUMAC NORM</t>
  </si>
  <si>
    <t xml:space="preserve">Objective strength/balance assessment, ACL rehab, sports medicine</t>
  </si>
  <si>
    <t xml:space="preserve">Biodex dealer quotes; PMC literature on rehab equipment costs</t>
  </si>
  <si>
    <t xml:space="preserve">Required for medical-tier sports rehab. Calibration service contract recommended.</t>
  </si>
  <si>
    <t xml:space="preserve">Cardiology &amp; Pulmonology</t>
  </si>
  <si>
    <t xml:space="preserve">ABPM</t>
  </si>
  <si>
    <t xml:space="preserve">Ambulatory blood pressure monitor (24h ABPM)</t>
  </si>
  <si>
    <t xml:space="preserve">Welch Allyn / Hillrom ABPM 7100, SunTech Oscar 2, Schiller BR-102 plus</t>
  </si>
  <si>
    <t xml:space="preserve">24-hour ambulatory BP monitoring; nocturnal dipping pattern.</t>
  </si>
  <si>
    <t xml:space="preserve">China</t>
  </si>
  <si>
    <t xml:space="preserve">Cardiac Direct ABPM 7100 product listings; SunTech Oscar 2 dealer pricing ~$2,500-$3,500; Hillrom commercial price.</t>
  </si>
  <si>
    <t xml:space="preserve">Multiple recorders for parallel guests. Russia: BPLab (Petr Telegin / Russian-made) is gold standard domestic ABPM, MoH-registered.</t>
  </si>
  <si>
    <t xml:space="preserve">Body Plethysmography</t>
  </si>
  <si>
    <t xml:space="preserve">Body plethysmograph (full PFT lab)</t>
  </si>
  <si>
    <t xml:space="preserve">MGC Diagnostics BodyBox PFS, Vyaire MasterScreen Body, Cosmed Q-Box</t>
  </si>
  <si>
    <t xml:space="preserve">Full pulmonary function lab - total lung capacity, residual volume, airway resistance, DLCO.</t>
  </si>
  <si>
    <t xml:space="preserve">Respiratory Therapy magazine: plethysmograph $50k+; MGC BodyBox PFS commercial list ~$55-70k.</t>
  </si>
  <si>
    <t xml:space="preserve">Optional in 80-100 key resort - only Lanserhof/CLP-tier truly justify; SHA/Chenot tier could outsource. Russia: typically imported, parallel via Germany.</t>
  </si>
  <si>
    <t xml:space="preserve">CPET</t>
  </si>
  <si>
    <t xml:space="preserve">CPET / VO2max metabolic cart</t>
  </si>
  <si>
    <t xml:space="preserve">COSMED Quark CPET, Vyaire Vyntus CPX, MGC Diagnostics Ultima CPX</t>
  </si>
  <si>
    <t xml:space="preserve">Cardiopulmonary exercise testing; VO2max - flagship longevity biomarker.</t>
  </si>
  <si>
    <t xml:space="preserve">Susquemicro / PNOE: complete metabolic cart $40k-$80k+; COSMED Quark CPET ebay refurb ~$25-40k; Scribd COSMED 2024 dealer pricing matrix.</t>
  </si>
  <si>
    <t xml:space="preserve">Includes ergometer/treadmill, calibration gases, mixing chamber, software. Russia: COSMED (Italian) still ships; domestic Aeromed alternative exists.</t>
  </si>
  <si>
    <t xml:space="preserve">ECG</t>
  </si>
  <si>
    <t xml:space="preserve">12-lead resting ECG</t>
  </si>
  <si>
    <t xml:space="preserve">GE MAC 5500, Philips PageWriter TC70, Schiller CARDIOVIT AT-2</t>
  </si>
  <si>
    <t xml:space="preserve">Routine 12-lead resting ECG.</t>
  </si>
  <si>
    <t xml:space="preserve">Discount Cardiology Philips PageWriter TC70 $1,100; Cardiology Outlet Schiller AT-1 $1,795; new GE MAC list typically $4,000-$6,500.</t>
  </si>
  <si>
    <t xml:space="preserve">Multiple units across cardiology, primary care, and stress test stations. Russia: Aktiv-Med ECG Pro and Schiller (still distributed) widely available domestically.</t>
  </si>
  <si>
    <t xml:space="preserve">Long-term continuous ECG patch (Zio / KardiaMobile fleet)</t>
  </si>
  <si>
    <t xml:space="preserve">iRhythm Zio XT (subscription), Bardy Diagnostics CAM, AliveCor KardiaMobile 6L</t>
  </si>
  <si>
    <t xml:space="preserve">14-day continuous patch ECG - extended arrhythmia monitoring.</t>
  </si>
  <si>
    <t xml:space="preserve">Singapore</t>
  </si>
  <si>
    <t xml:space="preserve">iRhythm Zio XT subscription model ~$300-500 per study; AliveCor KardiaMobile 6L $149 device + service.</t>
  </si>
  <si>
    <t xml:space="preserve">PASS-THROUGH consumable / SaaS - no upfront capex; per-study charge. Russia: Zio XT not available; KardiaMobile available via parallel import.</t>
  </si>
  <si>
    <t xml:space="preserve">Holter</t>
  </si>
  <si>
    <t xml:space="preserve">24-48h Holter ECG monitor + analysis station</t>
  </si>
  <si>
    <t xml:space="preserve">GE SEER 1000, Schiller medilog AR, Philips DigiTrak XT</t>
  </si>
  <si>
    <t xml:space="preserve">24-72h ambulatory ECG for arrhythmia detection.</t>
  </si>
  <si>
    <t xml:space="preserve">Cardiac Direct Holter listings; DotMed GE SEER 1000 refurb $2-4k per recorder, full system with workstation EUR 10-15k new.</t>
  </si>
  <si>
    <t xml:space="preserve">Pricing reflects 3 recorders + 1 analysis workstation. Russia: Aktiv-Med Holter Pro is domestic standard.</t>
  </si>
  <si>
    <t xml:space="preserve">Resuscitation</t>
  </si>
  <si>
    <t xml:space="preserve">Crash cart + AED + emergency monitor</t>
  </si>
  <si>
    <t xml:space="preserve">Philips HeartStart MRx, ZOLL X Series, Mindray BeneHeart D6</t>
  </si>
  <si>
    <t xml:space="preserve">Code response - defibrillator / monitor / drug cart for clinic safety.</t>
  </si>
  <si>
    <t xml:space="preserve">Philips MRx / ZOLL X Series defibrillator monitor combo EUR 18-30k; AED ~EUR 1.5-3k; full crash cart kit dealer pricing.</t>
  </si>
  <si>
    <t xml:space="preserve">2 units (clinic + spa zone). Mandatory regulatory item. Russia: Mindray and domestic defibrillators (Aksion) widely available.</t>
  </si>
  <si>
    <t xml:space="preserve">Spirometry</t>
  </si>
  <si>
    <t xml:space="preserve">Spirometer with PFT capability</t>
  </si>
  <si>
    <t xml:space="preserve">ndd EasyOne Pro, Vyaire MasterScreen PFT, MGC Diagnostics CPFS/D</t>
  </si>
  <si>
    <t xml:space="preserve">Spirometry, FEV1/FVC, MVV, lung function for executive screening.</t>
  </si>
  <si>
    <t xml:space="preserve">ndd Medical / MGC Diagnostics published commercial list; Respiratory Therapy magazine 2024 product survey.</t>
  </si>
  <si>
    <t xml:space="preserve">Often integrated into CPET system to avoid duplication. Russia: Schiller Spirovit-AT, MIR Spirobank still imported.</t>
  </si>
  <si>
    <t xml:space="preserve">Stress Testing</t>
  </si>
  <si>
    <t xml:space="preserve">Stress ECG with treadmill (full system)</t>
  </si>
  <si>
    <t xml:space="preserve">GE CASE V6.7 + T2100-ST treadmill, Schiller CARDIOVIT CS-200 Excellence + Trackmaster</t>
  </si>
  <si>
    <t xml:space="preserve">Exercise treadmill stress ECG, Bruce protocol, ischemia detection.</t>
  </si>
  <si>
    <t xml:space="preserve">MFI Medical Schiller CS-200 Excellence list $25,950; AIM Cardio CardioStress + GE treadmill complete from $8,995 (refurb); new system list EUR 25-35k.</t>
  </si>
  <si>
    <t xml:space="preserve">Often combined with CPET station. Russia: Schiller CS-200 still distributed via authorised Russian partners (Schiller is Swiss, not on EU sanction lists); domestic alternative Aktiv-Med Cardio.</t>
  </si>
  <si>
    <t xml:space="preserve">Stress echocardiography ergometer (supine bike)</t>
  </si>
  <si>
    <t xml:space="preserve">Lode Angio Stress, ergoselect 1200 EL, GE eBike</t>
  </si>
  <si>
    <t xml:space="preserve">Supine cycle ergometer for stress echo / pharmacological stress testing.</t>
  </si>
  <si>
    <t xml:space="preserve">Lode (Netherlands) / Ergoline supine bike list EUR 18-25k; commercial cardiology equipment dealers.</t>
  </si>
  <si>
    <t xml:space="preserve">Optional - only if stress echo offering. Russia: Lode / Ergoline imported via Turkey/UAE.</t>
  </si>
  <si>
    <t xml:space="preserve">Vascular</t>
  </si>
  <si>
    <t xml:space="preserve">Pulse wave analysis / arterial stiffness</t>
  </si>
  <si>
    <t xml:space="preserve">AtCor SphygmoCor XCEL, IEM Mobil-O-Graph PWA, Hypertension Diagnostics CR-2000</t>
  </si>
  <si>
    <t xml:space="preserve">Central aortic pressure, augmentation index, pulse wave velocity (vascular age).</t>
  </si>
  <si>
    <t xml:space="preserve">AtCor SphygmoCor commercial list ~$15k-$25k; IEM Mobil-O-Graph dealer quotes EUR 8-12k; industry standard EUR 15-22k for full XCEL system.</t>
  </si>
  <si>
    <t xml:space="preserve">Vascular age is a flagship longevity biomarker (Lanserhof/Buchinger use). Russia: IEM (German) still available; BPLab-Vasotens is Russian-made at lower cost.</t>
  </si>
  <si>
    <t xml:space="preserve">Vital Signs</t>
  </si>
  <si>
    <t xml:space="preserve">Patient vital signs monitor (multi-parameter)</t>
  </si>
  <si>
    <t xml:space="preserve">Mindray ePM 12M, Philips IntelliVue MX450, GE B105M</t>
  </si>
  <si>
    <t xml:space="preserve">Multi-parameter monitor for IV lounge, recovery, sleep observation.</t>
  </si>
  <si>
    <t xml:space="preserve">Mindray ePM12M dealer $4-6k; Philips MX450 EUR 7-9k; refurb 50% off.</t>
  </si>
  <si>
    <t xml:space="preserve">Russia: Mindray dominant; domestic Triton, Aktiv-Med ECG also used.</t>
  </si>
  <si>
    <t xml:space="preserve">Cryo &amp; Thermal</t>
  </si>
  <si>
    <t xml:space="preserve">Finnish sauna</t>
  </si>
  <si>
    <t xml:space="preserve">Premium Finnish sauna (commercial, 8-12 person, Klafs/Tylo)</t>
  </si>
  <si>
    <t xml:space="preserve">Klafs Premium / Tylo Sense / Helo</t>
  </si>
  <si>
    <t xml:space="preserve">Traditional Finnish sauna - core thermal experience</t>
  </si>
  <si>
    <t xml:space="preserve">Klafs Premium line catalog; Tylo Sense commercial heater pricing 2024</t>
  </si>
  <si>
    <t xml:space="preserve">Saunas not sanctioned. Klafs has Russian authorized dealers.</t>
  </si>
  <si>
    <t xml:space="preserve">Hyperbaric oxygen</t>
  </si>
  <si>
    <t xml:space="preserve">Hyperbaric oxygen chamber (mild, 1.3-2.0 ATA)</t>
  </si>
  <si>
    <t xml:space="preserve">OxyHealth Vitaeris / Solace 210</t>
  </si>
  <si>
    <t xml:space="preserve">Mild hyperbaric for recovery/longevity</t>
  </si>
  <si>
    <t xml:space="preserve">OxyHealth dealer 2024; Solace listings</t>
  </si>
  <si>
    <t xml:space="preserve">Soft-shell mild HBOT. Hard medical chambers (3+ ATA) are 5-10x more.</t>
  </si>
  <si>
    <t xml:space="preserve">Ice plunge / cold pool</t>
  </si>
  <si>
    <t xml:space="preserve">Cold plunge pool (chilled, 4-10C, 2-3 person)</t>
  </si>
  <si>
    <t xml:space="preserve">Klafs Cool Pool / Plunge / custom stainless</t>
  </si>
  <si>
    <t xml:space="preserve">Contrast therapy after sauna/banya - essential adjacency</t>
  </si>
  <si>
    <t xml:space="preserve">Klafs/Plunge commercial dealer 2024</t>
  </si>
  <si>
    <t xml:space="preserve">Includes chiller, filtration. Excludes shell.</t>
  </si>
  <si>
    <t xml:space="preserve">Infrared sauna</t>
  </si>
  <si>
    <t xml:space="preserve">Premium infrared sauna (full-spectrum, 3-4 person)</t>
  </si>
  <si>
    <t xml:space="preserve">Sunlighten mPulse Conquer / Klafs InfraPLUS</t>
  </si>
  <si>
    <t xml:space="preserve">Detoxification, cardiovascular support - low-effort signature</t>
  </si>
  <si>
    <t xml:space="preserve">Sunlighten Conquer 2026 list $12,099-$16,199; Klafs catalog</t>
  </si>
  <si>
    <t xml:space="preserve">Sunlighten US, may face import. Klafs (DE) preferable for Russia.</t>
  </si>
  <si>
    <t xml:space="preserve">Localized cryo</t>
  </si>
  <si>
    <t xml:space="preserve">Localized cryotherapy device (cold air -30C)</t>
  </si>
  <si>
    <t xml:space="preserve">Cryomed Pro / Zimmer Cryo 6</t>
  </si>
  <si>
    <t xml:space="preserve">Targeted cryo for face / joints - aesthetic and rehab</t>
  </si>
  <si>
    <t xml:space="preserve">Zimmer MedizinSysteme dealer; Cryomed catalog</t>
  </si>
  <si>
    <t xml:space="preserve">German-made, clean Russia route.</t>
  </si>
  <si>
    <t xml:space="preserve">Russian banya - parnaya</t>
  </si>
  <si>
    <t xml:space="preserve">Premium Russian banya parnaya (wood-fired, log construction, turnkey)</t>
  </si>
  <si>
    <t xml:space="preserve">SEVERNO Valgar / Hamam-Elit / regional Ural artisans / Klafs Banya line</t>
  </si>
  <si>
    <t xml:space="preserve">Russian wood-fired steam (60-90C wet, periodic loyly with veniki) - cultural anchor</t>
  </si>
  <si>
    <t xml:space="preserve">SEVERNO premium modular RUB 4.3-7.98M (Valgar/Valkeda/Andoma); 95c.ru turnkey from RUB 400k base; Hamam-m typical projects from RUB 290k</t>
  </si>
  <si>
    <t xml:space="preserve">Russian sourcing strongly preferred (cultural authenticity, no logistics cost). Premium spec: cedar/linden cladding, jadeite/talcomagnesite stones, Tunguska/Kupel/Tylo Sense premium oven, hand-built. Headcount includes banshchik (banya master). Sysert region has strong banya artisan tradition.</t>
  </si>
  <si>
    <t xml:space="preserve">Russian banya - secondary</t>
  </si>
  <si>
    <t xml:space="preserve">Second banya room (parnaya, white) for higher capacity</t>
  </si>
  <si>
    <t xml:space="preserve">SEVERNO / regional Russian builders</t>
  </si>
  <si>
    <t xml:space="preserve">Secondary banya for capacity / private group bookings</t>
  </si>
  <si>
    <t xml:space="preserve">SEVERNO Andoma RUB 4.3M; regional Ural artisans</t>
  </si>
  <si>
    <t xml:space="preserve">Recommended for 80-100 keys: at least 2 banya rooms operating in parallel.</t>
  </si>
  <si>
    <t xml:space="preserve">Russian banya - smoke (chyornaya)</t>
  </si>
  <si>
    <t xml:space="preserve">Chyornaya banya (po-chyornomu, smoke banya, traditional)</t>
  </si>
  <si>
    <t xml:space="preserve">Custom artisan build (regional Ural specialists)</t>
  </si>
  <si>
    <t xml:space="preserve">Authentic smoke-aging banya - rare premium experience</t>
  </si>
  <si>
    <t xml:space="preserve">Russian artisan banya estimates (95c.ru, propar.club, regional Ural builders)</t>
  </si>
  <si>
    <t xml:space="preserve">Authentic chyornaya: smoke vents directly into chamber, walls naturally tar-coated, antibacterial. Sysert/Ural region: premium differentiator. 4-6 hr fire build-up. Local sourcing essential.</t>
  </si>
  <si>
    <t xml:space="preserve">Snow room</t>
  </si>
  <si>
    <t xml:space="preserve">Snow room (real snow shower, -10C)</t>
  </si>
  <si>
    <t xml:space="preserve">TechnoAlpin SnowRoom / Klafs Iceland</t>
  </si>
  <si>
    <t xml:space="preserve">Premium contrast/thermal experience - signature Lanserhof feature</t>
  </si>
  <si>
    <t xml:space="preserve">TechnoAlpin/Klafs catalog 2024</t>
  </si>
  <si>
    <t xml:space="preserve">High-end signature. Italian/German OEM - clean Russia route.</t>
  </si>
  <si>
    <t xml:space="preserve">Whole-body cryotherapy</t>
  </si>
  <si>
    <t xml:space="preserve">Whole-body cryotherapy chamber (electric, -85 to -110C)</t>
  </si>
  <si>
    <t xml:space="preserve">Mecotec Cryo:One / Cryomed Pro / CRYO Arctic</t>
  </si>
  <si>
    <t xml:space="preserve">Recovery, anti-inflammation - flagship recovery service</t>
  </si>
  <si>
    <t xml:space="preserve">Mecotec dealer ranges 2024; CRYO Arctic list price; Global Wellness Institute report</t>
  </si>
  <si>
    <t xml:space="preserve">3-phase electrical, dedicated room ~25 m2. Russian alt: Kriomed/Krion local production at lower price tier (~RUB 12-18M).</t>
  </si>
  <si>
    <t xml:space="preserve">Diagnostic Imaging</t>
  </si>
  <si>
    <t xml:space="preserve">Ancillary Imaging</t>
  </si>
  <si>
    <t xml:space="preserve">Retinal imaging / OCT (longevity vascular biomarker)</t>
  </si>
  <si>
    <t xml:space="preserve">Topcon Maestro2, Optos Daytona, Heidelberg Spectralis OCT</t>
  </si>
  <si>
    <t xml:space="preserve">Optical coherence tomography &amp; fundus - retinal vessel imaging as cardiovascular surrogate.</t>
  </si>
  <si>
    <t xml:space="preserve">Topcon / Heidelberg / Optos dealer pricing; OCT premium systems EUR 60-90k new list.</t>
  </si>
  <si>
    <t xml:space="preserve">Increasingly part of advanced longevity panel. Russia: Topcon (Japan) still distributed; Heidelberg via parallel import.</t>
  </si>
  <si>
    <t xml:space="preserve">Skin / dermatoscopy AI scanner (full-body mole mapping)</t>
  </si>
  <si>
    <t xml:space="preserve">FotoFinder bodystudio ATBM, Canfield VECTRA WB180, DermaGraphix</t>
  </si>
  <si>
    <t xml:space="preserve">Total body photography for melanoma surveillance - premium guest expectation.</t>
  </si>
  <si>
    <t xml:space="preserve">FotoFinder / Canfield dealer commercial list EUR 75-130k for full-body system + AI software.</t>
  </si>
  <si>
    <t xml:space="preserve">Low</t>
  </si>
  <si>
    <t xml:space="preserve">ESTIMATE based on dealer quotes - vendor pricing not public. AI components face EU export controls into Russia (machine-learning medical SaaS). Russian alternative limited.</t>
  </si>
  <si>
    <t xml:space="preserve">CT</t>
  </si>
  <si>
    <t xml:space="preserve">CT scanner 128-256 slice (premium with low-dose lung protocol)</t>
  </si>
  <si>
    <t xml:space="preserve">Siemens SOMATOM go.Top / X.cite, GE Revolution Apex / EVO, Philips Incisive CT 128</t>
  </si>
  <si>
    <t xml:space="preserve">Cardiac CT, coronary calcium scoring, low-dose lung cancer screening, oncology staging, virtual colonoscopy.</t>
  </si>
  <si>
    <t xml:space="preserve">Medical Imaging Source CT Price Guide ($175k-$325k+ for 128-256 slice tier; premium new units $700k-$1.2M); LBN Medical CT cost guide; Siemens published ranges; refurbished 128-slice 120-180k EUR.</t>
  </si>
  <si>
    <t xml:space="preserve">Includes low-dose chest CT capability (no separate machine needed for lung screening). Requires lead-lined room. Russia: high-slice CT from Western OEMs on EU/US export control lists; parallel import + Chinese alternatives (United Imaging uCT 760, Neusoft NeuViz) increasingly common.</t>
  </si>
  <si>
    <t xml:space="preserve">Cardiology</t>
  </si>
  <si>
    <t xml:space="preserve">Coronary calcium scoring (uses CT - software upgrade)</t>
  </si>
  <si>
    <t xml:space="preserve">Siemens syngo.via CaScoring, GE SmartScore, Philips IntelliSpace</t>
  </si>
  <si>
    <t xml:space="preserve">AI-assisted coronary artery calcium scoring software - Agatston score.</t>
  </si>
  <si>
    <t xml:space="preserve">Siemens syngo.via / GE / Philips quoted as add-on packages EUR 30-60k; KLAS imaging IT 2024 industry references.</t>
  </si>
  <si>
    <t xml:space="preserve">ESTIMATE - software add-on to CT, often bundled. AI-enabled diagnostic platforms FACE EU/US EXPORT CONTROLS for Russia (dual-use).</t>
  </si>
  <si>
    <t xml:space="preserve">DEXA</t>
  </si>
  <si>
    <t xml:space="preserve">DEXA bone densitometer with body composition (whole-body)</t>
  </si>
  <si>
    <t xml:space="preserve">Hologic Horizon A, GE Lunar iDXA, GE Lunar Prodigy</t>
  </si>
  <si>
    <t xml:space="preserve">Bone mineral density, sarcopenia assessment, visceral fat / body composition - core longevity biomarker.</t>
  </si>
  <si>
    <t xml:space="preserve">Block Imaging 2025 DEXA Price Guide (refurb $16k-$45k for older models, new Hologic Horizon A and GE iDXA list $90k-$130k); Hologic published commercial pricing; Kwipped rental data.</t>
  </si>
  <si>
    <t xml:space="preserve">iDXA is the gold standard for visceral adipose and lean mass quantification. Russia: less restricted (lower tech sensitivity); Aktiv-Med and Ostex local distributors still operate.</t>
  </si>
  <si>
    <t xml:space="preserve">Imaging IT</t>
  </si>
  <si>
    <t xml:space="preserve">PACS / RIS imaging IT system</t>
  </si>
  <si>
    <t xml:space="preserve">Sectra PACS, Agfa Enterprise Imaging, Visus JiveX</t>
  </si>
  <si>
    <t xml:space="preserve">Image storage, viewing, reporting - enterprise imaging archive for all modalities.</t>
  </si>
  <si>
    <t xml:space="preserve">KLAS PACS market reports; Sectra / Agfa typical small-clinic deployment EUR 70-150k incl. storage; HIMSS Analytics references.</t>
  </si>
  <si>
    <t xml:space="preserve">Mandatory if MRI/CT/echo/DEXA on-site. Russia: domestic Russian PACS providers exist (RuPACS, Inobitek); Western PACS face cloud / data residency restrictions.</t>
  </si>
  <si>
    <t xml:space="preserve">MRI</t>
  </si>
  <si>
    <t xml:space="preserve">MRI 1.5T scanner (workhorse - Magnetom Sola / Ingenia Ambition class)</t>
  </si>
  <si>
    <t xml:space="preserve">Siemens Magnetom Sola, Philips Ingenia Ambition 1.5T, GE SIGNA Voyager</t>
  </si>
  <si>
    <t xml:space="preserve">Workhorse imaging for routine diagnostics, MSK, abdominal, vascular. Lower-cost alternative or complement to 3T.</t>
  </si>
  <si>
    <t xml:space="preserve">Block Imaging 2025 1.5T Price Guide ($150k-$500k refurb, $1M-$3M new range cited by Grandview); Atlantis Worldwide GE 1.5T Excite HD listings; Medical Imaging Source 2025.</t>
  </si>
  <si>
    <t xml:space="preserve">Refurbished 1.5T can be sourced at EUR 200-450k saving ~50%. Many longevity resorts use only 1.5T (e.g. SHA, Chenot) and outsource 3T cases. Russia: parallel import similar markup as 3T but installed base of older 1.5T units exists; Russian alternatives include United Imaging uMR 588 at ~30% lower.</t>
  </si>
  <si>
    <t xml:space="preserve">MRI 3T scanner (premium - Magnetom Vida / Ingenia Elition / SIGNA Premier class)</t>
  </si>
  <si>
    <t xml:space="preserve">Siemens Magnetom Vida, Philips Ingenia Elition 3.0T S, GE SIGNA Premier / Architect</t>
  </si>
  <si>
    <t xml:space="preserve">Premium full-body imaging - neuro baseline, oncology screening, MSK, advanced cardiac MR. Core to Lanserhof/CLP-tier executive diagnostics.</t>
  </si>
  <si>
    <t xml:space="preserve">Block Imaging 2026 MRI Cost Guide; Medical Imaging Source 2025 MRI Price Guide; Philips Ingenia Elition 3.0T S quoted ~$650k refurb (PrizMed/MXR); GE Signa Architect ~$1.1M refurb; new premium 3T list pricing typically $1.8M-$3M per Grandview/Block. EU list typically below US list by 10-15%.</t>
  </si>
  <si>
    <t xml:space="preserve">Requires RF-shielded room (EUR 150-250k installation), helium top-ups, dedicated radiographer + radiologist read. Russia: GE/Siemens/Philips advanced 3T systems are SANCTIONED under EU Reg 833/2014 dual-use; parallel import via Turkey/UAE/Kazakhstan adds 25-40% premium plus loss of OEM service contract. Russian buyers increasingly shifting to United Imaging (China) and Neusoft as alternatives at 30-40% lower price.</t>
  </si>
  <si>
    <t xml:space="preserve">Mammography</t>
  </si>
  <si>
    <t xml:space="preserve">Digital mammography unit</t>
  </si>
  <si>
    <t xml:space="preserve">Hologic Selenia Dimensions 3D, GE Senographe Pristina, Siemens Mammomat Revelation</t>
  </si>
  <si>
    <t xml:space="preserve">2D/3D tomosynthesis mammography - women's breast cancer screening (executive workup).</t>
  </si>
  <si>
    <t xml:space="preserve">Block Imaging mammography pricing; Hologic Selenia 3D new ~$260-350k list.</t>
  </si>
  <si>
    <t xml:space="preserve">Optional - could outsource for sub-1000 mammos/year. Required if Lanserhof-tier full executive screening for women. Russia: Hologic restricted under sanctions; United Imaging uMammo and MTL (Russia) viable.</t>
  </si>
  <si>
    <t xml:space="preserve">Ultrasound</t>
  </si>
  <si>
    <t xml:space="preserve">General-purpose abdominal/vascular ultrasound (premium)</t>
  </si>
  <si>
    <t xml:space="preserve">Philips EPIQ Elite, GE LOGIQ E10, Mindray Resona R9</t>
  </si>
  <si>
    <t xml:space="preserve">Abdominal organ scanning, vascular doppler (carotid, peripheral), thyroid, breast.</t>
  </si>
  <si>
    <t xml:space="preserve">Probo Medical premium ultrasound pricing; ITN Online; Mindray Resona I9T/R9 reviews $60k-$90k range.</t>
  </si>
  <si>
    <t xml:space="preserve">Russia: Mindray is widely available and unaffected by sanctions - saves 30-40% vs Western OEMs. Many Russian clinics standardise on Mindray for new builds 2023+.</t>
  </si>
  <si>
    <t xml:space="preserve">MSK ultrasound (point-of-care portable)</t>
  </si>
  <si>
    <t xml:space="preserve">Mindray MX8 MSK / ME8, GE LOGIQ V2, Philips Lumify</t>
  </si>
  <si>
    <t xml:space="preserve">Joint, tendon, soft tissue MSK imaging; injection guidance for orthopedics/rehab.</t>
  </si>
  <si>
    <t xml:space="preserve">Ultrasound Portables / National Ultrasound Mindray ME8 listings; Probo Medical MSK guide.</t>
  </si>
  <si>
    <t xml:space="preserve">Used by physiotherapy / sports medicine team. Russia: Mindray supply chain intact.</t>
  </si>
  <si>
    <t xml:space="preserve">Premium cardiac ultrasound (echocardiography)</t>
  </si>
  <si>
    <t xml:space="preserve">GE Vivid E95 / E80, Philips EPIQ CVx, Siemens ACUSON SC2000</t>
  </si>
  <si>
    <t xml:space="preserve">Advanced echocardiography - 4D cardiac, strain imaging, contrast echo. Core cardiology offering.</t>
  </si>
  <si>
    <t xml:space="preserve">Probo Medical buyer's guide (premium cardiac systems $50k-$100k+ refurb, new $130k-$200k list); ITN Online ultrasound chart; Vomark / Soma Tech listings on EPIQ CVx.</t>
  </si>
  <si>
    <t xml:space="preserve">Russia: GE/Philips premium echo restricted under sanctions; Mindray Resona 7 / R9 (China) is widely used premium alternative at 40% lower. Mindray actively present in Russian market post-2022.</t>
  </si>
  <si>
    <t xml:space="preserve">X-ray</t>
  </si>
  <si>
    <t xml:space="preserve">Digital radiography (DR) X-ray room</t>
  </si>
  <si>
    <t xml:space="preserve">Siemens Multix Impact, GE Discovery XR656, Philips DigitalDiagnost C90</t>
  </si>
  <si>
    <t xml:space="preserve">Plain-film X-ray - chest, MSK, urgent imaging on-site.</t>
  </si>
  <si>
    <t xml:space="preserve">Block Imaging DR room pricing $80-180k new; Siemens/Philips/GE DR commercial range EUR 100-180k.</t>
  </si>
  <si>
    <t xml:space="preserve">Includes detector + tube + workstation (lead-shielded room build extra EUR 40-60k). Russia: domestic Electron Roentgen-Optics is widely used at 50% lower cost.</t>
  </si>
  <si>
    <t xml:space="preserve">Gym &amp; Strength</t>
  </si>
  <si>
    <t xml:space="preserve">Cardio line</t>
  </si>
  <si>
    <t xml:space="preserve">Premium cardio line (8 pieces: treadmills/bikes/ellipticals)</t>
  </si>
  <si>
    <t xml:space="preserve">Technogym Excite Live / Artis cardio</t>
  </si>
  <si>
    <t xml:space="preserve">Cardio bench: 4 treadmills, 2 bikes, 2 ellipticals</t>
  </si>
  <si>
    <t xml:space="preserve">Technogym Excite Live trade pricing 2024</t>
  </si>
  <si>
    <t xml:space="preserve">8 pieces typical for 80-100 keys. Avg $13-16k/piece premium.</t>
  </si>
  <si>
    <t xml:space="preserve">Free weights</t>
  </si>
  <si>
    <t xml:space="preserve">Free weight set (Eleiko, premium dumbbells/barbells/plates)</t>
  </si>
  <si>
    <t xml:space="preserve">Eleiko IPF Powerlifting Set + dumbbells 2.5-50kg</t>
  </si>
  <si>
    <t xml:space="preserve">Free weight area</t>
  </si>
  <si>
    <t xml:space="preserve">Eleiko IPF Powerlifting Set ~EUR 6-7k; Oprema.fit Eleiko platforms EUR 2,359-6,534</t>
  </si>
  <si>
    <t xml:space="preserve">Eleiko Swedish premium - clean Russia route. Includes dumbbells full set, racks, plates.</t>
  </si>
  <si>
    <t xml:space="preserve">Functional / cable</t>
  </si>
  <si>
    <t xml:space="preserve">Functional training rig + cable systems</t>
  </si>
  <si>
    <t xml:space="preserve">Technogym Kinesis Personal / Escape Octagon / Rogue Monster</t>
  </si>
  <si>
    <t xml:space="preserve">Functional training space</t>
  </si>
  <si>
    <t xml:space="preserve">Technogym Kinesis Personal $20-30k; Escape Octagon $25-40k 2024</t>
  </si>
  <si>
    <t xml:space="preserve">Includes Kinesis Personal (2x), rig, attachments.</t>
  </si>
  <si>
    <t xml:space="preserve">Lifting platforms</t>
  </si>
  <si>
    <t xml:space="preserve">Lifting platforms (Eleiko premium, 4 stations)</t>
  </si>
  <si>
    <t xml:space="preserve">Eleiko SVR Sound Reduction / IPF Platform</t>
  </si>
  <si>
    <t xml:space="preserve">Olympic lifting/powerlifting zone</t>
  </si>
  <si>
    <t xml:space="preserve">Eleiko SVR Platform listing; Oprema.fit EUR 2,359-6,534</t>
  </si>
  <si>
    <t xml:space="preserve">Set of 4 SVR platforms.</t>
  </si>
  <si>
    <t xml:space="preserve">Selectorized strength line</t>
  </si>
  <si>
    <t xml:space="preserve">Premium selectorized strength line (15-piece)</t>
  </si>
  <si>
    <t xml:space="preserve">Technogym Artis Strength / Selection / Matrix Ultra</t>
  </si>
  <si>
    <t xml:space="preserve">Core selectorized strength stations</t>
  </si>
  <si>
    <t xml:space="preserve">Technogym Artis trade pricing (~$12-14k/piece avg); Matrix Ultra catalog</t>
  </si>
  <si>
    <t xml:space="preserve">Italian OEM. Russia: Technogym had Russian dealer pre-2022; current status: parallel imports +15-25%.</t>
  </si>
  <si>
    <t xml:space="preserve">Studio/group fitness</t>
  </si>
  <si>
    <t xml:space="preserve">Group fitness studio kit (mirrors, bikes, mats, sound)</t>
  </si>
  <si>
    <t xml:space="preserve">Technogym Group Cycle / Keiser M3i + sound + mirrors</t>
  </si>
  <si>
    <t xml:space="preserve">Group classes (yoga, spin, HIIT)</t>
  </si>
  <si>
    <t xml:space="preserve">Technogym/Keiser dealer 2024 ranges</t>
  </si>
  <si>
    <t xml:space="preserve">20 indoor cycles + sound system + mirrors + flooring fit-out.</t>
  </si>
  <si>
    <t xml:space="preserve">Hydrotherapy &amp; Spa</t>
  </si>
  <si>
    <t xml:space="preserve">Experience showers</t>
  </si>
  <si>
    <t xml:space="preserve">Experience shower set (rain/mist/cold/aroma)</t>
  </si>
  <si>
    <t xml:space="preserve">Dornbracht Sensory Sky / Klafs / Effegibi</t>
  </si>
  <si>
    <t xml:space="preserve">Sensory transitions in wet area</t>
  </si>
  <si>
    <t xml:space="preserve">Dornbracht Sensory Sky retail; Klafs catalog 2024</t>
  </si>
  <si>
    <t xml:space="preserve">Includes hardware, controls. Excludes plumbing rough-in.</t>
  </si>
  <si>
    <t xml:space="preserve">Float / sensory deprivation</t>
  </si>
  <si>
    <t xml:space="preserve">Floatation tank / pod (commercial)</t>
  </si>
  <si>
    <t xml:space="preserve">Floatworks i-sopod / Dreampod / Superior Float Tanks</t>
  </si>
  <si>
    <t xml:space="preserve">Sensory deprivation therapy - longevity/recovery</t>
  </si>
  <si>
    <t xml:space="preserve">i-sopod GBP 20,460 (~$27k) Floatworks 2024; Dreampod listings</t>
  </si>
  <si>
    <t xml:space="preserve">Excludes room build-out (acoustic/water-resistant) ~$15-25k extra. Magnesium sulfate ~$3-4k initial fill.</t>
  </si>
  <si>
    <t xml:space="preserve">Hammam</t>
  </si>
  <si>
    <t xml:space="preserve">Hammam steam room (turnkey, premium tile/marble)</t>
  </si>
  <si>
    <t xml:space="preserve">Starpool Soul / Klafs / Effegibi Topkapi</t>
  </si>
  <si>
    <t xml:space="preserve">Traditional Turkish hammam - signature wet area</t>
  </si>
  <si>
    <t xml:space="preserve">Starpool/Effegibi Italian dealer ranges; financialmodelslab spa benchmarks</t>
  </si>
  <si>
    <t xml:space="preserve">Includes heated bench, steam generator, marble cladding, lighting. Excludes shell construction.</t>
  </si>
  <si>
    <t xml:space="preserve">Kneipp</t>
  </si>
  <si>
    <t xml:space="preserve">Kneipp walking circuit (hot/cold foot baths)</t>
  </si>
  <si>
    <t xml:space="preserve">Custom build, Klafs/Hoesch fittings</t>
  </si>
  <si>
    <t xml:space="preserve">Vascular training - signature Lanserhof/CLP feature</t>
  </si>
  <si>
    <t xml:space="preserve">Klafs/Hoesch Kneipp catalog; Lanserhof references</t>
  </si>
  <si>
    <t xml:space="preserve">Largely civil works + fittings. Cost depends heavily on shell. Pricing reflects fixtures+pumps only.</t>
  </si>
  <si>
    <t xml:space="preserve">Massage tables</t>
  </si>
  <si>
    <t xml:space="preserve">Premium spa massage tables (electric, heated)</t>
  </si>
  <si>
    <t xml:space="preserve">Gharieni MLW / Lemi Spa Vision / Living Earth Crafts</t>
  </si>
  <si>
    <t xml:space="preserve">Treatment room massage tables</t>
  </si>
  <si>
    <t xml:space="preserve">Gharieni/Lemi dealer catalogs 2024</t>
  </si>
  <si>
    <t xml:space="preserve">Per unit. ~14 treatment rooms typical for 80-100 keys.</t>
  </si>
  <si>
    <t xml:space="preserve">Salt cave</t>
  </si>
  <si>
    <t xml:space="preserve">Halotherapy salt room / cave (turnkey)</t>
  </si>
  <si>
    <t xml:space="preserve">Halogenerator + Himalayan salt walls (custom)</t>
  </si>
  <si>
    <t xml:space="preserve">Respiratory wellness, branded experience</t>
  </si>
  <si>
    <t xml:space="preserve">Salt Chamber, Halia, Solay dealer quotes 2024</t>
  </si>
  <si>
    <t xml:space="preserve">Includes halogenerator (~$8-12k) + salt cladding + chairs/lighting.</t>
  </si>
  <si>
    <t xml:space="preserve">Thalassotherapy pool</t>
  </si>
  <si>
    <t xml:space="preserve">Thalassotherapy pool (heated mineral water, jets)</t>
  </si>
  <si>
    <t xml:space="preserve">Custom, Hidromassage / Klafs Aqua</t>
  </si>
  <si>
    <t xml:space="preserve">Heated mineral/sea water hydrotherapy with jets</t>
  </si>
  <si>
    <t xml:space="preserve">Spa industry benchmarks; Klafs Aqua pricing range</t>
  </si>
  <si>
    <t xml:space="preserve">Equipment+filtration only; civil pool shell adds ~$300-500k. Sysert: substitute mineral salt loop for sea water.</t>
  </si>
  <si>
    <t xml:space="preserve">Vichy shower</t>
  </si>
  <si>
    <t xml:space="preserve">Vichy shower table (multi-jet hydrotherapy)</t>
  </si>
  <si>
    <t xml:space="preserve">Lemi / Gharieni / Starpool Vichy</t>
  </si>
  <si>
    <t xml:space="preserve">Hydrotherapy massage table - signature spa treatment</t>
  </si>
  <si>
    <t xml:space="preserve">Lemi dealer Italy; Gharieni 2024 catalog estimates</t>
  </si>
  <si>
    <t xml:space="preserve">Plumbing &amp; drainage spec critical. Italian/German OEM - clean Russia route.</t>
  </si>
  <si>
    <t xml:space="preserve">Wet treatment tables</t>
  </si>
  <si>
    <t xml:space="preserve">Soft pack / Rasul / wellness treatment chamber</t>
  </si>
  <si>
    <t xml:space="preserve">Gharieni Soft Pack MLW / Rasul chamber</t>
  </si>
  <si>
    <t xml:space="preserve">Wet/dry hybrid signature treatments</t>
  </si>
  <si>
    <t xml:space="preserve">Gharieni dealer 2024</t>
  </si>
  <si>
    <t xml:space="preserve">German OEM - clean Russia route.</t>
  </si>
  <si>
    <t xml:space="preserve">IT, EHR, Patient Software</t>
  </si>
  <si>
    <t xml:space="preserve">Access control &amp; RFID locks</t>
  </si>
  <si>
    <t xml:space="preserve">Electronic guest room locks + back-of-house access</t>
  </si>
  <si>
    <t xml:space="preserve">Salto, Assa Abloy VingCard, dormakaba</t>
  </si>
  <si>
    <t xml:space="preserve">RFID/mobile keys per door; staff zones</t>
  </si>
  <si>
    <t xml:space="preserve">Kompareit hotel access $1500-2500/door; 100 doors + 30 BoH</t>
  </si>
  <si>
    <t xml:space="preserve">Premium spec (BLE+mobile key). Russia: VingCard via parallel import; +20-25%.</t>
  </si>
  <si>
    <t xml:space="preserve">EHR System</t>
  </si>
  <si>
    <t xml:space="preserve">Mid-market EHR (Athenahealth-tier)</t>
  </si>
  <si>
    <t xml:space="preserve">Athenahealth athenaOne, Tebra, ModMed; Russian: МИС МедОфис, qMS</t>
  </si>
  <si>
    <t xml:space="preserve">Clinical record-keeping for medical center; integrates lab/imaging</t>
  </si>
  <si>
    <t xml:space="preserve">Athenahealth $140/provider/mo + 4-8% collections; impl $2-5k/provider; emrguides.com 2025</t>
  </si>
  <si>
    <t xml:space="preserve">Russia: 152-FZ data localization blocks Western cloud EHR. qMS/МедОфис ~50% Western cost; needs custom integration.</t>
  </si>
  <si>
    <t xml:space="preserve">EHR System (Optional Epic-tier)</t>
  </si>
  <si>
    <t xml:space="preserve">Enterprise EHR (Epic/Cerner)</t>
  </si>
  <si>
    <t xml:space="preserve">Epic Hyperspace, Oracle Health (Cerner Millennium)</t>
  </si>
  <si>
    <t xml:space="preserve">Full enterprise EHR for hospital-grade resort medical center</t>
  </si>
  <si>
    <t xml:space="preserve">Tactionsoft 2025 ($500k-$10M); arkenea.com Cerner; Veterans Memorial Hospital $3.88M</t>
  </si>
  <si>
    <t xml:space="preserve">Overkill for 80-100 keys; only relevant if hospital-grade. Not deployable in Russia.</t>
  </si>
  <si>
    <t xml:space="preserve">Guest experience / mobile app</t>
  </si>
  <si>
    <t xml:space="preserve">Guest mobile app + in-room tablet platform</t>
  </si>
  <si>
    <t xml:space="preserve">Crave Interactive, SuitePad, Hudini, INTELITY</t>
  </si>
  <si>
    <t xml:space="preserve">Mobile check-in, in-room ordering, treatment booking, content</t>
  </si>
  <si>
    <t xml:space="preserve">Hospitality tech benchmark; tablet $600-1200/room + license $25-40/room/mo</t>
  </si>
  <si>
    <t xml:space="preserve">Includes tablets per room, license, and PMS/spa integration.</t>
  </si>
  <si>
    <t xml:space="preserve">Longevity patient platform</t>
  </si>
  <si>
    <t xml:space="preserve">Longevity-specific patient/wellness platform</t>
  </si>
  <si>
    <t xml:space="preserve">Function Health (B2B), Hone Health, Healthspan; alt: custom</t>
  </si>
  <si>
    <t xml:space="preserve">Biomarker tracking, member portal, longitudinal results, AI insights</t>
  </si>
  <si>
    <t xml:space="preserve">Function Health B2B (Equinox $249, Higginbotham $334/yr/member); sacra.com</t>
  </si>
  <si>
    <t xml:space="preserve">Annual = ~200-300 active members at $250-$350/yr. Russia: must build custom or isolated instance.</t>
  </si>
  <si>
    <t xml:space="preserve">Network infrastructure</t>
  </si>
  <si>
    <t xml:space="preserve">Wired + Wi-Fi 6/7 backbone (enterprise)</t>
  </si>
  <si>
    <t xml:space="preserve">Cisco Meraki, RUCKUS Networks, Aruba; Russian: Eltex, QTECH</t>
  </si>
  <si>
    <t xml:space="preserve">Guest + back-of-house network, segmented VLANs incl. medical</t>
  </si>
  <si>
    <t xml:space="preserve">RUCKUS/Cisco hospitality vertical; ~EUR 2-3k per AP installed, 80 APs + switching</t>
  </si>
  <si>
    <t xml:space="preserve">Russia: Cisco/Aruba sanctioned post-2022. Eltex/QTECH or grey-market.</t>
  </si>
  <si>
    <t xml:space="preserve">PMS - Hotel side</t>
  </si>
  <si>
    <t xml:space="preserve">Cloud PMS (luxury 80-100 keys)</t>
  </si>
  <si>
    <t xml:space="preserve">Mews Enterprise, Oracle Opera Cloud, Protel; Russian: Bnovo, Shelter, TravelLine</t>
  </si>
  <si>
    <t xml:space="preserve">Reservations, guest folio, housekeeping, channel mgmt, POS integration</t>
  </si>
  <si>
    <t xml:space="preserve">Mews Enterprise tier (hoteltechreport, roommaster); Mews EUR 300/mo standalone reference</t>
  </si>
  <si>
    <t xml:space="preserve">Russia 2026: Mews/Opera withdrew post-2022 sanctions. Russian alts (Shelter, Bnovo) ~50-60% cost but limited luxury feature parity.</t>
  </si>
  <si>
    <t xml:space="preserve">Security - cameras</t>
  </si>
  <si>
    <t xml:space="preserve">IP CCTV system (40-60 cameras + NVR)</t>
  </si>
  <si>
    <t xml:space="preserve">Avigilon, Axis, Hanwha; Russian: TRASSIR, Macroscop</t>
  </si>
  <si>
    <t xml:space="preserve">Perimeter + back-of-house security</t>
  </si>
  <si>
    <t xml:space="preserve">Avigilon/Axis dealer; ~EUR 1-1.5k per camera installed</t>
  </si>
  <si>
    <t xml:space="preserve">Russia: TRASSIR dominant local; pricing favorable vs Western.</t>
  </si>
  <si>
    <t xml:space="preserve">Spa/medical booking system</t>
  </si>
  <si>
    <t xml:space="preserve">Integrated spa &amp; treatment booking</t>
  </si>
  <si>
    <t xml:space="preserve">Book4Time, Agilysys Spa, ResortSuite</t>
  </si>
  <si>
    <t xml:space="preserve">Therapist scheduling, room utilization, package mgmt, retail</t>
  </si>
  <si>
    <t xml:space="preserve">Book4Time/Agilysys/ResortSuite indicative dealer 2025</t>
  </si>
  <si>
    <t xml:space="preserve">Critical at premium wellness resorts; integrates with PMS and EHR.</t>
  </si>
  <si>
    <t xml:space="preserve">Telephony / IPTV</t>
  </si>
  <si>
    <t xml:space="preserve">VoIP telephony + IPTV system</t>
  </si>
  <si>
    <t xml:space="preserve">Mitel, Cisco; LG/Samsung Pro:Idiom IPTV</t>
  </si>
  <si>
    <t xml:space="preserve">In-room phone, IPTV, BoH telephony</t>
  </si>
  <si>
    <t xml:space="preserve">Hospitality AV/IT integrator benchmark</t>
  </si>
  <si>
    <t xml:space="preserve">Mid-tier resorts may go phone-light/streaming-only.</t>
  </si>
  <si>
    <t xml:space="preserve">IV &amp; Infusion</t>
  </si>
  <si>
    <t xml:space="preserve">Hyperbaric</t>
  </si>
  <si>
    <t xml:space="preserve">Hyperbaric oxygen chamber - mild HBOT (1.3-1.5 ATA)</t>
  </si>
  <si>
    <t xml:space="preserve">OxyHealth Vitaeris 320, Hyperbaric Centrales OxyVita, Summit to Sea Dive</t>
  </si>
  <si>
    <t xml:space="preserve">Soft-shell mild hyperbaric oxygen therapy for recovery / longevity protocols.</t>
  </si>
  <si>
    <t xml:space="preserve">OxyHealth Vitaeris 320 dealer list $20-35k; soft-shell mild HBOT typical EUR 25-45k. Hard-shell medical-grade chambers (2.0+ ATA) are 5-10x more.</t>
  </si>
  <si>
    <t xml:space="preserve">Soft-shell mild HBOT scope (regulatory simpler, no pressurised oxygen). Hard-shell HBOT excluded - different category. Russia: domestic BLKS chambers and OxyHealth via parallel import.</t>
  </si>
  <si>
    <t xml:space="preserve">IHHT</t>
  </si>
  <si>
    <t xml:space="preserve">IHHT intermittent hypoxic-hyperoxic training device</t>
  </si>
  <si>
    <t xml:space="preserve">Cellgym Pro / Lounge, Hypoxico Everest Summit II, GO2Altitude Biomedtech</t>
  </si>
  <si>
    <t xml:space="preserve">Intermittent hypoxia-hyperoxia therapy - mitochondrial training, longevity protocol.</t>
  </si>
  <si>
    <t xml:space="preserve">Cellgym dealer quotes EUR 30-45k for Pro/Lounge unit; Hypoxico distributor pricing; Cocoon Medical Spa public Cellgym installation references.</t>
  </si>
  <si>
    <t xml:space="preserve">ESTIMATE - Cellgym list price not public. Per-session retail EUR 50-80 cited. 3 units cover 25-30 sessions/day. Russia: Russian-developed Bio-Nova MTI/IHT is domestic alternative at EUR 12-18k.</t>
  </si>
  <si>
    <t xml:space="preserve">IV Suite</t>
  </si>
  <si>
    <t xml:space="preserve">IV therapy lounge chair (clinical recliner)</t>
  </si>
  <si>
    <t xml:space="preserve">Champion Manufacturing 56 series, Stance Healthcare Bari, Winco CareCliner</t>
  </si>
  <si>
    <t xml:space="preserve">Comfortable reclining infusion chair for IV drips / NAD+ / vitamin therapy lounge.</t>
  </si>
  <si>
    <t xml:space="preserve">Champion / Stance / Winco published dealer pricing $2,500-$5,000 per clinical recliner; common dealer quote EUR 3,000-4,500.</t>
  </si>
  <si>
    <t xml:space="preserve">6-8 chairs for an 80-100 key longevity resort IV lounge. Russia: domestic Med-Mos and import via Turkey both feasible.</t>
  </si>
  <si>
    <t xml:space="preserve">Infusion Pumps</t>
  </si>
  <si>
    <t xml:space="preserve">Smart infusion pump</t>
  </si>
  <si>
    <t xml:space="preserve">B.Braun Infusomat Space, Baxter Sigma Spectrum IQ, BD Alaris</t>
  </si>
  <si>
    <t xml:space="preserve">Smart infusion pump with DERS for IV vitamins, NAD+, chelation, peptides.</t>
  </si>
  <si>
    <t xml:space="preserve">Outfront Medical / Coast Biomed Baxter Sigma Spectrum refurb $1.5-2.5k; B.Braun new ~EUR 3-4k list.</t>
  </si>
  <si>
    <t xml:space="preserve">8 pumps to cover 6-chair IV lounge + 2 spares. Russia: B.Braun (German) still distributed but wait times extended; Russian Yelatma pumps also used.</t>
  </si>
  <si>
    <t xml:space="preserve">Ozone Therapy</t>
  </si>
  <si>
    <t xml:space="preserve">Medical ozone therapy generator</t>
  </si>
  <si>
    <t xml:space="preserve">Herrmann Apparatebau Hyper Medozon comfort, Zotzmann + Stahl OzonoSan, Humares Medozon</t>
  </si>
  <si>
    <t xml:space="preserve">Major/minor autohemotherapy, ozone insufflation, ozonated saline.</t>
  </si>
  <si>
    <t xml:space="preserve">MedicalExpo Herrmann Hyper Medozon comfort; HealthManagement.org Hyper Medozon comfort listing; secondary market Medbidding refurb 6-9k EUR; new list EUR 15-22k from German dealers.</t>
  </si>
  <si>
    <t xml:space="preserve">Heavily regulated - banned/restricted in US (FDA), allowed in Germany/Austria/CH/Spain/Russia under medical supervision. Russia: ozone therapy is well-established (Russian Federal MoH-registered indications); Russian Medozons-BM domestic alternative.</t>
  </si>
  <si>
    <t xml:space="preserve">Kitchen &amp; F&amp;B</t>
  </si>
  <si>
    <t xml:space="preserve">Bakery oven</t>
  </si>
  <si>
    <t xml:space="preserve">Deck/convection bakery oven</t>
  </si>
  <si>
    <t xml:space="preserve">MIWE Condo 3.0608, MIWE econo, Wachtel</t>
  </si>
  <si>
    <t xml:space="preserve">In-house bread, pastry, gluten-free baking</t>
  </si>
  <si>
    <t xml:space="preserve">MIWE/Wachtel dealer indicative (archiexpo, bakeryequipment.com); 3-deck unit</t>
  </si>
  <si>
    <t xml:space="preserve">Lanserhof-style organic/gluten-free bakery requires deck oven + proofer.</t>
  </si>
  <si>
    <t xml:space="preserve">Cold kitchen / garde manger</t>
  </si>
  <si>
    <t xml:space="preserve">Cold kitchen station (refrigerated prep + plating)</t>
  </si>
  <si>
    <t xml:space="preserve">Inomak, True, Hoshizaki</t>
  </si>
  <si>
    <t xml:space="preserve">Salads, raw, sashimi, plating for clean cuisine</t>
  </si>
  <si>
    <t xml:space="preserve">Inomak/True dealer EU; 6-8 m linear cold prep + worktops</t>
  </si>
  <si>
    <t xml:space="preserve">Critical for raw/clean cuisine programs (Chenot-style).</t>
  </si>
  <si>
    <t xml:space="preserve">Combi oven</t>
  </si>
  <si>
    <t xml:space="preserve">Premium combi oven (10-grid 1/1)</t>
  </si>
  <si>
    <t xml:space="preserve">Rational iCombi Pro 10-1/1, Convotherm 4 easyTouch</t>
  </si>
  <si>
    <t xml:space="preserve">Therapeutic + restaurant cooking; steam, convection, low-temp</t>
  </si>
  <si>
    <t xml:space="preserve">Rational dealer indicative (WebstaurantStore, Buzz Catering, Nella) 2025; Russian dealer markup ~1.25x EU</t>
  </si>
  <si>
    <t xml:space="preserve">Three units cover therapeutic, hot kitchen, and banqueting.</t>
  </si>
  <si>
    <t xml:space="preserve">Combi oven (small)</t>
  </si>
  <si>
    <t xml:space="preserve">Compact combi oven (6-grid 1/1)</t>
  </si>
  <si>
    <t xml:space="preserve">Rational iCombi Pro 6-1/1, UNOX ChefTop</t>
  </si>
  <si>
    <t xml:space="preserve">Pastry, fish, dietary station, room service line</t>
  </si>
  <si>
    <t xml:space="preserve">Rational price list indicative; UNOX dealer EU 2025</t>
  </si>
  <si>
    <t xml:space="preserve">Used for pastry/cold-finishing kitchen and dietary line.</t>
  </si>
  <si>
    <t xml:space="preserve">Dishwasher (flight/conveyor)</t>
  </si>
  <si>
    <t xml:space="preserve">Conveyor/flight dishwasher</t>
  </si>
  <si>
    <t xml:space="preserve">Hobart FT1000e, Winterhalter MTF, Meiko M-iQ</t>
  </si>
  <si>
    <t xml:space="preserve">Main banquet/restaurant dish line</t>
  </si>
  <si>
    <t xml:space="preserve">Hobart, Winterhalter dealer EU 2025; hobartcorp.com</t>
  </si>
  <si>
    <t xml:space="preserve">Required at 80-100 keys for banquet capacity.</t>
  </si>
  <si>
    <t xml:space="preserve">Dishwasher (under-counter &amp; pass-through)</t>
  </si>
  <si>
    <t xml:space="preserve">Pass-through and undercounter glasswashers/dishwashers (set)</t>
  </si>
  <si>
    <t xml:space="preserve">Hobart, Winterhalter UC-M, Meiko</t>
  </si>
  <si>
    <t xml:space="preserve">Bar, juice bar, prep stations</t>
  </si>
  <si>
    <t xml:space="preserve">Hobart/Winterhalter dealer EU 2025</t>
  </si>
  <si>
    <t xml:space="preserve">Set of 4 covers bar, juice bar, banqueting, satellite.</t>
  </si>
  <si>
    <t xml:space="preserve">Hood &amp; ventilation</t>
  </si>
  <si>
    <t xml:space="preserve">Type I hoods + fire suppression + MUA</t>
  </si>
  <si>
    <t xml:space="preserve">Halton, Captive Aire, Greenheck</t>
  </si>
  <si>
    <t xml:space="preserve">Code-required exhaust over cooking line</t>
  </si>
  <si>
    <t xml:space="preserve">Halton/Captive Aire; Avanti commercial kitchen guide 2025 (8-25k per hood)</t>
  </si>
  <si>
    <t xml:space="preserve">Hood system is large hidden cost; required for hot line.</t>
  </si>
  <si>
    <t xml:space="preserve">Industrial cold-press system</t>
  </si>
  <si>
    <t xml:space="preserve">Goodnature X-1 / batch press for guest juice packs</t>
  </si>
  <si>
    <t xml:space="preserve">Goodnature X-1, Bucher Vaslin</t>
  </si>
  <si>
    <t xml:space="preserve">Daily 200+ bottle production for guest packs</t>
  </si>
  <si>
    <t xml:space="preserve">Goodnature X-1 industrial reference 2025</t>
  </si>
  <si>
    <t xml:space="preserve">Optional unless juice protocol is signature feature.</t>
  </si>
  <si>
    <t xml:space="preserve">Juice/extract bar</t>
  </si>
  <si>
    <t xml:space="preserve">Cold-press juicer (commercial)</t>
  </si>
  <si>
    <t xml:space="preserve">Goodnature CT7 / X-1, Norwalk 290, Angel Pro</t>
  </si>
  <si>
    <t xml:space="preserve">Therapeutic juices, daily juice protocol, retail bottling</t>
  </si>
  <si>
    <t xml:space="preserve">Goodnature.com CT7; Surplus Marketplace 2025; Norwalk MSRP $2,495</t>
  </si>
  <si>
    <t xml:space="preserve">Two units = main juice bar + therapeutic kitchen station.</t>
  </si>
  <si>
    <t xml:space="preserve">Range/cooking suite</t>
  </si>
  <si>
    <t xml:space="preserve">Custom modular cooking suite (4m run)</t>
  </si>
  <si>
    <t xml:space="preserve">Molteni, Charvet, Athanor; alt: Vulcan Endurance</t>
  </si>
  <si>
    <t xml:space="preserve">Main hot line a la minute cooking</t>
  </si>
  <si>
    <t xml:space="preserve">Molteni/Charvet dealer estimate; Vulcan reference for NA-tier alt</t>
  </si>
  <si>
    <t xml:space="preserve">Premium resorts choose Molteni-tier; mid-tier alt drops to ~EUR 35-50k.</t>
  </si>
  <si>
    <t xml:space="preserve">Smallwares &amp; china/glass</t>
  </si>
  <si>
    <t xml:space="preserve">Smallwares package (knives, pans, china, glass, silver)</t>
  </si>
  <si>
    <t xml:space="preserve">Wusthof, Mauviel, Riedel, Schott Zwiesel</t>
  </si>
  <si>
    <t xml:space="preserve">Initial outfit for all stations, restaurant covers</t>
  </si>
  <si>
    <t xml:space="preserve">Hospitality FF&amp;E benchmark; ~EUR 1.5-2k per cover for premium china/glass + smalls</t>
  </si>
  <si>
    <t xml:space="preserve">Premium tier uses Riedel/Schott. High annual replenish (15%/yr).</t>
  </si>
  <si>
    <t xml:space="preserve">Stainless steel fabrication</t>
  </si>
  <si>
    <t xml:space="preserve">Stainless tables, sinks, shelving (full kitchen fabrication)</t>
  </si>
  <si>
    <t xml:space="preserve">Custom local fab; Eagle Group, Advance Tabco</t>
  </si>
  <si>
    <t xml:space="preserve">Prep counters, shelving, hand sinks throughout kitchen</t>
  </si>
  <si>
    <t xml:space="preserve">Avanti commercial kitchen guide; 250-350 sqm kitchen fabrication</t>
  </si>
  <si>
    <t xml:space="preserve">Russia: local fabrication is meaningfully cheaper.</t>
  </si>
  <si>
    <t xml:space="preserve">Vacuum/sous-vide &amp; blast chiller</t>
  </si>
  <si>
    <t xml:space="preserve">Blast chiller + vacuum packers + sous-vide circulators</t>
  </si>
  <si>
    <t xml:space="preserve">Irinox, Friginox; Henkelman vacuum; Polyscience circulators</t>
  </si>
  <si>
    <t xml:space="preserve">HACCP cook-chill, sous-vide therapeutic cuisine</t>
  </si>
  <si>
    <t xml:space="preserve">Irinox dealer EU 2025; combined package</t>
  </si>
  <si>
    <t xml:space="preserve">Standard for therapeutic kitchens running long low-temp cooks.</t>
  </si>
  <si>
    <t xml:space="preserve">Walk-in refrigeration</t>
  </si>
  <si>
    <t xml:space="preserve">Walk-in cooler + freezer (multiple zones)</t>
  </si>
  <si>
    <t xml:space="preserve">Foster, Friginox, Polar King; US: Barr</t>
  </si>
  <si>
    <t xml:space="preserve">Cold storage organic produce, proteins, pastry</t>
  </si>
  <si>
    <t xml:space="preserve">Restaurant Warehouse 2025; Barr Commercial; 3-4 walk-in zones installed</t>
  </si>
  <si>
    <t xml:space="preserve">Includes coolers + freezer + refrigeration system.</t>
  </si>
  <si>
    <t xml:space="preserve">Laboratory &amp; Biomarkers</t>
  </si>
  <si>
    <t xml:space="preserve">Advanced Biomarkers (Outsourced)</t>
  </si>
  <si>
    <t xml:space="preserve">Advanced biomarker panel - outsourced (LabCorp Whole Health / Quest Cardio IQ)</t>
  </si>
  <si>
    <t xml:space="preserve">LabCorp Whole Health (1000+ biomarkers), Quest Cardio IQ, Boston Heart Diagnostics</t>
  </si>
  <si>
    <t xml:space="preserve">ApoB, Lp(a), GlycA, oxLDL, omega-3 index, advanced lipid fractionation, micronutrients.</t>
  </si>
  <si>
    <t xml:space="preserve">LabCorp Whole Health Solutions launch; Blueprint biomarker programmes ~$365/yr; Healthcare Huddle longevity panel coverage.</t>
  </si>
  <si>
    <t xml:space="preserve">PASS-THROUGH OPEX, NOT CAPEX. Per-guest cost EUR 400-1200 per advanced panel; included as zero-capex line for completeness. Russia equivalent: Helix, Invitro, KDL - domestic labs cover most panels at 30% lower cost.</t>
  </si>
  <si>
    <t xml:space="preserve">Biochemistry</t>
  </si>
  <si>
    <t xml:space="preserve">Clinical chemistry analyzer</t>
  </si>
  <si>
    <t xml:space="preserve">Roche cobas c311 / c503, Abbott Architect c4000, Beckman AU480</t>
  </si>
  <si>
    <t xml:space="preserve">Standard biochemistry panel - liver, kidney, lipids, glucose, electrolytes.</t>
  </si>
  <si>
    <t xml:space="preserve">Block Scientific cobas listings; LabX Roche analyzer pricing; industry standard EUR 60-90k for mid-throughput.</t>
  </si>
  <si>
    <t xml:space="preserve">Reagent costs are major OPEX driver. Russia: Roche/Abbott reagent supply has remained largely stable post-2022 (humanitarian/medical exemption); Mindray BS-2000M is local alternative.</t>
  </si>
  <si>
    <t xml:space="preserve">Body Composition</t>
  </si>
  <si>
    <t xml:space="preserve">Bioimpedance body composition analyzer (medical-grade)</t>
  </si>
  <si>
    <t xml:space="preserve">InBody 970 / 770, seca mBCA 555, Bodystat QuadScan 4000</t>
  </si>
  <si>
    <t xml:space="preserve">Segmental body composition, ECW/ICW, phase angle - supplements DEXA.</t>
  </si>
  <si>
    <t xml:space="preserve">Korea</t>
  </si>
  <si>
    <t xml:space="preserve">InBody 970 dealer pricing $18-25k (US/EU); seca mBCA 555 EUR 15-22k; published clinical-grade BCA market data.</t>
  </si>
  <si>
    <t xml:space="preserve">InBody 970 is industry-standard for premium clinics. Russia: InBody (Korea) widely distributed; Russian Medass also viable.</t>
  </si>
  <si>
    <t xml:space="preserve">CGM</t>
  </si>
  <si>
    <t xml:space="preserve">Continuous glucose monitor kits (consumables)</t>
  </si>
  <si>
    <t xml:space="preserve">Dexcom G7, Abbott FreeStyle Libre 3 Plus</t>
  </si>
  <si>
    <t xml:space="preserve">14-day glucose monitoring as part of metabolic optimisation programme.</t>
  </si>
  <si>
    <t xml:space="preserve">Diabetic Warehouse Dexcom G7 sensor 3-pack $399.99; Dexcom and Abbott published per-sensor list ~$70-140; Healthline Dexcom vs Libre cost analysis.</t>
  </si>
  <si>
    <t xml:space="preserve">PASS-THROUGH consumable, EUR 70-130 per sensor. Russia: parallel import via Turkey adds ~50% to retail; Russian-made glucose sensors not yet at Dexcom-class accuracy.</t>
  </si>
  <si>
    <t xml:space="preserve">Coagulation / Specialty</t>
  </si>
  <si>
    <t xml:space="preserve">Coagulation analyzer + urinalysis</t>
  </si>
  <si>
    <t xml:space="preserve">Sysmex CS-1600 / CS-2500, Roche cobas u 411, Stago STA Compact</t>
  </si>
  <si>
    <t xml:space="preserve">PT/INR/aPTT coagulation panel + urinalysis with sediment for executive screening.</t>
  </si>
  <si>
    <t xml:space="preserve">Sysmex / Stago dealer pricing; LabX coagulation refurb $10-25k; new EUR 30-50k.</t>
  </si>
  <si>
    <t xml:space="preserve">Combined coag + urine analyzer line. Russia: Mindray and domestic Belspetsmedtekhnika alternatives.</t>
  </si>
  <si>
    <t xml:space="preserve">Epigenetic</t>
  </si>
  <si>
    <t xml:space="preserve">Epigenetic age testing kits (outsourced - TruDiagnostic / Clock Foundation)</t>
  </si>
  <si>
    <t xml:space="preserve">TruDiagnostic TruAge Complete, Clock Foundation GrimAge, Elysium Index</t>
  </si>
  <si>
    <t xml:space="preserve">Horvath / GrimAge / DunedinPACE biological age clocks; longevity benchmarking &amp; re-testing.</t>
  </si>
  <si>
    <t xml:space="preserve">TruDiagnostic shop ($499 per kit, $998 for 4 quarterly); LongevityAdvice 2024 best biological age tests review.</t>
  </si>
  <si>
    <t xml:space="preserve">PASS-THROUGH consumable per guest, USD 230-500 per kit. Outsourced to TruDiagnostic / Clock Foundation labs. Russia: shipping to US labs blocked for some samples; emerging Russian alternative is GeroScience or sample shipment via Kazakhstan/Armenia.</t>
  </si>
  <si>
    <t xml:space="preserve">Genomics</t>
  </si>
  <si>
    <t xml:space="preserve">Genomic / pharmacogenomic testing (outsourced)</t>
  </si>
  <si>
    <t xml:space="preserve">Nucleus Genomics, Illumina-network labs, 23andMe Plus, Color</t>
  </si>
  <si>
    <t xml:space="preserve">Whole-genome / WES / pharmacogenomic profiling - one-time longevity baseline.</t>
  </si>
  <si>
    <t xml:space="preserve">Nucleus Genomics $399-$1,000 per WGS; Color $250-$500 per panel.</t>
  </si>
  <si>
    <t xml:space="preserve">PASS-THROUGH consumable per guest; no on-site capex. Russia: Atlas Biomed and Genotek run domestic WES at RUB 25-60k.</t>
  </si>
  <si>
    <t xml:space="preserve">Hematology</t>
  </si>
  <si>
    <t xml:space="preserve">Hematology analyzer (5-part diff)</t>
  </si>
  <si>
    <t xml:space="preserve">Sysmex XN-1000, Sysmex XN-550, Mindray BC-6800Plus</t>
  </si>
  <si>
    <t xml:space="preserve">Full blood counts, 5-part WBC differential, reticulocytes - daily routine bloodwork.</t>
  </si>
  <si>
    <t xml:space="preserve">Bimedis Sysmex XN-1000 listings $6.5k-$11.7k refurb; LabX new pricing; Sysmex new list price typically EUR 40-60k. Mindray equivalent ~30% lower.</t>
  </si>
  <si>
    <t xml:space="preserve">On-site lab capability is a differentiator. Russia: Mindray BC-6800 is dominant alternative; Sysmex still available via parallel import without major restriction (clinical chemistry is not high on sanction lists).</t>
  </si>
  <si>
    <t xml:space="preserve">Hormones / Immunoassay</t>
  </si>
  <si>
    <t xml:space="preserve">Immunoassay / hormone analyzer</t>
  </si>
  <si>
    <t xml:space="preserve">Roche cobas e411 / e601, Abbott Architect i1000SR, Siemens ADVIA Centaur XP</t>
  </si>
  <si>
    <t xml:space="preserve">Hormone panels (thyroid, cortisol, sex hormones, IGF-1), cardiac markers, vitamins (D, B12).</t>
  </si>
  <si>
    <t xml:space="preserve">Bimedis cobas e411 $1.3k-$21k refurb; LabX new e411 ~$85k; Roche commercial pricing.</t>
  </si>
  <si>
    <t xml:space="preserve">Critical for hormone-replacement / longevity workups. Reagent lock-in. Russia: Roche reagents continue to ship; refurb units increasingly sourced from EU.</t>
  </si>
  <si>
    <t xml:space="preserve">Microbiome</t>
  </si>
  <si>
    <t xml:space="preserve">Microbiome sequencing kits (outsourced)</t>
  </si>
  <si>
    <t xml:space="preserve">Viome Gut Intelligence, Zoe, DayTwo, BiomeSight</t>
  </si>
  <si>
    <t xml:space="preserve">Gut microbiome / metagenomic sequencing - personalised nutrition input.</t>
  </si>
  <si>
    <t xml:space="preserve">InnerBuddies / Nucleus comparison; Viome $199-$399 per kit; Zoe $354; DayTwo $499.</t>
  </si>
  <si>
    <t xml:space="preserve">PASS-THROUGH consumable, EUR 250-500 per kit. Russia: Atlas Biomed (domestic) offers RUB 18-25k microbiome panel; cross-border sample shipping is workable.</t>
  </si>
  <si>
    <t xml:space="preserve">Medical Infrastructure</t>
  </si>
  <si>
    <t xml:space="preserve">Advanced HVAC - HEPA medical zones</t>
  </si>
  <si>
    <t xml:space="preserve">HEPA filtered HVAC for imaging/OR/clean rooms</t>
  </si>
  <si>
    <t xml:space="preserve">Camfil HEPA, AAF Flanders; AHU: Daikin/Trane</t>
  </si>
  <si>
    <t xml:space="preserve">MERV 16 / HEPA per ASHRAE 170 for imaging suite &amp; treatment rooms</t>
  </si>
  <si>
    <t xml:space="preserve">ASHRAE 170 / Camfil benchmark; healthcare HVAC consultants $50-150k per zone, 3-4 zones</t>
  </si>
  <si>
    <t xml:space="preserve">Filter replacement is significant op cost. Russia SanPin 2.1.3.2630 broadly equivalent.</t>
  </si>
  <si>
    <t xml:space="preserve">Emergency power - UPS</t>
  </si>
  <si>
    <t xml:space="preserve">UPS for medical/IT zones (200 kVA modular)</t>
  </si>
  <si>
    <t xml:space="preserve">Schneider Galaxy VS, Eaton 93PM, Vertiv Liebert</t>
  </si>
  <si>
    <t xml:space="preserve">Bridge power for OR/imaging/EHR servers</t>
  </si>
  <si>
    <t xml:space="preserve">CPP Sales hospital UPS; Backup Battery Power 200kVA reference</t>
  </si>
  <si>
    <t xml:space="preserve">Battery replacement at 5-7 yrs adds material cost.</t>
  </si>
  <si>
    <t xml:space="preserve">Emergency power - generator</t>
  </si>
  <si>
    <t xml:space="preserve">Diesel generator (400-500 kVA) with ATS</t>
  </si>
  <si>
    <t xml:space="preserve">Caterpillar C18, Cummins QSX15, Kohler; Russian: Energo, ЯМЗ</t>
  </si>
  <si>
    <t xml:space="preserve">Whole-resort backup; medical zones priority</t>
  </si>
  <si>
    <t xml:space="preserve">Generator dealer indicative; healthcare backup power benchmarks (globalpwr.com); ATS+enclosure incl</t>
  </si>
  <si>
    <t xml:space="preserve">N+1 redundancy adds ~80%; Russian Energo cheaper local option.</t>
  </si>
  <si>
    <t xml:space="preserve">Medical gas system</t>
  </si>
  <si>
    <t xml:space="preserve">Medical gas pipeline (O2, vacuum, medical air, N2O)</t>
  </si>
  <si>
    <t xml:space="preserve">BeaconMedaes, Atlas Copco GA series, Amico</t>
  </si>
  <si>
    <t xml:space="preserve">Centralized O2/vac/air to clinic suites, IV rooms, recovery</t>
  </si>
  <si>
    <t xml:space="preserve">BeaconMedaes / Atlas Copco; healthcare design benchmark for 10-15 outlet rooms</t>
  </si>
  <si>
    <t xml:space="preserve">Cost varies by outlet count (NFPA 99 / EN ISO 7396). Higher with anesthesia rooms.</t>
  </si>
  <si>
    <t xml:space="preserve">Medical waste management</t>
  </si>
  <si>
    <t xml:space="preserve">Medical waste autoclave + segregation system</t>
  </si>
  <si>
    <t xml:space="preserve">Tuttnauer medical waste autoclave, Celitron, Sterilwave</t>
  </si>
  <si>
    <t xml:space="preserve">On-site decontamination of biohazard waste</t>
  </si>
  <si>
    <t xml:space="preserve">Tuttnauer medical-waste line; nature.com 2024 economic study</t>
  </si>
  <si>
    <t xml:space="preserve">Russia: more common to outsource to licensed contractor; if in-house, SanPin compliance.</t>
  </si>
  <si>
    <t xml:space="preserve">Sterilization - autoclave (large CSSD)</t>
  </si>
  <si>
    <t xml:space="preserve">Hospital-grade autoclave (mid-size CSSD)</t>
  </si>
  <si>
    <t xml:space="preserve">Tuttnauer GS Series, Getinge 700HC-E, Steris Amsco</t>
  </si>
  <si>
    <t xml:space="preserve">Sterilization of surgical/aesthetic instruments</t>
  </si>
  <si>
    <t xml:space="preserve">Tuttnauer cost guide 2025 ($60-120k mid-size); medequipdepot.com</t>
  </si>
  <si>
    <t xml:space="preserve">Mid-size horizontal Class B unit suitable for clinic-volume CSSD.</t>
  </si>
  <si>
    <t xml:space="preserve">Sterilization - tabletop + ultrasonic</t>
  </si>
  <si>
    <t xml:space="preserve">Tabletop autoclave + ultrasonic cleaner</t>
  </si>
  <si>
    <t xml:space="preserve">Tuttnauer EZ11Plus, Midmark M11; Bandelin/Branson ultrasonic</t>
  </si>
  <si>
    <t xml:space="preserve">Backup/satellite sterilization, instrument pre-cleaning</t>
  </si>
  <si>
    <t xml:space="preserve">Henry Schein, Tuttnauer dealer 2025; combined unit</t>
  </si>
  <si>
    <t xml:space="preserve">Item price = autoclave + ultrasonic combined.</t>
  </si>
  <si>
    <t xml:space="preserve">Movement &amp; Rehab</t>
  </si>
  <si>
    <t xml:space="preserve">Anti-gravity treadmill</t>
  </si>
  <si>
    <t xml:space="preserve">Anti-gravity treadmill (DAP technology)</t>
  </si>
  <si>
    <t xml:space="preserve">AlterG NEO+ / PRO</t>
  </si>
  <si>
    <t xml:space="preserve">Unweighted gait training, post-surgery rehab, performance</t>
  </si>
  <si>
    <t xml:space="preserve">AlterG (Lifeward) NEO+ dealer 2024; eBay used $30-45k</t>
  </si>
  <si>
    <t xml:space="preserve">PRO version ~$95k. US OEM - parallel import for Russia.</t>
  </si>
  <si>
    <t xml:space="preserve">Gyrotonic</t>
  </si>
  <si>
    <t xml:space="preserve">Gyrotonic Pulley Tower (genuine, commercial)</t>
  </si>
  <si>
    <t xml:space="preserve">Gyrotonic Ultima XS / Reveal</t>
  </si>
  <si>
    <t xml:space="preserve">Gyrotonic - circular movement training, premium offering</t>
  </si>
  <si>
    <t xml:space="preserve">Gyrotonic.com Ultima series; trade dealer 2024</t>
  </si>
  <si>
    <t xml:space="preserve">Official Gyrotonic equipment is licensed/branded - much higher than generic Alibaba 'gyrotonic-style' towers. Trainer certification required.</t>
  </si>
  <si>
    <t xml:space="preserve">Hydrotherapy pool</t>
  </si>
  <si>
    <t xml:space="preserve">Underwater treadmill / hydrotherapy pool with variable depth</t>
  </si>
  <si>
    <t xml:space="preserve">HydroWorx 2000 / SwimEx 800</t>
  </si>
  <si>
    <t xml:space="preserve">Aquatic rehab, gait training - elite rehab differentiator</t>
  </si>
  <si>
    <t xml:space="preserve">HydroWorx blog cost estimates; The Recovery Club pricing</t>
  </si>
  <si>
    <t xml:space="preserve">HydroWorx 2000 with variable depth + treadmill is gold standard. Excludes building shell. SwimEx 800 lower-cost alt ~$180-220k.</t>
  </si>
  <si>
    <t xml:space="preserve">Pilates - reformers</t>
  </si>
  <si>
    <t xml:space="preserve">Pilates Reformer studio set (commercial premium, 8 units)</t>
  </si>
  <si>
    <t xml:space="preserve">Balanced Body Allegro 2 / STOTT V2 Max / Peak Fit</t>
  </si>
  <si>
    <t xml:space="preserve">Pilates studio core equipment</t>
  </si>
  <si>
    <t xml:space="preserve">Balanced Body Allegro 2 ~$5,200/unit MSRP; CAD listings $5,924; STOTT dealer</t>
  </si>
  <si>
    <t xml:space="preserve">Set of 8 Allegro 2 + accessories (boxes, jumpboards). Alternative: STOTT V2 Max.</t>
  </si>
  <si>
    <t xml:space="preserve">Pilates - towers/cadillac</t>
  </si>
  <si>
    <t xml:space="preserve">Pilates Cadillac/tower combo</t>
  </si>
  <si>
    <t xml:space="preserve">Balanced Body Cadillac / STOTT Cadillac</t>
  </si>
  <si>
    <t xml:space="preserve">Comprehensive Pilates apparatus</t>
  </si>
  <si>
    <t xml:space="preserve">Balanced Body trade pricing</t>
  </si>
  <si>
    <t xml:space="preserve">Per unit. Wunda Chair, Spine Corrector accessories add $2-3k.</t>
  </si>
  <si>
    <t xml:space="preserve">Recovery suite</t>
  </si>
  <si>
    <t xml:space="preserve">Recovery suite (compression boots, percussion, cryo-cuff)</t>
  </si>
  <si>
    <t xml:space="preserve">Normatec 3 + Theragun Pro + Game Ready</t>
  </si>
  <si>
    <t xml:space="preserve">Athletic recovery suite</t>
  </si>
  <si>
    <t xml:space="preserve">Hyperice/Normatec/Game Ready commercial pricing 2024</t>
  </si>
  <si>
    <t xml:space="preserve">Suite per recovery room. US OEM consumer items - parallel import simple.</t>
  </si>
  <si>
    <t xml:space="preserve">Robotic gait rehab</t>
  </si>
  <si>
    <t xml:space="preserve">Robotic gait rehabilitation system</t>
  </si>
  <si>
    <t xml:space="preserve">Hocoma Lokomat Pro / Nanos</t>
  </si>
  <si>
    <t xml:space="preserve">Severe neurological rehab - signature offering for medical-tier</t>
  </si>
  <si>
    <t xml:space="preserve">Hocoma dealer 2024; PMC literature cost-effectiveness review (EUR 350k+); Lokomat Nanos $250k</t>
  </si>
  <si>
    <t xml:space="preserve">Optional - only justified for true neuro-rehab medical tier. Swiss OEM, clean Russia route. Lokomat Nanos a smaller-budget alternative.</t>
  </si>
  <si>
    <t xml:space="preserve">Suspension/Redcord</t>
  </si>
  <si>
    <t xml:space="preserve">Redcord ceiling suspension training (clinical)</t>
  </si>
  <si>
    <t xml:space="preserve">Redcord Trainer / Workstation Professional</t>
  </si>
  <si>
    <t xml:space="preserve">Neuromuscular activation, suspension therapy</t>
  </si>
  <si>
    <t xml:space="preserve">Redcord trade pricing 2024</t>
  </si>
  <si>
    <t xml:space="preserve">Norwegian OEM, clean Russia route. Includes ceiling-mounted track + accessories per station.</t>
  </si>
  <si>
    <t xml:space="preserve">Vibration training</t>
  </si>
  <si>
    <t xml:space="preserve">Whole-body vibration platform (commercial)</t>
  </si>
  <si>
    <t xml:space="preserve">Power Plate Pro7 / Pro8</t>
  </si>
  <si>
    <t xml:space="preserve">Vibration training, lymphatic, performance</t>
  </si>
  <si>
    <t xml:space="preserve">Fitness Factory Pro7 pricing; Strength Warehouse listings</t>
  </si>
  <si>
    <t xml:space="preserve">UK OEM, clean Russia route via re-export.</t>
  </si>
  <si>
    <t xml:space="preserve">Yoga/mat studio</t>
  </si>
  <si>
    <t xml:space="preserve">Yoga / mat studio fit-out (mirrors, props, sound)</t>
  </si>
  <si>
    <t xml:space="preserve">Manduka commercial mats + sound + mirrors + storage</t>
  </si>
  <si>
    <t xml:space="preserve">Mat-based yoga/Pilates room</t>
  </si>
  <si>
    <t xml:space="preserve">Trade catalog estimates</t>
  </si>
  <si>
    <t xml:space="preserve">Mirrors, premium flooring, sound, props storage. Excludes shell.</t>
  </si>
  <si>
    <t xml:space="preserve">Nutrition &amp; GI Diagnostics</t>
  </si>
  <si>
    <t xml:space="preserve">Colon hydrotherapy</t>
  </si>
  <si>
    <t xml:space="preserve">Colon hydrotherapy device (FDA Class II open system)</t>
  </si>
  <si>
    <t xml:space="preserve">LIBBE / Angel of Water</t>
  </si>
  <si>
    <t xml:space="preserve">Colon hydrotherapy - core detox program offering</t>
  </si>
  <si>
    <t xml:space="preserve">LIBBE list price ~$10k (libbecolonhydrotherapydevice.com); Bimedis listings</t>
  </si>
  <si>
    <t xml:space="preserve">Standard at SHA/CLP/Lanserhof. Includes installation kit; consumables ~$15/treatment.</t>
  </si>
  <si>
    <t xml:space="preserve">Gut function (breath test)</t>
  </si>
  <si>
    <t xml:space="preserve">Hydrogen/methane breath test analyzer (SIBO)</t>
  </si>
  <si>
    <t xml:space="preserve">QuinTron BreathTracker / Bedfont Gastro+</t>
  </si>
  <si>
    <t xml:space="preserve">SIBO/IBS assessment - gut health programs</t>
  </si>
  <si>
    <t xml:space="preserve">QuinTron / Bedfont dealer estimates 2024</t>
  </si>
  <si>
    <t xml:space="preserve">Consumables (test kits) recurring cost.</t>
  </si>
  <si>
    <t xml:space="preserve">Indirect calorimetry</t>
  </si>
  <si>
    <t xml:space="preserve">Resting metabolic rate analyzer</t>
  </si>
  <si>
    <t xml:space="preserve">Cosmed Fitmate Pro / Korr ReeVue</t>
  </si>
  <si>
    <t xml:space="preserve">RMR for nutrition prescription</t>
  </si>
  <si>
    <t xml:space="preserve">Cosmed Fitmate Pro list; Korr ReeVue dealer 2024</t>
  </si>
  <si>
    <t xml:space="preserve">Cheaper alternative to full CPET when only RMR needed.</t>
  </si>
  <si>
    <t xml:space="preserve">Liver elastography</t>
  </si>
  <si>
    <t xml:space="preserve">Liver elastography (FibroScan transient elastography)</t>
  </si>
  <si>
    <t xml:space="preserve">Echosens FibroScan 530 Compact / 630 Expert</t>
  </si>
  <si>
    <t xml:space="preserve">Non-invasive liver fibrosis/steatosis screening - longevity protocol</t>
  </si>
  <si>
    <t xml:space="preserve">Bimedis FibroScan range $17,108-$45,871 (used); new ~$70-85k; AuntMinnie 2024</t>
  </si>
  <si>
    <t xml:space="preserve">French OEM (Echosens) - cleaner Russia route than US devices.</t>
  </si>
  <si>
    <t xml:space="preserve">Sleep &amp; Neurology</t>
  </si>
  <si>
    <t xml:space="preserve">Cognitive Testing</t>
  </si>
  <si>
    <t xml:space="preserve">Cognitive testing platform (subscription/licence)</t>
  </si>
  <si>
    <t xml:space="preserve">Cambridge Cognition CANTAB, Creyos (formerly Cambridge Brain Sciences), Cogstate Brief Battery</t>
  </si>
  <si>
    <t xml:space="preserve">Validated digital cognitive assessment - memory, executive function, attention.</t>
  </si>
  <si>
    <t xml:space="preserve">Capterra CANTAB pricing pages; Creyos clinical subscription pricing; industry estimate EUR 8-20k/yr clinical licence + tablets + admin.</t>
  </si>
  <si>
    <t xml:space="preserve">ESTIMATE - vendors quote on request; reflects 1-year licence + 4 iPads + onboarding. Annual maint % reflects subscription renewal. Russia: limited; Russian-language CANTAB available; otherwise domestic neuropsych batteries.</t>
  </si>
  <si>
    <t xml:space="preserve">EEG</t>
  </si>
  <si>
    <t xml:space="preserve">EEG system 32-64 channel</t>
  </si>
  <si>
    <t xml:space="preserve">Natus NicoletOne EEG 32ch, Compumedics Neuvo 64ch, Cadwell Arc</t>
  </si>
  <si>
    <t xml:space="preserve">Standalone EEG - neurological baseline, mild cognitive screening, biofeedback prep.</t>
  </si>
  <si>
    <t xml:space="preserve">Hospitalstore.com Natus NicoletOne 32ch listing; Compumedics Neuvo product spec; Relink Online refurb listings $15-25k; new commercial list EUR 40-60k.</t>
  </si>
  <si>
    <t xml:space="preserve">Optional - only Lanserhof and high-end neurology programmes justify. Russia: Mitsar (St. Petersburg) is well-regarded domestic EEG manufacturer at 50% of Western price.</t>
  </si>
  <si>
    <t xml:space="preserve">HSAT</t>
  </si>
  <si>
    <t xml:space="preserve">Home sleep apnea test devices (HSAT) - fleet</t>
  </si>
  <si>
    <t xml:space="preserve">ResMed ApneaLink Air, ZOLL Itamar WatchPAT One, Philips Alice NightOne</t>
  </si>
  <si>
    <t xml:space="preserve">Type III ambulatory sleep apnea screening - at-home or in-room.</t>
  </si>
  <si>
    <t xml:space="preserve">MedGrade ApneaLink Air review; Itamar WatchPAT product page; SleepWorks Medical list $3-4k per ApneaLink Air recorder; WatchPAT ONE disposable ~$200/study.</t>
  </si>
  <si>
    <t xml:space="preserve">Fleet of 5 recorders covers ~20 guests/week throughput. WatchPAT ONE consumables (USD 150-200 per study) are pass-through. Russia: ResMed restricted distribution post-2022 in Russia; parallel import works.</t>
  </si>
  <si>
    <t xml:space="preserve">Sleep Lab</t>
  </si>
  <si>
    <t xml:space="preserve">Polysomnography (PSG) suite - 32-channel + bedroom</t>
  </si>
  <si>
    <t xml:space="preserve">Natus NicoletOne / Embla, Compumedics Grael, SOMNOmedics SOMNOscreen</t>
  </si>
  <si>
    <t xml:space="preserve">Full attended PSG - EEG, EOG, EMG, ECG, oximetry, airflow, effort. Gold-standard sleep medicine.</t>
  </si>
  <si>
    <t xml:space="preserve">Sleep Review 2024 PSG comparison guide; DotMed Embla / NicoletOne refurb $20-40k; Natus / Compumedics commercial list per dealer EUR 80-120k for 32-channel.</t>
  </si>
  <si>
    <t xml:space="preserve">Includes amplifier, electrodes, video, sound-attenuated bedroom build-out (room build extra ~EUR 30k). 1-2 beds for 80-100 key resort.</t>
  </si>
  <si>
    <t xml:space="preserve">Wearables</t>
  </si>
  <si>
    <t xml:space="preserve">Premium wearables (Oura / WHOOP / Apple Watch fleet for guests)</t>
  </si>
  <si>
    <t xml:space="preserve">Oura Ring Gen 4, WHOOP 5.0, Apple Watch Ultra 2</t>
  </si>
  <si>
    <t xml:space="preserve">Sleep stages, HRV, recovery, training load - guest take-home wearable as part of programme.</t>
  </si>
  <si>
    <t xml:space="preserve">Oura Ring $349-$499 retail; WHOOP $239 + $30/mo subscription; Apple Watch Ultra 2 $799. 25-unit fleet at avg EUR 320 per device.</t>
  </si>
  <si>
    <t xml:space="preserve">Loaner fleet for in-residence guests. Subscription costs flow as OPEX. Russia: Apple Watch / Oura via parallel import (30% premium); WHOOP not available officially.</t>
  </si>
  <si>
    <t xml:space="preserve">Telemedicine &amp; Digital Health</t>
  </si>
  <si>
    <t xml:space="preserve">CGM data integration</t>
  </si>
  <si>
    <t xml:space="preserve">CGM platform integration (Levels-style)</t>
  </si>
  <si>
    <t xml:space="preserve">Levels Health API, Nutrisense, Veri</t>
  </si>
  <si>
    <t xml:space="preserve">Continuous glucose monitor data into longevity platform</t>
  </si>
  <si>
    <t xml:space="preserve">Levels API B2B / Nutrisense partner; partner integration estimate</t>
  </si>
  <si>
    <t xml:space="preserve">Sensors charged per guest separately. Russia: Abbott Libre via parallel import; Russian dev for portal.</t>
  </si>
  <si>
    <t xml:space="preserve">Post-stay coaching platform</t>
  </si>
  <si>
    <t xml:space="preserve">Coaching/concierge app (post-stay continuum)</t>
  </si>
  <si>
    <t xml:space="preserve">MindBody Plus, Healthie, custom on Twilio</t>
  </si>
  <si>
    <t xml:space="preserve">1:1 coaching, content, member retention 6-12 months post-stay</t>
  </si>
  <si>
    <t xml:space="preserve">Healthie / custom dev estimate; Lanserhof@home model reference</t>
  </si>
  <si>
    <t xml:space="preserve">Critical revenue/retention driver - drives ARR via subscription. Operator headcount = coaches.</t>
  </si>
  <si>
    <t xml:space="preserve">Video consultation platform</t>
  </si>
  <si>
    <t xml:space="preserve">HIPAA/GDPR-compliant telemedicine platform</t>
  </si>
  <si>
    <t xml:space="preserve">Doxy.me Enterprise, Teladoc B2B, Amwell</t>
  </si>
  <si>
    <t xml:space="preserve">Post-stay video consults with longevity physicians</t>
  </si>
  <si>
    <t xml:space="preserve">Doxy.me Clinic $50/user/mo; Enterprise custom; ~30-40 users</t>
  </si>
  <si>
    <t xml:space="preserve">Russia: Russian alt (Mednote, Doctis) due to GDPR/152-FZ + sanctions.</t>
  </si>
  <si>
    <t xml:space="preserve">Wearable program - WHOOP/Garmin</t>
  </si>
  <si>
    <t xml:space="preserve">WHOOP Unite + Garmin Health enterprise</t>
  </si>
  <si>
    <t xml:space="preserve">WHOOP Unite, Garmin Health enterprise</t>
  </si>
  <si>
    <t xml:space="preserve">Strain/recovery tracking, performance/longevity coaching</t>
  </si>
  <si>
    <t xml:space="preserve">WHOOP Unite (200+ enterprise customers, prnewswire 2022); Garmin Health B2B</t>
  </si>
  <si>
    <t xml:space="preserve">Optional supplement to Oura. Russia: parallel import for hardware.</t>
  </si>
  <si>
    <t xml:space="preserve">Wearable program - rings</t>
  </si>
  <si>
    <t xml:space="preserve">Oura Ring Business deployment</t>
  </si>
  <si>
    <t xml:space="preserve">Oura for Business, Ultrahuman Ring, RingConn</t>
  </si>
  <si>
    <t xml:space="preserve">Member sleep/HRV/recovery tracking; lifelong engagement hook</t>
  </si>
  <si>
    <t xml:space="preserve">Oura for Business B2B (sacra.com 23% revenue); ~200 rings @ $300 + dashboard</t>
  </si>
  <si>
    <t xml:space="preserve">Initial fleet 150-250 rings + B2B dashboard; replenishment ~25%/yr.</t>
  </si>
  <si>
    <t xml:space="preserve">CAPEX SUMMARY BY TIER</t>
  </si>
  <si>
    <t xml:space="preserve">Live roll-up from Master List via SUMPRODUCT. Edit prices in Master List → totals refresh.</t>
  </si>
  <si>
    <t xml:space="preserve">keys_count</t>
  </si>
  <si>
    <t xml:space="preserve">← editable input (mid-point of 80–100 keys range)</t>
  </si>
  <si>
    <t xml:space="preserve">FX RUB / EUR</t>
  </si>
  <si>
    <t xml:space="preserve">FX RUB / USD</t>
  </si>
  <si>
    <t xml:space="preserve">REGION — Europe (€)</t>
  </si>
  <si>
    <t xml:space="preserve">Group</t>
  </si>
  <si>
    <t xml:space="preserve">Total Medical capex</t>
  </si>
  <si>
    <t xml:space="preserve">Total Spa &amp; Recovery capex</t>
  </si>
  <si>
    <t xml:space="preserve">Total Fitness &amp; Movement capex</t>
  </si>
  <si>
    <t xml:space="preserve">Total IT &amp; Software capex (upfront)</t>
  </si>
  <si>
    <t xml:space="preserve">Total Kitchen &amp; F&amp;B capex</t>
  </si>
  <si>
    <t xml:space="preserve">Total Medical Infrastructure capex</t>
  </si>
  <si>
    <t xml:space="preserve">TOTAL CAPEX</t>
  </si>
  <si>
    <t xml:space="preserve">Capex per key</t>
  </si>
  <si>
    <t xml:space="preserve">REGION — North America ($)</t>
  </si>
  <si>
    <t xml:space="preserve">REGION — Asia ($)</t>
  </si>
  <si>
    <t xml:space="preserve">REGION — Russia (₽)</t>
  </si>
  <si>
    <t xml:space="preserve">BENCHMARKS</t>
  </si>
  <si>
    <t xml:space="preserve">Luxury hotel capex/key (HVS global)</t>
  </si>
  <si>
    <t xml:space="preserve">$400,000 – $1,100,000</t>
  </si>
  <si>
    <t xml:space="preserve">HVS Hotel Development Cost Survey (luxury segment)</t>
  </si>
  <si>
    <t xml:space="preserve">Premium longevity resort total capex/key (estimated)</t>
  </si>
  <si>
    <t xml:space="preserve">$700,000 – $1,500,000</t>
  </si>
  <si>
    <t xml:space="preserve">Equipment shown in this workbook is INCREMENTAL on top of base hotel build.</t>
  </si>
  <si>
    <t xml:space="preserve">Equipment-only capex/key by tier (this study)</t>
  </si>
  <si>
    <t xml:space="preserve">Computed live from the Master List per region above.</t>
  </si>
  <si>
    <t xml:space="preserve">Edit prices in Master List → all roll-ups update.</t>
  </si>
  <si>
    <t xml:space="preserve">Citation note</t>
  </si>
  <si>
    <t xml:space="preserve">All operator price points (Lanserhof, SHA, CLP, Chenot) cross-referenced 2025–2026.</t>
  </si>
  <si>
    <t xml:space="preserve">See 'Sources &amp; Methodology' sheet for full bibliography.</t>
  </si>
  <si>
    <t xml:space="preserve">PAYBACK &amp; REVENUE MODEL</t>
  </si>
  <si>
    <t xml:space="preserve">Equipment-level payback under Russia/RUB cost base; EU/USD prices reference the Master List.</t>
  </si>
  <si>
    <t xml:space="preserve">ASSUMPTIONS</t>
  </si>
  <si>
    <t xml:space="preserve">Keys</t>
  </si>
  <si>
    <t xml:space="preserve">Year-5 occupancy</t>
  </si>
  <si>
    <t xml:space="preserve">Annual room nights @ Yr5</t>
  </si>
  <si>
    <t xml:space="preserve">Avg guest stays / yr (7-night assumed)</t>
  </si>
  <si>
    <t xml:space="preserve">Operating days / yr</t>
  </si>
  <si>
    <t xml:space="preserve">Operating hours / day</t>
  </si>
  <si>
    <t xml:space="preserve">Operating hours / yr</t>
  </si>
  <si>
    <t xml:space="preserve">EQUIPMENT PAYBACK BLOCKS (Russia / RUB basis)</t>
  </si>
  <si>
    <t xml:space="preserve">Block</t>
  </si>
  <si>
    <t xml:space="preserve">Tier</t>
  </si>
  <si>
    <t xml:space="preserve">Capex (₽)</t>
  </si>
  <si>
    <t xml:space="preserve">Annual cost (₽)</t>
  </si>
  <si>
    <t xml:space="preserve">Procedure price (₽)</t>
  </si>
  <si>
    <t xml:space="preserve">Annual procedures</t>
  </si>
  <si>
    <t xml:space="preserve">Direct revenue (₽)</t>
  </si>
  <si>
    <t xml:space="preserve">Annual contribution (₽)</t>
  </si>
  <si>
    <t xml:space="preserve">Payback (yrs)</t>
  </si>
  <si>
    <t xml:space="preserve">Character</t>
  </si>
  <si>
    <t xml:space="preserve">MRI 3T scanner (premium screening)</t>
  </si>
  <si>
    <t xml:space="preserve">Direct - bills per procedure</t>
  </si>
  <si>
    <t xml:space="preserve">Capacity-capped at 2,200 scans/yr (~50% of guests + 30% external). Sanctions-driven capex; high-margin executive screening. EU benchmark EUR 1,800-2,500; Russia target RUB 110k = ~EUR 1,200.</t>
  </si>
  <si>
    <t xml:space="preserve">MRI 1.5T workhorse</t>
  </si>
  <si>
    <t xml:space="preserve">Targeted MSK/neuro/cardiac; lower premium than 3T. Capacity capped at 1,800 scans/yr.</t>
  </si>
  <si>
    <t xml:space="preserve">CT scanner 128-256 slice</t>
  </si>
  <si>
    <t xml:space="preserve">Cardiac Ca scoring + low-dose lung screen; ~30% of guests. Lower utilization than MRI; faster throughput.</t>
  </si>
  <si>
    <t xml:space="preserve">DEXA scanner (body comp + bone density)</t>
  </si>
  <si>
    <t xml:space="preserve">Longevity staple - near-universal among guests. Russia procedure RUB 12k = ~EUR 130.</t>
  </si>
  <si>
    <t xml:space="preserve">Full polysomnography (PSG) suite</t>
  </si>
  <si>
    <t xml:space="preserve">Single-bed PSG; capacity = 1 study/night x 320 operating nights. Multi-bed expansion possible. Russia target RUB 80k vs EU EUR 800-2500.</t>
  </si>
  <si>
    <t xml:space="preserve">Lanserhof Classic Plus bundles this; in Russia priced ~50% of EU EUR 350-500.</t>
  </si>
  <si>
    <t xml:space="preserve">Premium cardiac ultrasound (echo)</t>
  </si>
  <si>
    <t xml:space="preserve">Cardiology cornerstone; bundled into executive panel + per-study billing.</t>
  </si>
  <si>
    <t xml:space="preserve">Hormone / immunoassay analyzer</t>
  </si>
  <si>
    <t xml:space="preserve">Reagent-heavy; bundled into longevity panels. Capacity-capped at 4,000 tests/yr (~1.3 per guest).</t>
  </si>
  <si>
    <t xml:space="preserve">High volume, low ticket; mostly bundled into executive panel CBCs.</t>
  </si>
  <si>
    <t xml:space="preserve">IV therapy chair fleet (6 clinical recliners)</t>
  </si>
  <si>
    <t xml:space="preserve">Direct - bills per session</t>
  </si>
  <si>
    <t xml:space="preserve">6 chairs, ~3 sessions/day each at 30% utilization = 2,880 sessions/yr. NAD+, Myers, glutathione protocols.</t>
  </si>
  <si>
    <t xml:space="preserve">Whole-body cryotherapy chamber</t>
  </si>
  <si>
    <t xml:space="preserve">3-min sessions, 15-min slot. Spa staple; high-throughput, low ticket.</t>
  </si>
  <si>
    <t xml:space="preserve">Hydrotherapy pool / underwater treadmill</t>
  </si>
  <si>
    <t xml:space="preserve">ADR-recovered</t>
  </si>
  <si>
    <t xml:space="preserve">ADR-recovered (signature spa amenity)</t>
  </si>
  <si>
    <t xml:space="preserve">Heavy capex; recovered via ADR uplift + bundled into rehab/longevity programs.</t>
  </si>
  <si>
    <t xml:space="preserve">Robotic gait rehabilitation (Lokomat-class)</t>
  </si>
  <si>
    <t xml:space="preserve">ADR-recovered (niche neurorehab; consider deferring)</t>
  </si>
  <si>
    <t xml:space="preserve">Niche / consider deferring</t>
  </si>
  <si>
    <t xml:space="preserve">Niche modality outside core longevity audience; financially marginal at 0.20 utilization. Recommend deferring or reducing scope (gait analysis only, no robotic exoskeleton).</t>
  </si>
  <si>
    <t xml:space="preserve">Pilates Reformer studio (8 reformers)</t>
  </si>
  <si>
    <t xml:space="preserve">ADR-recovered + bundled into program</t>
  </si>
  <si>
    <t xml:space="preserve">Modest capex; recovered through bundled programs and ADR uplift. Class fees can be billed separately if positioned that way.</t>
  </si>
  <si>
    <t xml:space="preserve">Technogym Artis + premium gym suite (full)</t>
  </si>
  <si>
    <t xml:space="preserve">Non-billable; recovered via ADR + optional day-pass for non-resident members.</t>
  </si>
  <si>
    <t xml:space="preserve">Russian banya complex (parnaya + smoke banya + second parnaya)</t>
  </si>
  <si>
    <t xml:space="preserve">Hybrid - parenia ritual billed direct + ADR uplift</t>
  </si>
  <si>
    <t xml:space="preserve">Russia-specific signature; parenia ritual sells RUB 12-18k, taken as RUB 15k. Strong cultural premium. 1 FTE banya master + 1 part-time assistant blended. Capacity capped at 1,500 sessions/yr.</t>
  </si>
  <si>
    <t xml:space="preserve">Vichy + hammam + snow room thermal circuit</t>
  </si>
  <si>
    <t xml:space="preserve">Hybrid - Vichy treatments billed; hammam/snow ADR-recovered</t>
  </si>
  <si>
    <t xml:space="preserve">Vichy treatments are direct-billed; hammam/snow are circuit amenities.</t>
  </si>
  <si>
    <t xml:space="preserve">Full kitchen &amp; F&amp;B build-out</t>
  </si>
  <si>
    <t xml:space="preserve">Enabling spend</t>
  </si>
  <si>
    <t xml:space="preserve">Therapeutic + restaurant kitchen. Recovered via F&amp;B P&amp;L (25-35% contribution margin).</t>
  </si>
  <si>
    <t xml:space="preserve">Mid-market EHR (Athenahealth-class)</t>
  </si>
  <si>
    <t xml:space="preserve">Required infrastructure; payback via efficiency/compliance. Annual subscription RUB 6M is opex.</t>
  </si>
  <si>
    <t xml:space="preserve">Full PMS + spa booking + guest app stack</t>
  </si>
  <si>
    <t xml:space="preserve">Hospitality + wellness operations stack. Annual subscription RUB 5-7M is opex.</t>
  </si>
  <si>
    <t xml:space="preserve">PROCEDURE PRICING BENCHMARKS</t>
  </si>
  <si>
    <t xml:space="preserve">Procedure</t>
  </si>
  <si>
    <t xml:space="preserve">Lanserhof anchor (€)</t>
  </si>
  <si>
    <t xml:space="preserve">SHA (€)</t>
  </si>
  <si>
    <t xml:space="preserve">CLP (€)</t>
  </si>
  <si>
    <t xml:space="preserve">Russia target (₽)</t>
  </si>
  <si>
    <t xml:space="preserve">Russia equiv (€)</t>
  </si>
  <si>
    <t xml:space="preserve">Whole-body MRI (executive screening, no contrast)</t>
  </si>
  <si>
    <t xml:space="preserve">Lanserhof/SHA/CLP do not publish standalone whole-body MRI prices; bundled into longevity packages. EU benchmark estimated EUR 1,800-2,500 standalone (no contrast) at premium clinic. Russia equivalent at premium private clinic estimated EUR 1,200-1,800.</t>
  </si>
  <si>
    <t xml:space="preserve">DEXA scan (body composition + bone density)</t>
  </si>
  <si>
    <t xml:space="preserve">Lanserhof/CLP/Chenot bundle DEXA into longevity packages, no standalone published price. Estimated from US/UK direct-pay benchmarks. Russia premium clinic equivalent estimated EUR 80-150.</t>
  </si>
  <si>
    <t xml:space="preserve">VO2max / CPET (cardiopulmonary exercise testing)</t>
  </si>
  <si>
    <t xml:space="preserve">Lanserhof Classic Plus 7-night package (from EUR 4,046 ex-accom) includes VO2max as a bundled item. Russia premium estimated EUR 200-350.</t>
  </si>
  <si>
    <t xml:space="preserve">Full polysomnography (in-lab overnight sleep study)</t>
  </si>
  <si>
    <t xml:space="preserve">In-lab PSG; home sleep tests typically EUR 200-600. Russia premium estimated EUR 300-800.</t>
  </si>
  <si>
    <t xml:space="preserve">Executive diagnostic / longevity panel (medical basis therapy + diagnostics, ex-accommodation, 7 nights)</t>
  </si>
  <si>
    <t xml:space="preserve">Programmatic pricing — base medical therapy alone is the closest like-for-like to a standalone executive diagnostic block.</t>
  </si>
  <si>
    <t xml:space="preserve">Healthy ageing / advanced longevity program (7 nights, ex-accommodation)</t>
  </si>
  <si>
    <t xml:space="preserve">Most direct industry comparable for a longevity-resort program price. CLP Revitalisation Premium up to CHF 48,520 sets the upper bound.</t>
  </si>
  <si>
    <t xml:space="preserve">Longevity blood / biological-age test (epigenetic + biomarker panel)</t>
  </si>
  <si>
    <t xml:space="preserve">Direct-to-consumer benchmarks. Premium clinics (CLP, SHA) embed within program; standalone EUR 400-700 typical. Russia equivalents (Atlas, Genotek) at EUR 80-200 consumer price.</t>
  </si>
  <si>
    <t xml:space="preserve">Microbiome / gut health test (16S rRNA or metagenomic + report)</t>
  </si>
  <si>
    <t xml:space="preserve">DTC range EUR 100-450; premium clinic-administered (with consult) EUR 350-700. Russia equivalents (Atlas, Knomx) EUR 80-180.</t>
  </si>
  <si>
    <t xml:space="preserve">Brain health package (Lanserhof Tegernsee, ex-accommodation)</t>
  </si>
  <si>
    <t xml:space="preserve">Lanserhof does not openly publish exact add-on price; structure mirrors Longevity package add-on (EUR 5,113). Treated as estimated.</t>
  </si>
  <si>
    <t xml:space="preserve">PACKAGE PRICING BENCHMARKS</t>
  </si>
  <si>
    <t xml:space="preserve">Operator</t>
  </si>
  <si>
    <t xml:space="preserve">Package</t>
  </si>
  <si>
    <t xml:space="preserve">Price (€)</t>
  </si>
  <si>
    <t xml:space="preserve">Includes accommodation</t>
  </si>
  <si>
    <t xml:space="preserve">What's included</t>
  </si>
  <si>
    <t xml:space="preserve">Lanserhof Tegernsee</t>
  </si>
  <si>
    <t xml:space="preserve">Lanserhof Cure Classic + Longevity (7 nights, programme only, ex accommodation)</t>
  </si>
  <si>
    <t xml:space="preserve">Initial and final physician examinations, interim check-ups with manual abdominal treatments, body composition diagnostics, daily therapeutic group sessions, longevity diagnostics (epigenetic/biomarker assessments), Mayr-style nutrition (full board), spa/treatment access. Accommodation in addition.</t>
  </si>
  <si>
    <t xml:space="preserve">https://lanserhof.com/en/lanserhof-tegernsee/treatments/package-longevity-tegernsee/ ; https://www.serenityways.com/clinics/lanserhof-tegernsee</t>
  </si>
  <si>
    <t xml:space="preserve">SHA Wellness Clinic Spain (Alicante)</t>
  </si>
  <si>
    <t xml:space="preserve">Advanced Longevity (7 nights, programme + accommodation in Deluxe Suite sea view, 2 guests)</t>
  </si>
  <si>
    <t xml:space="preserve">Genetic testing, biomarker analysis, 88-determination biological profile, hypoxia training, neurocognitive assessment, photobiomodulation, NAD therapy, hyperbaric, tailored nutrition (full board), holistic therapies, accommodation Deluxe Suite sea view.</t>
  </si>
  <si>
    <t xml:space="preserve">https://shawellness.com/en/advanced-longevity/ ; https://www.serenityways.com/clinics/sha-spain</t>
  </si>
  <si>
    <t xml:space="preserve">Clinique La Prairie (Montreux)</t>
  </si>
  <si>
    <t xml:space="preserve">Master Detox (6 nights / 7 days)</t>
  </si>
  <si>
    <t xml:space="preserve">Accommodation, full board (CLP detox menu), comprehensive medical consultations and diagnostics (cardiology, internal medicine), advanced detox treatments, lymphatic drainage, IV therapy, spa access, follow-up plan.</t>
  </si>
  <si>
    <t xml:space="preserve">https://www.cliniquelaprairie.com/programs/master-detox/ ; https://swissmedexpert.com/clinique-la-prairie-detox</t>
  </si>
  <si>
    <t xml:space="preserve">Revitalisation Premium / Legendary Premium (1 week, top tier)</t>
  </si>
  <si>
    <t xml:space="preserve">CLP signature revitalisation cellular therapy program, full medical work-up including imaging, comprehensive diagnostics, medical consultations across multiple specialties, accommodation in premium suite, full board, spa.</t>
  </si>
  <si>
    <t xml:space="preserve">https://serenityways.com/pages/clinique-la-prairie-prices ; https://swissmedexpert.com/clinic-la-prairie</t>
  </si>
  <si>
    <t xml:space="preserve">Chenot Palace Weggis</t>
  </si>
  <si>
    <t xml:space="preserve">Advanced Detox (7 nights, ex-accommodation)</t>
  </si>
  <si>
    <t xml:space="preserve">Chenot Method protocol, daily medical consultations, energetic and detox treatments (hydro-jet, bio-energetic, phyto-mud, massages), comprehensive diagnostics, all meals (Chenot Diet, fasting-mimicking), gym/pool/thermal access. Accommodation in addition.</t>
  </si>
  <si>
    <t xml:space="preserve">https://www.chenot.com/chenot-palace/weggis/programmes/ ; https://www.serenityways.com/clinics/chenot-palace-weggis ; https://www.chenot.com/wp-content/uploads/2024/05/Chenot-Palace-Weggis-Brochure-EN.pdf</t>
  </si>
  <si>
    <t xml:space="preserve">VIVAMAYR Maria Worth / Altaussee</t>
  </si>
  <si>
    <t xml:space="preserve">Modern Mayr Cure Classic (7 nights, programme only)</t>
  </si>
  <si>
    <t xml:space="preserve">Initial and final consultations with Mayr physician, daily abdominal treatment, full board on Mayr diet, Mayr-method digestion treatments, base diagnostics (laboratory, body composition), spa access. Accommodation in addition (rooms from EUR 378-3,750/night).</t>
  </si>
  <si>
    <t xml:space="preserve">https://www.vivamayr.com/en/downloads/ ; https://serenityways.com/pages/vivamayr-prices ; https://www.best-treatment.com/en/clinics/vivamayr-altaussee/packages/modern-mayr-cure-basic</t>
  </si>
  <si>
    <t xml:space="preserve">Buchinger Wilhelmi (Lake Constance, Uberlingen)</t>
  </si>
  <si>
    <t xml:space="preserve">Classic 10-day fasting programme</t>
  </si>
  <si>
    <t xml:space="preserve">10 nights minimum: digestive rest day, ~6 days fasting, refeeding days. Two medical consultations per 7 nights, comprehensive lab diagnostics, daily nurse health check, daily liver pack during fasting, intestinal cleansing every second day, 24-h on-call doctor, EUR 45/night treatment voucher. Accommodation in addition (typically EUR 218+/night).</t>
  </si>
  <si>
    <t xml:space="preserve">https://www.buchinger-wilhelmi.com/en/buchinger-wilhelmi-lake-constance/arrangements-packages/ ; https://www.buchinger-wilhelmi.com/wp-content/uploads/2024/11/What-we-offer-2025_web_V1.3.pdf ; https://luxury-rehabs.com/buchinger-wilhelmi/</t>
  </si>
  <si>
    <t xml:space="preserve">Six Senses (multi-property longevity programme baseline)</t>
  </si>
  <si>
    <t xml:space="preserve">Six Senses Longevity (varies by property; e.g., Six Senses Ibiza, Douro Valley, Kaplankaya)</t>
  </si>
  <si>
    <t xml:space="preserve">Personalized longevity programme with biomarker baseline, integrative medical consultation, sleep analysis, fitness assessment, IV/peptide therapies (where licensed), bespoke nutrition, holistic therapies, accommodation, full board.</t>
  </si>
  <si>
    <t xml:space="preserve">https://www.sixsenses.com/en/wellness-spa/personalized-wellness/longevity/ ; https://www.sixsenses.com/en/wellness-spa/retreats/ ; https://www.hotel-online.com/news/six-senses-2025-wellness-forecast</t>
  </si>
  <si>
    <t xml:space="preserve">PACKAGE ECONOMICS — Premium 7-night longevity package at EUR 15,000 per guest</t>
  </si>
  <si>
    <t xml:space="preserve">Component</t>
  </si>
  <si>
    <t xml:space="preserve">Share</t>
  </si>
  <si>
    <t xml:space="preserve">Value (€)</t>
  </si>
  <si>
    <t xml:space="preserve">Accommodation</t>
  </si>
  <si>
    <t xml:space="preserve">Suite-class room rate, 7 nights</t>
  </si>
  <si>
    <t xml:space="preserve">Medical procedures (owned equipment)</t>
  </si>
  <si>
    <t xml:space="preserve">MRI/CT/DEXA/PSG/CPET/labs allocated to package</t>
  </si>
  <si>
    <t xml:space="preserve">Spa &amp; recovery (owned equipment)</t>
  </si>
  <si>
    <t xml:space="preserve">Hydrotherapy, cryo, banya, hammam, Vichy, Pilates</t>
  </si>
  <si>
    <t xml:space="preserve">F&amp;B (therapeutic + restaurant)</t>
  </si>
  <si>
    <t xml:space="preserve">Therapeutic menu + a la carte allowance</t>
  </si>
  <si>
    <t xml:space="preserve">Specialist consultations (labor)</t>
  </si>
  <si>
    <t xml:space="preserve">Physician, nutritionist, sleep specialist, physio time</t>
  </si>
  <si>
    <t xml:space="preserve">Margin contribution</t>
  </si>
  <si>
    <t xml:space="preserve">Property contribution after direct opex</t>
  </si>
  <si>
    <t xml:space="preserve">Total package</t>
  </si>
  <si>
    <t xml:space="preserve">NON-BILLABLE EQUIPMENT — ADR UPLIFT LOGIC</t>
  </si>
  <si>
    <t xml:space="preserve">Rationale</t>
  </si>
  <si>
    <t xml:space="preserve">High-end gym, hydrotherapy pool, premium banya complex, full Pilates studio, snow room, hammam dont bill per use but enable a meaningful ADR uplift versus a comparable luxury hotel.</t>
  </si>
  <si>
    <t xml:space="preserve">ADR uplift / night (€)</t>
  </si>
  <si>
    <t xml:space="preserve">ADR uplift / night (₽)</t>
  </si>
  <si>
    <t xml:space="preserve">Annual room nights Yr5</t>
  </si>
  <si>
    <t xml:space="preserve">Annual uplift (₽)</t>
  </si>
  <si>
    <t xml:space="preserve">Annual uplift (€ equiv)</t>
  </si>
  <si>
    <t xml:space="preserve">Uplift = 23,000 RUB x 21,352 room nights (90 keys x 365 x 65% occupancy). Industry rule: premium spa/wellness adds 15-30% to ADR; EUR 250/night is conservative on a EUR 1,000-1,500/night base.</t>
  </si>
  <si>
    <t xml:space="preserve">SUMMARY PAYBACK BANDS</t>
  </si>
  <si>
    <t xml:space="preserve">Fast payback (&lt; 1.5 yr)</t>
  </si>
  <si>
    <t xml:space="preserve">IV chair fleet (~0.05 yr), CPET (~0.5 yr), DEXA, hormone analyzer (~1 yr) - small capex, high-margin direct billing</t>
  </si>
  <si>
    <t xml:space="preserve">Medium payback (1.5–6 yr)</t>
  </si>
  <si>
    <t xml:space="preserve">Hematology analyzer, full PSG suite (~1-1.5 yr); MRI 3T (~3 yr), MRI 1.5T (~3 yr), CT scanner (~5-6 yr after util adj), cardiac ultrasound (~3 yr)</t>
  </si>
  <si>
    <t xml:space="preserve">Slow payback (&gt; 6 yr direct)</t>
  </si>
  <si>
    <t xml:space="preserve">Whole-body cryotherapy (~4 yr), banya complex (~6-8 yr blended), Vichy/hammam circuit (~10-15 yr direct)</t>
  </si>
  <si>
    <t xml:space="preserve">ADR uplift / enabling infra</t>
  </si>
  <si>
    <t xml:space="preserve">Hydrotherapy pool, full Technogym suite, Pilates studio, kitchen &amp; F&amp;B, EHR, full PMS+IT stack - recovered via ADR uplift, package pricing, F&amp;B margin, or enabling infrastructure. Lokomat neurorehab flagged as niche/marginal - consider deferring.</t>
  </si>
  <si>
    <t xml:space="preserve">REGIONAL COST DRIVERS</t>
  </si>
  <si>
    <t xml:space="preserve">Reference document — sourced from research Phase 6. Russia section is the deepest given sanctions complexity.</t>
  </si>
  <si>
    <t xml:space="preserve">1. WESTERN EUROPE</t>
  </si>
  <si>
    <t xml:space="preserve">OEM list-price baseline</t>
  </si>
  <si>
    <t xml:space="preserve">Western Europe (Germany, Switzerland, Austria, Italy, France, Spain) functions as the de facto OEM list-price baseline for the major medical/spa equipment OEMs serving the longevity-resort segment: Siemens Healthineers, GE HealthCare (EU sales), Philips, Dragerwerk, Storz, Olympus, Hologic, Technogym, Klafs, Starpool, Iyashi Dome, Cosmed, Schiller, Mindray-Europe. EUR list pricing typically forms the reference for cross-border benchmarking.</t>
  </si>
  <si>
    <t xml:space="preserve">Distribution markup</t>
  </si>
  <si>
    <t xml:space="preserve">15-25% typical local distributor markup over OEM list. Direct OEM contracts on large bundles (&gt;EUR 1M) often achieve 8-15% list-discount; small single-unit purchases pay full list plus markup.</t>
  </si>
  <si>
    <t xml:space="preserve">Maintenance cost level</t>
  </si>
  <si>
    <t xml:space="preserve">Annual service contracts typically 6-10% of capex for imaging (MRI, CT, ultrasound) and 4-7% for spa/recovery equipment. Multi-year service bundles (5-7 yrs) often negotiated at 5-7% effective rate.</t>
  </si>
  <si>
    <t xml:space="preserve">Used / refurb market</t>
  </si>
  <si>
    <t xml:space="preserve">Strong secondary market: refurbished MRI/CT typically 40-60% of new list, refurbished ultrasound 35-50%, refurbished DEXA 50-65%. Block Imaging, Oxford Instruments, Soma Tech, Avante Health Solutions are primary EU-active brokers. Spa/recovery equipment (cryo, IHHT, hyperbaric, Technogym) has thinner refurb market, 60-80% of new and limited supply.</t>
  </si>
  <si>
    <t xml:space="preserve">Key notes</t>
  </si>
  <si>
    <t xml:space="preserve">VAT recovery typical for medical-license entities (DE 19%, AT 20%, CH 8.1%, ES 21%, IT 22%). CE marking under MDR (EU 2017/745) required for medical devices; transition deadlines drove 2022-2024 price inflation of 5-8% on Class II/III devices. Energy/labor inflation 2022-2024 added ~10-15% to spa-build costs.</t>
  </si>
  <si>
    <t xml:space="preserve">Currency notes</t>
  </si>
  <si>
    <t xml:space="preserve">EUR baseline; CHF premium typically 10-15% above EUR for Swiss-built spa equipment.</t>
  </si>
  <si>
    <t xml:space="preserve">2. NORTH AMERICA</t>
  </si>
  <si>
    <t xml:space="preserve">Pricing vs Europe</t>
  </si>
  <si>
    <t xml:space="preserve">USD list prices typically 10-20% above EUR list at parity (before currency translation) for imaging and lab; spa and aesthetic equipment 5-15% above EUR. Driven by higher dealer margins, regulatory compliance overhead, and tort-litigation risk premium baked into pricing.</t>
  </si>
  <si>
    <t xml:space="preserve">FDA implications</t>
  </si>
  <si>
    <t xml:space="preserve">FDA 510(k) clearance or PMA required; longer time-to-market (typically +6-18 months vs CE) and OEM compliance costs flow into US list. Some EU-only models unavailable in US, forcing shift to alternative SKUs at higher cost. FDA-cleared whole-body MRI screening (Prenuvo, Ezra) operates as direct-pay specialty.</t>
  </si>
  <si>
    <t xml:space="preserve">Leasing market</t>
  </si>
  <si>
    <t xml:space="preserve">Highly developed equipment finance and operating-lease market; most luxury wellness operators lease imaging (typical 60-month term, 4-7% effective rate). DLL, Siemens Financial Services, GE HealthCare Financial Services dominate. Leasing penetration ~50-60% for imaging, ~25-35% for spa.</t>
  </si>
  <si>
    <t xml:space="preserve">Service network</t>
  </si>
  <si>
    <t xml:space="preserve">Dense OEM service footprint; 4-hour response SLA available in major metros at ~10-12% of capex annually.</t>
  </si>
  <si>
    <t xml:space="preserve">State-level sales tax 0-9.5%. Tariff exposure 2024-2026 elevated (Section 301 China tariffs hit Mindray/Edan ultrasound, some Technogym SKUs assembled in Asia). HIPAA compliance and EHR integration overhead 5-10% of IT capex.</t>
  </si>
  <si>
    <t xml:space="preserve">3. ASIA</t>
  </si>
  <si>
    <t xml:space="preserve">Regional manufacturing</t>
  </si>
  <si>
    <t xml:space="preserve">Mindray (China, Shenzhen) — global #3 in patient monitors and ultrasound; Edan (China) — ECG, ultrasound, monitors; Samsung Medison (Korea) — ultrasound, X-ray; United Imaging (China) — MRI/CT competitive with Siemens/GE/Philips at 30-50% lower price; Esaote (Italian-owned, AP manufacturing) — ultrasound. Lower input cost on patient monitoring, ECG, ultrasound and basic lab; near-parity on advanced imaging.</t>
  </si>
  <si>
    <t xml:space="preserve">Duty variation</t>
  </si>
  <si>
    <t xml:space="preserve">Singapore 0% on most medical devices (HSA-listed); Thailand 0-10% (most exempt under FDA-TH); UAE 0-5% (DHA/MOHAP-registered); Japan 0%; Korea 0-8%; China 0-4% with 13% VAT (medical generally reduced 9% or exempt for some categories); Hong Kong 0%.</t>
  </si>
  <si>
    <t xml:space="preserve">Strong in Singapore, Hong Kong, UAE, Japan, Seoul; thinner in Indonesia, Vietnam, secondary China cities. Mindray claims a service network in 190+ countries with regional service hubs.</t>
  </si>
  <si>
    <t xml:space="preserve">Asia-manufactured equipment (Mindray ultrasound, Samsung ultrasound, BMC sleep diagnostics) is increasingly used as a substitute in Russia post-2022. UAE has emerged as parallel-import transshipment hub. India offers Wipro GE-manufactured imaging at 10-25% discount to EU list.</t>
  </si>
  <si>
    <t xml:space="preserve">4. RUSSIA  — deepest detail: sanctions, parallel import, domestic alternatives</t>
  </si>
  <si>
    <t xml:space="preserve">Customs duties</t>
  </si>
  <si>
    <t xml:space="preserve">Medical equipment under HS Chapter 9018-9022 generally 0-5% (most diagnostic imaging, ECG, ultrasound, surgical instruments at 0-5%); some categories 5-10%. Decree 1042 (2008, with amendments) lists specific medical equipment exempt from import duty. Status to be re-verified per HS code at customs declaration.</t>
  </si>
  <si>
    <t xml:space="preserve">VAT</t>
  </si>
  <si>
    <t xml:space="preserve">20% standard VAT; many medical devices on the government-approved list (Decree 1042 / list of essential and vitally important medical devices) are VAT-exempt or charged at reduced 10% rate. Operator should validate exemption status per device with Russian customs broker.</t>
  </si>
  <si>
    <t xml:space="preserve">Currency volatility (RUB)</t>
  </si>
  <si>
    <t xml:space="preserve">RUB depreciated from ~89/USD end-2023 to ~110/USD end-2024 (~23% depreciation). Capex models should incorporate a 15-25% RUB depreciation buffer over 5-year planning horizon, with FX hedging or USD/EUR-denominated procurement contracts where possible. Multi-tranche procurement spread across the build cycle reduces FX shock.</t>
  </si>
  <si>
    <t xml:space="preserve">Sanctions affected categories</t>
  </si>
  <si>
    <t xml:space="preserve">Restricted (EU 833/2014 + US BIS): high-end imaging where &gt;USD 750k or dual-use components (advanced 3T+ MRI, PET-CT, certain CT, AI diagnostic platforms with cloud dependence on Western servers). De-listed/permitted under licenses: standard ultrasound, ECG, patient monitors, basic laboratory analyzers, sleep diagnostics, most spa/recovery equipment. US BIS License Exception MED (April 2024, 15 CFR 740.23) authorizes EAR99-classified medical devices for export to Russia without license. EU 833/2014 contains medical exemption for medicines and most medical devices.</t>
  </si>
  <si>
    <t xml:space="preserve">Parallel import mechanics</t>
  </si>
  <si>
    <t xml:space="preserve">Government Decree No. 506 (29 March 2022) and Ministry of Industry and Trade Order No. 1532 (April 2022, amended through 2024-2025) authorize parallel imports for many medical-equipment categories without trademark holder consent. Mechanism extended through 2025+. Side effects: OEM warranty void, no factory service contract, software updates and remote diagnostics often disabled, spare parts lead times 3-6 months via grey channels.</t>
  </si>
  <si>
    <t xml:space="preserve">OEM service post-2022</t>
  </si>
  <si>
    <t xml:space="preserve">Siemens Healthineers, GE HealthCare, Philips suspended new equipment sales and most service contracts to Russia after Feb 2022. Ongoing service for installed base is partial (humanitarian/medical-essential carve-outs). Russian system integrators (e.g., Medtech-M, Medrobotics, MMC, Intelmed, R-Pharm) source spare parts and provide third-party service. Lead times for spares 8-24 weeks; software/firmware support unreliable.</t>
  </si>
  <si>
    <t xml:space="preserve">Used / refurb (Russia)</t>
  </si>
  <si>
    <t xml:space="preserve">Active domestic and parallel-import refurb market — typically 40-60% of new EU list for imaging, 50-70% for spa equipment. Supply tightening on Western brands; expanding supply of Chinese-brand new and refurbished. Quality verification challenging without OEM service.</t>
  </si>
  <si>
    <t xml:space="preserve">Domestic alternatives &amp; substitutes</t>
  </si>
  <si>
    <t xml:space="preserve">ECG/Holter: Aktiv-Med, Medical Computer Systems (Neurosoft), Schiller-Reomed (JV). Ultrasound: limited domestic capacity, Mindray (China) and Samsung (Korea) dominate parallel-import substitution. Patient monitors: Triton ElectronicSystems, Kvazar. Sterilizers/autoclaves: Ozon-Med, KASIMOV-MEDIN, Tuttnauer (parallel). Laboratory analyzers: JSC EILITON, Reamed; Mindray and Roche-cobas (parallel) dominate premium. Hyperbaric/oxygen: Khrunichev-derivative manufacturers, Sechenov-affiliated. Cryotherapy: limited domestic; CryoBuilt, Mecotec parallel-import. Spa/recovery (saunas, IR, salt rooms): strong domestic capacity (TyloHelo licensed assembly, Helo-derivative, KLAFS parallel). Russian biomarker/longevity labs: Atlas, Genotek, MyGenetics offer epigenetic and microbiome panels at 30-50% of EU consumer prices.</t>
  </si>
  <si>
    <t xml:space="preserve">METHODOLOGY NOTE</t>
  </si>
  <si>
    <t xml:space="preserve">Cross-region adjustment</t>
  </si>
  <si>
    <t xml:space="preserve">Apply regional adjustments to base EUR OEM list price as follows: (1) Start with EUR list (Western Europe baseline). (2) Apply category-specific Russia uplift: imaging EUR list +25-40% (parallel import + logistics + FX buffer + grey-channel premium); spa/recovery EUR list +15-25%; lab/IT EUR list +10-20%; locally-sourced FF&amp;E -10 to -25% vs EU. (3) Add 15-25% RUB FX buffer for capex spread over 24-36 month build. (4) Add 8-12% installation/commissioning premium for sanctioned equipment requiring third-party service setup. (5) For Tier-1 international comparables (Lanserhof, CLP, Chenot), use Western Europe baseline directly — these operators procure at OEM list with EU service contracts. (6) Annual opex maintenance: assume 8-12% of capex for installed base in Russia (vs 6-10% in EU) to reflect parallel-channel spare-parts cost. (7) For methodology audit trail, document each line item's source: OEM list, distributor quote, refurb broker quote, peer-comparable price, or estimation triangulated from (a) global list, (b) Russia uplift factor, (c) FX assumption.</t>
  </si>
  <si>
    <t xml:space="preserve">RUSSIA RISK SUMMARY</t>
  </si>
  <si>
    <t xml:space="preserve">Customs + VAT</t>
  </si>
  <si>
    <t xml:space="preserve">0–5% duty under HS 9018-9022 with Decree 1042 carve-outs; 20% VAT standard, 10% reduced or exempt for many medical devices on the government essential-devices list. Operator must validate exemption per HS code with Russian customs broker.</t>
  </si>
  <si>
    <t xml:space="preserve">Sanctions affected</t>
  </si>
  <si>
    <t xml:space="preserve">RESTRICTED (EU 833/2014 + US BIS): 3T+ MRI premium class, PET-CT, advanced CT, AI cloud-dependent diagnostic platforms. PERMITTED under license/exemption: standard ultrasound, ECG, patient monitors, basic lab analyzers, sleep diagnostics, most spa/recovery. US BIS License Exception MED authorizes EAR99 medical devices since April 2024.</t>
  </si>
  <si>
    <t xml:space="preserve">Parallel import &amp; service risk</t>
  </si>
  <si>
    <t xml:space="preserve">Decree 506 (2022) authorizes parallel imports without trademark consent through 2025+. Side effects: OEM warranty void, no factory service contract, software updates and remote diagnostics often disabled, spare parts lead times 3–6 months via grey channels (8–24 weeks for spares). Imaging carries 25–40% premium.</t>
  </si>
  <si>
    <t xml:space="preserve">Domestic alternatives</t>
  </si>
  <si>
    <t xml:space="preserve">Mindray / United Imaging / Samsung Medison (ultrasound, CT, MRI parallel-import substitution); Neurosoft / Aktiv-Med / Schiller-Reomed JV (ECG, Holter); TyloHelo / KLAFS-licensed assembly (sauna); Triton / Kvazar (monitors); Atlas / Genotek / MyGenetics (epigenetic / microbiome / biomarker labs at 30–50% of EU consumer prices).</t>
  </si>
  <si>
    <t xml:space="preserve">SOURCES &amp; METHODOLOGY</t>
  </si>
  <si>
    <t xml:space="preserve">Bibliography of 56 cited sources, plus confidence assessment &amp; verification recommendations.</t>
  </si>
  <si>
    <t xml:space="preserve">Name</t>
  </si>
  <si>
    <t xml:space="preserve">Type</t>
  </si>
  <si>
    <t xml:space="preserve">Used for</t>
  </si>
  <si>
    <t xml:space="preserve">URL</t>
  </si>
  <si>
    <t xml:space="preserve">Date accessed</t>
  </si>
  <si>
    <t xml:space="preserve">Lanserhof Tegernsee — Package Longevity</t>
  </si>
  <si>
    <t xml:space="preserve">Operator price disclosure</t>
  </si>
  <si>
    <t xml:space="preserve">Longevity programme add-on price (EUR 5,113), base Classic therapy (EUR 2,940), Brain Health package</t>
  </si>
  <si>
    <t xml:space="preserve">https://lanserhof.com/en/lanserhof-tegernsee/treatments/package-longevity-tegernsee/</t>
  </si>
  <si>
    <t xml:space="preserve">Lanserhof Lans — Package Longevity</t>
  </si>
  <si>
    <t xml:space="preserve">Lanserhof Longevity standalone EUR 6,618 ex-accommodation</t>
  </si>
  <si>
    <t xml:space="preserve">https://lanserhof.com/en/lanserhof-lans/treatments/package-longevity-lans/</t>
  </si>
  <si>
    <t xml:space="preserve">SerenityWays — Lanserhof Tegernsee profile</t>
  </si>
  <si>
    <t xml:space="preserve">Industry aggregator</t>
  </si>
  <si>
    <t xml:space="preserve">Cross-validated programme pricing and totals (EUR 8,175 starting total 7-night)</t>
  </si>
  <si>
    <t xml:space="preserve">https://www.serenityways.com/clinics/lanserhof-tegernsee</t>
  </si>
  <si>
    <t xml:space="preserve">SHA Wellness Clinic — Advanced Longevity programme page</t>
  </si>
  <si>
    <t xml:space="preserve">Advanced Longevity 7n EUR 7,500 / 10n EUR 9,500 / 14n EUR 12,000</t>
  </si>
  <si>
    <t xml:space="preserve">https://shawellness.com/en/advanced-longevity/</t>
  </si>
  <si>
    <t xml:space="preserve">SerenityWays — SHA Spain prices</t>
  </si>
  <si>
    <t xml:space="preserve">SHA total stay including accommodation (EUR 12,520 / 7n / 2 guests, Deluxe Suite)</t>
  </si>
  <si>
    <t xml:space="preserve">https://www.serenityways.com/clinics/sha-spain</t>
  </si>
  <si>
    <t xml:space="preserve">Clinique La Prairie — Master Detox programme</t>
  </si>
  <si>
    <t xml:space="preserve">Master Detox CHF 20,950 / 7d / 6n</t>
  </si>
  <si>
    <t xml:space="preserve">https://www.cliniquelaprairie.com/programs/master-detox/</t>
  </si>
  <si>
    <t xml:space="preserve">SwissMedExpert — Clinique La Prairie pricing summary</t>
  </si>
  <si>
    <t xml:space="preserve">CLP programme range CHF 5,000-48,520 (Detox to Legendary Premium Revitalisation)</t>
  </si>
  <si>
    <t xml:space="preserve">https://swissmedexpert.com/clinic-la-prairie</t>
  </si>
  <si>
    <t xml:space="preserve">Chenot Palace Weggis — Programmes &amp; brochure</t>
  </si>
  <si>
    <t xml:space="preserve">Advanced Detox CHF 5,500 / 7n programme-only; Nest Room CHF 410/night; total starting CHF 8,370</t>
  </si>
  <si>
    <t xml:space="preserve">https://www.chenot.com/chenot-palace/weggis/programmes/</t>
  </si>
  <si>
    <t xml:space="preserve">Chenot Palace Weggis — 2024 Brochure (PDF)</t>
  </si>
  <si>
    <t xml:space="preserve">Operator publication</t>
  </si>
  <si>
    <t xml:space="preserve">Programme structure and inclusions</t>
  </si>
  <si>
    <t xml:space="preserve">https://www.chenot.com/wp-content/uploads/2024/05/Chenot-Palace-Weggis-Brochure-EN.pdf</t>
  </si>
  <si>
    <t xml:space="preserve">VIVAMAYR — Downloads (price lists)</t>
  </si>
  <si>
    <t xml:space="preserve">Modern Mayr Cure Classic Maria Worth EUR 3,825; Altaussee EUR 4,385; accommodation tiers</t>
  </si>
  <si>
    <t xml:space="preserve">https://www.vivamayr.com/en/downloads/</t>
  </si>
  <si>
    <t xml:space="preserve">VIVAMAYR Maria Worth pricelist (PDF, Jan 2024)</t>
  </si>
  <si>
    <t xml:space="preserve">Programme and accommodation EUR pricing</t>
  </si>
  <si>
    <t xml:space="preserve">https://www.vivamayr.com/app/uploads/2025/01/VIVAMAYR_MW_Preisliste_E_inkl.-Programme_15.01.2024.pdf</t>
  </si>
  <si>
    <t xml:space="preserve">Buchinger Wilhelmi Lake Constance — Arrangements &amp; Packages</t>
  </si>
  <si>
    <t xml:space="preserve">10-day fasting programme inclusions; voucher EUR 45/night</t>
  </si>
  <si>
    <t xml:space="preserve">https://www.buchinger-wilhelmi.com/en/buchinger-wilhelmi-lake-constance/arrangements-packages/</t>
  </si>
  <si>
    <t xml:space="preserve">Buchinger Wilhelmi — What we offer 2025 Lake Constance (PDF)</t>
  </si>
  <si>
    <t xml:space="preserve">2025 service and price catalogue</t>
  </si>
  <si>
    <t xml:space="preserve">https://www.buchinger-wilhelmi.com/wp-content/uploads/2024/11/What-we-offer-2025_web_V1.3.pdf</t>
  </si>
  <si>
    <t xml:space="preserve">Buchinger Wilhelmi — What we offer 2025 Marbella (PDF)</t>
  </si>
  <si>
    <t xml:space="preserve">Marbella service and price catalogue</t>
  </si>
  <si>
    <t xml:space="preserve">https://www.buchinger-wilhelmi.com/wp-content/uploads/2024/11/What-we-offer-2025_web_V1.0.pdf</t>
  </si>
  <si>
    <t xml:space="preserve">Six Senses — Wellness &amp; Longevity</t>
  </si>
  <si>
    <t xml:space="preserve">Operator disclosure</t>
  </si>
  <si>
    <t xml:space="preserve">Longevity programme structure across Six Senses properties</t>
  </si>
  <si>
    <t xml:space="preserve">https://www.sixsenses.com/en/wellness-spa/personalized-wellness/longevity/</t>
  </si>
  <si>
    <t xml:space="preserve">Six Senses 2025 Wellness Forecast (Hotel Online)</t>
  </si>
  <si>
    <t xml:space="preserve">Industry coverage</t>
  </si>
  <si>
    <t xml:space="preserve">Six Senses Place context, female wellness programme launch</t>
  </si>
  <si>
    <t xml:space="preserve">https://www.hotel-online.com/news/six-senses-2025-wellness-forecast</t>
  </si>
  <si>
    <t xml:space="preserve">Anova IRM Germany — Diagnostic Work-Up</t>
  </si>
  <si>
    <t xml:space="preserve">Whole-body MRI starter EUR 2,490</t>
  </si>
  <si>
    <t xml:space="preserve">https://anova-irm.com/en/diagnostics/diagnostic-work-up</t>
  </si>
  <si>
    <t xml:space="preserve">Radiologie Dr Jung — MRI cost overview</t>
  </si>
  <si>
    <t xml:space="preserve">German self-pay whole-body MRI EUR 1,200-1,500</t>
  </si>
  <si>
    <t xml:space="preserve">https://www.radiologie-dr-jung.de/en/mri-cost-overview/</t>
  </si>
  <si>
    <t xml:space="preserve">Prenuvo — Pricing</t>
  </si>
  <si>
    <t xml:space="preserve">Whole-body MRI USD 2,499 (US benchmark)</t>
  </si>
  <si>
    <t xml:space="preserve">https://prenuvo.com/pricing</t>
  </si>
  <si>
    <t xml:space="preserve">Ezra — MRI Pricing</t>
  </si>
  <si>
    <t xml:space="preserve">Whole-body MRI USD 1,995 (US benchmark)</t>
  </si>
  <si>
    <t xml:space="preserve">https://www.ezra.com/pricing</t>
  </si>
  <si>
    <t xml:space="preserve">Sleep Foundation — Sleep Study Cost</t>
  </si>
  <si>
    <t xml:space="preserve">Industry guide</t>
  </si>
  <si>
    <t xml:space="preserve">Polysomnography cost ranges US/EU</t>
  </si>
  <si>
    <t xml:space="preserve">https://www.sleepfoundation.org/sleep-studies/how-much-does-a-sleep-study-cost</t>
  </si>
  <si>
    <t xml:space="preserve">TruDiagnostic — TruAge</t>
  </si>
  <si>
    <t xml:space="preserve">Manufacturer/operator price</t>
  </si>
  <si>
    <t xml:space="preserve">Epigenetic biological age test USD 499; UK GBP 380</t>
  </si>
  <si>
    <t xml:space="preserve">https://shop.trudiagnostic.com/products/truage-complete-epigenetic-collection</t>
  </si>
  <si>
    <t xml:space="preserve">Longevity Advice — 11 Best Biological Age Tests 2024</t>
  </si>
  <si>
    <t xml:space="preserve">Industry comparison</t>
  </si>
  <si>
    <t xml:space="preserve">DTC biological-age test prices (TruDiagnostic, GlycanAge, TruMe, EpiAging, Muhdo)</t>
  </si>
  <si>
    <t xml:space="preserve">https://www.longevityadvice.com/best-biological-age-tests/</t>
  </si>
  <si>
    <t xml:space="preserve">Viome — Microbiome test</t>
  </si>
  <si>
    <t xml:space="preserve">Viome USD 119 baseline</t>
  </si>
  <si>
    <t xml:space="preserve">https://www.viome.com/</t>
  </si>
  <si>
    <t xml:space="preserve">InnerBody — Viome review</t>
  </si>
  <si>
    <t xml:space="preserve">Industry review</t>
  </si>
  <si>
    <t xml:space="preserve">Viome and microbiome consumer pricing context</t>
  </si>
  <si>
    <t xml:space="preserve">https://www.innerbody.com/viome-review</t>
  </si>
  <si>
    <t xml:space="preserve">HVS — U.S. Hotel Development Cost Survey 2024</t>
  </si>
  <si>
    <t xml:space="preserve">Hotel benchmark</t>
  </si>
  <si>
    <t xml:space="preserve">Luxury per-key USD median &gt;1.0M; full-service &gt;400k; midscale 160-170k</t>
  </si>
  <si>
    <t xml:space="preserve">https://www.hvs.com/article/9999-HVS-US-Hotel-Development-Cost-Survey-2024</t>
  </si>
  <si>
    <t xml:space="preserve">HVS — U.S. Hotel Development Cost Survey 2025</t>
  </si>
  <si>
    <t xml:space="preserve">Cross-validation of luxury/full-service per-key costs</t>
  </si>
  <si>
    <t xml:space="preserve">https://www.hvs.com/article/10219-hvs-us-hotel-development-cost-survey-2025</t>
  </si>
  <si>
    <t xml:space="preserve">Cushman &amp; Wakefield — Hotel Investor Compass 2024</t>
  </si>
  <si>
    <t xml:space="preserve">Industry report</t>
  </si>
  <si>
    <t xml:space="preserve">European luxury investment demand and capital deployment context</t>
  </si>
  <si>
    <t xml:space="preserve">https://www.cushmanwakefield.com/en/insights/hotel-investor-compass</t>
  </si>
  <si>
    <t xml:space="preserve">Cushman &amp; Wakefield — Hotel Investor Compass 2024 Spain</t>
  </si>
  <si>
    <t xml:space="preserve">Iberian luxury investor sentiment 4.3/5</t>
  </si>
  <si>
    <t xml:space="preserve">https://www.cushmanwakefield.com/en/spain/news/2024/05/hotel-investor-campass-2024</t>
  </si>
  <si>
    <t xml:space="preserve">Statista — European hotel construction costs by city 2024</t>
  </si>
  <si>
    <t xml:space="preserve">Industry data</t>
  </si>
  <si>
    <t xml:space="preserve">European city-level hotel build cost variability</t>
  </si>
  <si>
    <t xml:space="preserve">https://www.statista.com/statistics/1380696/hotel-construction-costs-european-cities/</t>
  </si>
  <si>
    <t xml:space="preserve">Global Wellness Institute — Wellness Real Estate 2024 (PDF)</t>
  </si>
  <si>
    <t xml:space="preserve">Wellness real estate market USD 548B (2024) growing to USD 1.1T by 2029; longevity integration trends</t>
  </si>
  <si>
    <t xml:space="preserve">https://globalwellnessinstitute.org/wp-content/uploads/2024/05/GWI-Wellness-Real-Estate-2024.pdf</t>
  </si>
  <si>
    <t xml:space="preserve">Global Wellness Institute — Build Well to Live Well 2025</t>
  </si>
  <si>
    <t xml:space="preserve">Wellness real estate growth statistics</t>
  </si>
  <si>
    <t xml:space="preserve">https://globalwellnessinstitute.org/press-room/press-releases/build-well-to-live-well-2025/</t>
  </si>
  <si>
    <t xml:space="preserve">Federal Register — License Exception MED, 89 FR (Apr 29 2024)</t>
  </si>
  <si>
    <t xml:space="preserve">Regulatory primary source</t>
  </si>
  <si>
    <t xml:space="preserve">US BIS sanctions framework for medical devices to Russia, Belarus, occupied Ukraine</t>
  </si>
  <si>
    <t xml:space="preserve">https://www.federalregister.gov/documents/2024/04/29/2024-09076/amendment-to-existing-controls-on-russia-and-belarus-under-the-export-administration-regulations-ear</t>
  </si>
  <si>
    <t xml:space="preserve">BIS — License Exception Medical Devices (PDF)</t>
  </si>
  <si>
    <t xml:space="preserve">Eligible items, EAR99 scope, recordkeeping</t>
  </si>
  <si>
    <t xml:space="preserve">https://www.bis.gov/media/961</t>
  </si>
  <si>
    <t xml:space="preserve">European Commission — Sanctions FAQ Medicines and Medical Devices (PDF)</t>
  </si>
  <si>
    <t xml:space="preserve">EU 833/2014 medical exemption clarification</t>
  </si>
  <si>
    <t xml:space="preserve">https://finance.ec.europa.eu/system/files/2023-02/faqs-sanctions-russia-medical_en.pdf</t>
  </si>
  <si>
    <t xml:space="preserve">EUR-Lex — Regulation 833/2014 (consolidated)</t>
  </si>
  <si>
    <t xml:space="preserve">EU sanctions baseline including medical exemptions</t>
  </si>
  <si>
    <t xml:space="preserve">https://eur-lex.europa.eu/eli/reg/2014/833/oj/eng</t>
  </si>
  <si>
    <t xml:space="preserve">Brace Law Firm — Parallel Import in Russia: Medicines &amp; Medical Devices</t>
  </si>
  <si>
    <t xml:space="preserve">Legal analysis</t>
  </si>
  <si>
    <t xml:space="preserve">Decree 506 (March 2022) and Order 1532 medical-device parallel import scope</t>
  </si>
  <si>
    <t xml:space="preserve">https://brace-lf.com/en/analytics/pharmaceutical-and-medical-law/parallel-import-russia-medicines-medical-devices</t>
  </si>
  <si>
    <t xml:space="preserve">Morgan Lewis — Update: Russia Legalizes Parallel Import of Certain Goods</t>
  </si>
  <si>
    <t xml:space="preserve">Decree 506 list of 55 categories including pharma and medical products</t>
  </si>
  <si>
    <t xml:space="preserve">https://www.morganlewis.com/pubs/2022/04/update-russia-legalizes-parallel-import-of-certain-goods</t>
  </si>
  <si>
    <t xml:space="preserve">Denuo — Regulation of parallel imports in 2024</t>
  </si>
  <si>
    <t xml:space="preserve">Parallel-import mechanism continuation through 2025</t>
  </si>
  <si>
    <t xml:space="preserve">https://denuo.legal/en/insights/news/240711/</t>
  </si>
  <si>
    <t xml:space="preserve">US ITA — Country Commercial Guide: Russia Medical Equipment</t>
  </si>
  <si>
    <t xml:space="preserve">Government commercial guide</t>
  </si>
  <si>
    <t xml:space="preserve">Russian medical equipment market structure, importer landscape</t>
  </si>
  <si>
    <t xml:space="preserve">https://www.trade.gov/country-commercial-guides/russia-medical-equipment</t>
  </si>
  <si>
    <t xml:space="preserve">Securiti — Russian Federal Law No. 152-FZ explainer</t>
  </si>
  <si>
    <t xml:space="preserve">Compliance reference</t>
  </si>
  <si>
    <t xml:space="preserve">Russia 152-FZ data localization requirements for personal/medical data</t>
  </si>
  <si>
    <t xml:space="preserve">https://securiti.ai/russian-federal-law-no-152-fz/</t>
  </si>
  <si>
    <t xml:space="preserve">Konsu — New requirements for localization of personal data in Russia (July 2025)</t>
  </si>
  <si>
    <t xml:space="preserve">152-FZ updates including 420-FZ (Nov 2024) increased fines (up to RUB 18M) and 23-FZ (Feb 2025)</t>
  </si>
  <si>
    <t xml:space="preserve">https://konsugroup.com/en/news/new-requirements-personal-data-protection-russia-2025-07/</t>
  </si>
  <si>
    <t xml:space="preserve">WTO — Russian Federation Tariff Profile (PDF)</t>
  </si>
  <si>
    <t xml:space="preserve">Russian customs tariff structure baseline</t>
  </si>
  <si>
    <t xml:space="preserve">https://www.wto.org/english/res_e/statis_e/daily_update_e/tariff_profiles/RU_E.pdf</t>
  </si>
  <si>
    <t xml:space="preserve">Tonlexing — Customs Clearance in Russia 2025 guide</t>
  </si>
  <si>
    <t xml:space="preserve">Russia 20% standard VAT and 10% reduced rate for essential goods (medical)</t>
  </si>
  <si>
    <t xml:space="preserve">https://www.tonlexing.com/customs-clearance-in-russia/</t>
  </si>
  <si>
    <t xml:space="preserve">Mindray — Unlimited Potentials: Mindray's Story in Russia</t>
  </si>
  <si>
    <t xml:space="preserve">Manufacturer publication</t>
  </si>
  <si>
    <t xml:space="preserve">Mindray market position in Russia (top-3 imported medical devices, since 2007)</t>
  </si>
  <si>
    <t xml:space="preserve">https://www.mindray.com/en/media-center/blogs/unlimited-potentials-mindray-s-story-in-russia</t>
  </si>
  <si>
    <t xml:space="preserve">TAdviser — Medical Equipment (Russian Market)</t>
  </si>
  <si>
    <t xml:space="preserve">Russian medical-equipment market size RUB 129.2B; brand share; substitution dynamics</t>
  </si>
  <si>
    <t xml:space="preserve">https://tadviser.com/index.php/Article:Medical_Equipment_(Russian_Market)</t>
  </si>
  <si>
    <t xml:space="preserve">Schmidt &amp; Schmidt — New Rules for Medical Device Registration in Russia (Mar 2025)</t>
  </si>
  <si>
    <t xml:space="preserve">Regulatory analysis</t>
  </si>
  <si>
    <t xml:space="preserve">EAEU/Russia medical device registration changes, lead time implications</t>
  </si>
  <si>
    <t xml:space="preserve">https://schmidt-export.com/news/new-rules-registration-medical-devices-starting-march-1-2025-russia</t>
  </si>
  <si>
    <t xml:space="preserve">FocusEconomics — Russia Exchange Rate Forecast</t>
  </si>
  <si>
    <t xml:space="preserve">Macro data</t>
  </si>
  <si>
    <t xml:space="preserve">RUB/USD trajectory 2024 (RUB 109.8 end-2024 vs 89.4 end-2023)</t>
  </si>
  <si>
    <t xml:space="preserve">https://www.focus-economics.com/country-indicator/russia/exchange-rate/</t>
  </si>
  <si>
    <t xml:space="preserve">Asia Times — Ruble volatility exposes Russia's emerging economic crisis (Dec 2024)</t>
  </si>
  <si>
    <t xml:space="preserve">Macro analysis</t>
  </si>
  <si>
    <t xml:space="preserve">Ruble depreciation context for FX buffer methodology</t>
  </si>
  <si>
    <t xml:space="preserve">https://asiatimes.com/2024/12/ruble-volatility-exposes-russias-emerging-economic-crisis/</t>
  </si>
  <si>
    <t xml:space="preserve">Cooley — New License Exception Authorizes Medical Device Exports to Russia</t>
  </si>
  <si>
    <t xml:space="preserve">Practical compliance scope of License Exception MED</t>
  </si>
  <si>
    <t xml:space="preserve">https://www.cooley.com/news/insight/2024/2024-05-06-new-license-exception-authorizes-exports-of-previously-restricted-medical-devices-and-related-items</t>
  </si>
  <si>
    <t xml:space="preserve">Curtis — EU 14th Sanctions Package (Regulation 2024/1745)</t>
  </si>
  <si>
    <t xml:space="preserve">Latest EU 833/2014 amendments through 2024</t>
  </si>
  <si>
    <t xml:space="preserve">https://www.curtis.com/our-firm/news/the-eu-adopts-its-14th-sanctions-package-against-russia</t>
  </si>
  <si>
    <t xml:space="preserve">Hospitality Net — Six Senses 2025 Wellness Forecast</t>
  </si>
  <si>
    <t xml:space="preserve">Six Senses retreat structure and pricing context</t>
  </si>
  <si>
    <t xml:space="preserve">https://www.hospitalitynet.org/news/4125285.html</t>
  </si>
  <si>
    <t xml:space="preserve">BodySpec — DEXA scan cost in major cities</t>
  </si>
  <si>
    <t xml:space="preserve">DEXA scan US/UK consumer benchmarks</t>
  </si>
  <si>
    <t xml:space="preserve">https://www.bodyspec.com/blog/post/how_much_does_a_dexa_scan_cost_in_major_cities</t>
  </si>
  <si>
    <t xml:space="preserve">Block Imaging — Bone Densitometer Price Guide</t>
  </si>
  <si>
    <t xml:space="preserve">Refurb broker pricing</t>
  </si>
  <si>
    <t xml:space="preserve">DEXA hardware/refurb pricing reference</t>
  </si>
  <si>
    <t xml:space="preserve">https://www.blockimaging.com/ge-and-hologic-bone-densitometer-price-cost-guide</t>
  </si>
  <si>
    <t xml:space="preserve">Healing Holidays — Lanserhof Tegernsee accommodation</t>
  </si>
  <si>
    <t xml:space="preserve">Operator/distributor disclosure</t>
  </si>
  <si>
    <t xml:space="preserve">Cross-validated room rates and package totals</t>
  </si>
  <si>
    <t xml:space="preserve">https://www.healingholidays.com/accommodation/germany/lanserhof-tegernsee</t>
  </si>
  <si>
    <t xml:space="preserve">Globetrender — Six Senses to open three urban wellness resorts in 2026</t>
  </si>
  <si>
    <t xml:space="preserve">Six Senses London (Whiteley) capacity (109 rooms + 14 residences); 2026 opening</t>
  </si>
  <si>
    <t xml:space="preserve">https://globetrender.com/2025/12/02/four-new-six-senses-resorts-2026/</t>
  </si>
  <si>
    <t xml:space="preserve">CONFIDENCE ASSESSMENT</t>
  </si>
  <si>
    <t xml:space="preserve">Most reliable</t>
  </si>
  <si>
    <t xml:space="preserve">Western Europe (€) and North America (USD) prices for kitchen, gym, spa, and IT/PMS — sourced from live dealer pages and OEM list pricing (Rational, Technogym, Pilates, Klafs, Mews, Salesforce). Variance to actual quote typically +/-10%.</t>
  </si>
  <si>
    <t xml:space="preserve">Moderately reliable</t>
  </si>
  <si>
    <t xml:space="preserve">Imaging (MRI/CT/DEXA), lab analyzers, and medical infrastructure in EU/NA — sourced from refurbisher pricelists (Block Imaging, Avante, Soma Tech) and published OEM quotes. New-equipment list prices carry +/-15% variance; refurb quotes are firmer.</t>
  </si>
  <si>
    <t xml:space="preserve">Weakest — Russia (₽) column</t>
  </si>
  <si>
    <t xml:space="preserve">Russia prices are TRIANGULATED, not quoted. Method: EU EUR list + 25–40% imaging uplift (parallel-import premium + FX buffer) + 15–25% spa/recovery uplift + 10–20% lab/IT uplift; minus 10–25% on locally-sourced FF&amp;E. Confidence: Medium for spa/IT, Low for sanctioned imaging. Variance to actual quote +/-25–40%.</t>
  </si>
  <si>
    <t xml:space="preserve">Pass-through items</t>
  </si>
  <si>
    <t xml:space="preserve">Advanced biomarker panels, CGM kits, microbiome kits, epigenetic age testing — these are zero-capex (consumables billed per guest); priced as pass-through. Volumes affect margin not capex.</t>
  </si>
  <si>
    <t xml:space="preserve">VERIFICATION RECOMMENDATIONS BEFORE COMMITTING CAPEX</t>
  </si>
  <si>
    <t xml:space="preserve">Russia imaging — REQUIRED</t>
  </si>
  <si>
    <t xml:space="preserve">Commission a quote from a Russian medical equipment broker before locking capex. Recommended: M-Equipment (Москва), MedTechMarket, Medtech-M, or a Sechenov-University-affiliated procurement consultant. Specifically for: MRI 3T, CT 128-slice, DEXA, mammography. Expect 25–40% variance from this workbook's estimates.</t>
  </si>
  <si>
    <t xml:space="preserve">Russia spa &amp; banya — RECOMMENDED</t>
  </si>
  <si>
    <t xml:space="preserve">Validate with a Russian spa-build GC (Termopark, Russky Banya, Banya Project) since banya complex pricing varies 2–3x with construction method and species (kedr/lipa/dub). The workbook's RUB estimates assume turnkey log-construction and may understate by 15–30% for premium kedr.</t>
  </si>
  <si>
    <t xml:space="preserve">Western Europe imaging — OPTIONAL</t>
  </si>
  <si>
    <t xml:space="preserve">Cross-check with Block Imaging, Avante, or Soma Tech for same-class refurb units; OEM list pricing tends to discount 10–15% for &gt;€1M bundles.</t>
  </si>
  <si>
    <t xml:space="preserve">IT / Software — OPTIONAL</t>
  </si>
  <si>
    <t xml:space="preserve">Mews, Salesforce, Athenahealth pricing scales with key count and provider count. Validate with current vendor quote at signing. Subscription price drift +5–8% / yr is typical.</t>
  </si>
  <si>
    <t xml:space="preserve">Procedure &amp; package pricing — OPTIONAL</t>
  </si>
  <si>
    <t xml:space="preserve">Procedure prices anchored to public Lanserhof/CLP/SHA disclosure plus EU self-pay clinics (Anova IRM, Radiologie Dr Jung, Prenuvo, Ezra). Russia targets are positioning estimates — validate vs Sechenov and Rassvet Clinic published self-pay menus.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</si>
</sst>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€#,##0;&quot;(€&quot;#,##0\);\-"/>
    <numFmt numFmtId="166" formatCode="\$#,##0;&quot;($&quot;#,##0\);\-"/>
    <numFmt numFmtId="167" formatCode="\₽#,##0;&quot;(₽&quot;#,##0\);\-"/>
    <numFmt numFmtId="168" formatCode="#,##0;\(#,##0\);\-"/>
    <numFmt numFmtId="169" formatCode="0.0%;\(0.0%\);\-"/>
    <numFmt numFmtId="170" formatCode="0.0"/>
    <numFmt numFmtId="171" formatCode="0"/>
    <numFmt numFmtId="172" formatCode="0.00"/>
    <numFmt numFmtId="173" formatCode="0.0%"/>
    <numFmt numFmtId="174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61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lanserhof.com/en/lanserhof-tegernsee/treatments/package-longevity-tegernsee/" TargetMode="External"/><Relationship Id="rId2" Type="http://schemas.openxmlformats.org/officeDocument/2006/relationships/hyperlink" Target="https://lanserhof.com/en/lanserhof-lans/treatments/package-longevity-lans/" TargetMode="External"/><Relationship Id="rId3" Type="http://schemas.openxmlformats.org/officeDocument/2006/relationships/hyperlink" Target="https://www.serenityways.com/clinics/lanserhof-tegernsee" TargetMode="External"/><Relationship Id="rId4" Type="http://schemas.openxmlformats.org/officeDocument/2006/relationships/hyperlink" Target="https://shawellness.com/en/advanced-longevity/" TargetMode="External"/><Relationship Id="rId5" Type="http://schemas.openxmlformats.org/officeDocument/2006/relationships/hyperlink" Target="https://www.serenityways.com/clinics/sha-spain" TargetMode="External"/><Relationship Id="rId6" Type="http://schemas.openxmlformats.org/officeDocument/2006/relationships/hyperlink" Target="https://www.cliniquelaprairie.com/programs/master-detox/" TargetMode="External"/><Relationship Id="rId7" Type="http://schemas.openxmlformats.org/officeDocument/2006/relationships/hyperlink" Target="https://swissmedexpert.com/clinic-la-prairie" TargetMode="External"/><Relationship Id="rId8" Type="http://schemas.openxmlformats.org/officeDocument/2006/relationships/hyperlink" Target="https://www.chenot.com/chenot-palace/weggis/programmes/" TargetMode="External"/><Relationship Id="rId9" Type="http://schemas.openxmlformats.org/officeDocument/2006/relationships/hyperlink" Target="https://www.chenot.com/wp-content/uploads/2024/05/Chenot-Palace-Weggis-Brochure-EN.pdf" TargetMode="External"/><Relationship Id="rId10" Type="http://schemas.openxmlformats.org/officeDocument/2006/relationships/hyperlink" Target="https://www.vivamayr.com/en/downloads/" TargetMode="External"/><Relationship Id="rId11" Type="http://schemas.openxmlformats.org/officeDocument/2006/relationships/hyperlink" Target="https://www.vivamayr.com/app/uploads/2025/01/VIVAMAYR_MW_Preisliste_E_inkl.-Programme_15.01.2024.pdf" TargetMode="External"/><Relationship Id="rId12" Type="http://schemas.openxmlformats.org/officeDocument/2006/relationships/hyperlink" Target="https://www.buchinger-wilhelmi.com/en/buchinger-wilhelmi-lake-constance/arrangements-packages/" TargetMode="External"/><Relationship Id="rId13" Type="http://schemas.openxmlformats.org/officeDocument/2006/relationships/hyperlink" Target="https://www.buchinger-wilhelmi.com/wp-content/uploads/2024/11/What-we-offer-2025_web_V1.3.pdf" TargetMode="External"/><Relationship Id="rId14" Type="http://schemas.openxmlformats.org/officeDocument/2006/relationships/hyperlink" Target="https://www.buchinger-wilhelmi.com/wp-content/uploads/2024/11/What-we-offer-2025_web_V1.0.pdf" TargetMode="External"/><Relationship Id="rId15" Type="http://schemas.openxmlformats.org/officeDocument/2006/relationships/hyperlink" Target="https://www.sixsenses.com/en/wellness-spa/personalized-wellness/longevity/" TargetMode="External"/><Relationship Id="rId16" Type="http://schemas.openxmlformats.org/officeDocument/2006/relationships/hyperlink" Target="https://www.hotel-online.com/news/six-senses-2025-wellness-forecast" TargetMode="External"/><Relationship Id="rId17" Type="http://schemas.openxmlformats.org/officeDocument/2006/relationships/hyperlink" Target="https://anova-irm.com/en/diagnostics/diagnostic-work-up" TargetMode="External"/><Relationship Id="rId18" Type="http://schemas.openxmlformats.org/officeDocument/2006/relationships/hyperlink" Target="https://www.radiologie-dr-jung.de/en/mri-cost-overview/" TargetMode="External"/><Relationship Id="rId19" Type="http://schemas.openxmlformats.org/officeDocument/2006/relationships/hyperlink" Target="https://prenuvo.com/pricing" TargetMode="External"/><Relationship Id="rId20" Type="http://schemas.openxmlformats.org/officeDocument/2006/relationships/hyperlink" Target="https://www.ezra.com/pricing" TargetMode="External"/><Relationship Id="rId21" Type="http://schemas.openxmlformats.org/officeDocument/2006/relationships/hyperlink" Target="https://www.sleepfoundation.org/sleep-studies/how-much-does-a-sleep-study-cost" TargetMode="External"/><Relationship Id="rId22" Type="http://schemas.openxmlformats.org/officeDocument/2006/relationships/hyperlink" Target="https://shop.trudiagnostic.com/products/truage-complete-epigenetic-collection" TargetMode="External"/><Relationship Id="rId23" Type="http://schemas.openxmlformats.org/officeDocument/2006/relationships/hyperlink" Target="https://www.longevityadvice.com/best-biological-age-tests/" TargetMode="External"/><Relationship Id="rId24" Type="http://schemas.openxmlformats.org/officeDocument/2006/relationships/hyperlink" Target="https://www.viome.com/" TargetMode="External"/><Relationship Id="rId25" Type="http://schemas.openxmlformats.org/officeDocument/2006/relationships/hyperlink" Target="https://www.innerbody.com/viome-review" TargetMode="External"/><Relationship Id="rId26" Type="http://schemas.openxmlformats.org/officeDocument/2006/relationships/hyperlink" Target="https://www.hvs.com/article/9999-HVS-US-Hotel-Development-Cost-Survey-2024" TargetMode="External"/><Relationship Id="rId27" Type="http://schemas.openxmlformats.org/officeDocument/2006/relationships/hyperlink" Target="https://www.hvs.com/article/10219-hvs-us-hotel-development-cost-survey-2025" TargetMode="External"/><Relationship Id="rId28" Type="http://schemas.openxmlformats.org/officeDocument/2006/relationships/hyperlink" Target="https://www.cushmanwakefield.com/en/insights/hotel-investor-compass" TargetMode="External"/><Relationship Id="rId29" Type="http://schemas.openxmlformats.org/officeDocument/2006/relationships/hyperlink" Target="https://www.cushmanwakefield.com/en/spain/news/2024/05/hotel-investor-campass-2024" TargetMode="External"/><Relationship Id="rId30" Type="http://schemas.openxmlformats.org/officeDocument/2006/relationships/hyperlink" Target="https://www.statista.com/statistics/1380696/hotel-construction-costs-european-cities/" TargetMode="External"/><Relationship Id="rId31" Type="http://schemas.openxmlformats.org/officeDocument/2006/relationships/hyperlink" Target="https://globalwellnessinstitute.org/wp-content/uploads/2024/05/GWI-Wellness-Real-Estate-2024.pdf" TargetMode="External"/><Relationship Id="rId32" Type="http://schemas.openxmlformats.org/officeDocument/2006/relationships/hyperlink" Target="https://globalwellnessinstitute.org/press-room/press-releases/build-well-to-live-well-2025/" TargetMode="External"/><Relationship Id="rId33" Type="http://schemas.openxmlformats.org/officeDocument/2006/relationships/hyperlink" Target="https://www.federalregister.gov/documents/2024/04/29/2024-09076/amendment-to-existing-controls-on-russia-and-belarus-under-the-export-administration-regulations-ear" TargetMode="External"/><Relationship Id="rId34" Type="http://schemas.openxmlformats.org/officeDocument/2006/relationships/hyperlink" Target="https://www.bis.gov/media/961" TargetMode="External"/><Relationship Id="rId35" Type="http://schemas.openxmlformats.org/officeDocument/2006/relationships/hyperlink" Target="https://finance.ec.europa.eu/system/files/2023-02/faqs-sanctions-russia-medical_en.pdf" TargetMode="External"/><Relationship Id="rId36" Type="http://schemas.openxmlformats.org/officeDocument/2006/relationships/hyperlink" Target="https://eur-lex.europa.eu/eli/reg/2014/833/oj/eng" TargetMode="External"/><Relationship Id="rId37" Type="http://schemas.openxmlformats.org/officeDocument/2006/relationships/hyperlink" Target="https://brace-lf.com/en/analytics/pharmaceutical-and-medical-law/parallel-import-russia-medicines-medical-devices" TargetMode="External"/><Relationship Id="rId38" Type="http://schemas.openxmlformats.org/officeDocument/2006/relationships/hyperlink" Target="https://www.morganlewis.com/pubs/2022/04/update-russia-legalizes-parallel-import-of-certain-goods" TargetMode="External"/><Relationship Id="rId39" Type="http://schemas.openxmlformats.org/officeDocument/2006/relationships/hyperlink" Target="https://denuo.legal/en/insights/news/240711/" TargetMode="External"/><Relationship Id="rId40" Type="http://schemas.openxmlformats.org/officeDocument/2006/relationships/hyperlink" Target="https://www.trade.gov/country-commercial-guides/russia-medical-equipment" TargetMode="External"/><Relationship Id="rId41" Type="http://schemas.openxmlformats.org/officeDocument/2006/relationships/hyperlink" Target="https://securiti.ai/russian-federal-law-no-152-fz/" TargetMode="External"/><Relationship Id="rId42" Type="http://schemas.openxmlformats.org/officeDocument/2006/relationships/hyperlink" Target="https://konsugroup.com/en/news/new-requirements-personal-data-protection-russia-2025-07/" TargetMode="External"/><Relationship Id="rId43" Type="http://schemas.openxmlformats.org/officeDocument/2006/relationships/hyperlink" Target="https://www.wto.org/english/res_e/statis_e/daily_update_e/tariff_profiles/RU_E.pdf" TargetMode="External"/><Relationship Id="rId44" Type="http://schemas.openxmlformats.org/officeDocument/2006/relationships/hyperlink" Target="https://www.tonlexing.com/customs-clearance-in-russia/" TargetMode="External"/><Relationship Id="rId45" Type="http://schemas.openxmlformats.org/officeDocument/2006/relationships/hyperlink" Target="https://www.mindray.com/en/media-center/blogs/unlimited-potentials-mindray-s-story-in-russia" TargetMode="External"/><Relationship Id="rId46" Type="http://schemas.openxmlformats.org/officeDocument/2006/relationships/hyperlink" Target="https://tadviser.com/index.php/Article:Medical_Equipment_(Russian_Market)" TargetMode="External"/><Relationship Id="rId47" Type="http://schemas.openxmlformats.org/officeDocument/2006/relationships/hyperlink" Target="https://schmidt-export.com/news/new-rules-registration-medical-devices-starting-march-1-2025-russia" TargetMode="External"/><Relationship Id="rId48" Type="http://schemas.openxmlformats.org/officeDocument/2006/relationships/hyperlink" Target="https://www.focus-economics.com/country-indicator/russia/exchange-rate/" TargetMode="External"/><Relationship Id="rId49" Type="http://schemas.openxmlformats.org/officeDocument/2006/relationships/hyperlink" Target="https://asiatimes.com/2024/12/ruble-volatility-exposes-russias-emerging-economic-crisis/" TargetMode="External"/><Relationship Id="rId50" Type="http://schemas.openxmlformats.org/officeDocument/2006/relationships/hyperlink" Target="https://www.cooley.com/news/insight/2024/2024-05-06-new-license-exception-authorizes-exports-of-previously-restricted-medical-devices-and-related-items" TargetMode="External"/><Relationship Id="rId51" Type="http://schemas.openxmlformats.org/officeDocument/2006/relationships/hyperlink" Target="https://www.curtis.com/our-firm/news/the-eu-adopts-its-14th-sanctions-package-against-russia" TargetMode="External"/><Relationship Id="rId52" Type="http://schemas.openxmlformats.org/officeDocument/2006/relationships/hyperlink" Target="https://www.hospitalitynet.org/news/4125285.html" TargetMode="External"/><Relationship Id="rId53" Type="http://schemas.openxmlformats.org/officeDocument/2006/relationships/hyperlink" Target="https://www.bodyspec.com/blog/post/how_much_does_a_dexa_scan_cost_in_major_cities" TargetMode="External"/><Relationship Id="rId54" Type="http://schemas.openxmlformats.org/officeDocument/2006/relationships/hyperlink" Target="https://www.blockimaging.com/ge-and-hologic-bone-densitometer-price-cost-guide" TargetMode="External"/><Relationship Id="rId55" Type="http://schemas.openxmlformats.org/officeDocument/2006/relationships/hyperlink" Target="https://www.healingholidays.com/accommodation/germany/lanserhof-tegernsee" TargetMode="External"/><Relationship Id="rId56" Type="http://schemas.openxmlformats.org/officeDocument/2006/relationships/hyperlink" Target="https://globetrender.com/2025/12/02/four-new-six-senses-resorts-2026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10"/>
  </cols>
  <sheetData>
    <row r="1" customFormat="false" ht="15" hidden="false" customHeight="true" outlineLevel="0" collapsed="false">
      <c r="A1" s="2"/>
      <c r="B1" s="2"/>
      <c r="C1" s="2"/>
    </row>
    <row r="2" customFormat="false" ht="21.75" hidden="false" customHeight="true" outlineLevel="0" collapsed="false">
      <c r="A2" s="2"/>
      <c r="B2" s="3" t="s">
        <v>0</v>
      </c>
      <c r="C2" s="2"/>
    </row>
    <row r="3" customFormat="false" ht="15" hidden="false" customHeight="true" outlineLevel="0" collapsed="false">
      <c r="A3" s="2"/>
      <c r="B3" s="4" t="s">
        <v>1</v>
      </c>
      <c r="C3" s="2"/>
    </row>
    <row r="4" customFormat="false" ht="15" hidden="false" customHeight="true" outlineLevel="0" collapsed="false">
      <c r="A4" s="2"/>
      <c r="B4" s="2"/>
      <c r="C4" s="2"/>
    </row>
    <row r="5" customFormat="false" ht="15" hidden="false" customHeight="true" outlineLevel="0" collapsed="false">
      <c r="A5" s="2"/>
      <c r="B5" s="5" t="s">
        <v>2</v>
      </c>
      <c r="C5" s="6" t="s">
        <v>3</v>
      </c>
    </row>
    <row r="6" customFormat="false" ht="15" hidden="false" customHeight="true" outlineLevel="0" collapsed="false">
      <c r="A6" s="2"/>
      <c r="B6" s="5" t="s">
        <v>4</v>
      </c>
      <c r="C6" s="6" t="s">
        <v>5</v>
      </c>
    </row>
    <row r="7" customFormat="false" ht="15" hidden="false" customHeight="true" outlineLevel="0" collapsed="false">
      <c r="A7" s="2"/>
      <c r="B7" s="5" t="s">
        <v>6</v>
      </c>
      <c r="C7" s="6" t="s">
        <v>7</v>
      </c>
    </row>
    <row r="8" customFormat="false" ht="15" hidden="false" customHeight="true" outlineLevel="0" collapsed="false">
      <c r="A8" s="2"/>
      <c r="B8" s="5" t="s">
        <v>8</v>
      </c>
      <c r="C8" s="6" t="s">
        <v>9</v>
      </c>
    </row>
    <row r="9" customFormat="false" ht="15" hidden="false" customHeight="true" outlineLevel="0" collapsed="false">
      <c r="A9" s="2"/>
      <c r="B9" s="5" t="s">
        <v>10</v>
      </c>
      <c r="C9" s="6" t="s">
        <v>11</v>
      </c>
    </row>
    <row r="10" customFormat="false" ht="15" hidden="false" customHeight="true" outlineLevel="0" collapsed="false">
      <c r="A10" s="2"/>
      <c r="B10" s="2"/>
      <c r="C10" s="2"/>
    </row>
    <row r="11" customFormat="false" ht="15" hidden="false" customHeight="true" outlineLevel="0" collapsed="false">
      <c r="A11" s="2"/>
      <c r="B11" s="7" t="s">
        <v>12</v>
      </c>
      <c r="C11" s="2"/>
    </row>
    <row r="12" customFormat="false" ht="15" hidden="false" customHeight="true" outlineLevel="0" collapsed="false">
      <c r="A12" s="2"/>
      <c r="B12" s="5" t="s">
        <v>13</v>
      </c>
      <c r="C12" s="8" t="s">
        <v>14</v>
      </c>
    </row>
    <row r="13" customFormat="false" ht="15" hidden="false" customHeight="true" outlineLevel="0" collapsed="false">
      <c r="A13" s="2"/>
      <c r="B13" s="5" t="s">
        <v>15</v>
      </c>
      <c r="C13" s="8" t="s">
        <v>16</v>
      </c>
    </row>
    <row r="14" customFormat="false" ht="15" hidden="false" customHeight="true" outlineLevel="0" collapsed="false">
      <c r="A14" s="2"/>
      <c r="B14" s="5" t="s">
        <v>17</v>
      </c>
      <c r="C14" s="8" t="s">
        <v>18</v>
      </c>
    </row>
    <row r="15" customFormat="false" ht="15" hidden="false" customHeight="true" outlineLevel="0" collapsed="false">
      <c r="A15" s="2"/>
      <c r="B15" s="5" t="s">
        <v>19</v>
      </c>
      <c r="C15" s="8" t="s">
        <v>20</v>
      </c>
    </row>
    <row r="16" customFormat="false" ht="15" hidden="false" customHeight="true" outlineLevel="0" collapsed="false">
      <c r="A16" s="2"/>
      <c r="B16" s="5" t="s">
        <v>21</v>
      </c>
      <c r="C16" s="8" t="s">
        <v>22</v>
      </c>
    </row>
    <row r="17" customFormat="false" ht="15" hidden="false" customHeight="true" outlineLevel="0" collapsed="false">
      <c r="A17" s="2"/>
      <c r="B17" s="5" t="s">
        <v>23</v>
      </c>
      <c r="C17" s="8" t="s">
        <v>24</v>
      </c>
    </row>
    <row r="18" customFormat="false" ht="15" hidden="false" customHeight="true" outlineLevel="0" collapsed="false">
      <c r="A18" s="2"/>
      <c r="B18" s="2"/>
      <c r="C18" s="2"/>
    </row>
    <row r="19" customFormat="false" ht="15" hidden="false" customHeight="true" outlineLevel="0" collapsed="false">
      <c r="A19" s="2"/>
      <c r="B19" s="2"/>
      <c r="C19" s="2"/>
    </row>
    <row r="20" customFormat="false" ht="15" hidden="false" customHeight="true" outlineLevel="0" collapsed="false">
      <c r="A20" s="2"/>
      <c r="B20" s="7" t="s">
        <v>25</v>
      </c>
      <c r="C20" s="2"/>
    </row>
    <row r="21" customFormat="false" ht="45" hidden="false" customHeight="true" outlineLevel="0" collapsed="false">
      <c r="A21" s="2"/>
      <c r="B21" s="5" t="s">
        <v>26</v>
      </c>
      <c r="C21" s="8" t="s">
        <v>27</v>
      </c>
    </row>
    <row r="22" customFormat="false" ht="45" hidden="false" customHeight="true" outlineLevel="0" collapsed="false">
      <c r="A22" s="2"/>
      <c r="B22" s="5" t="s">
        <v>28</v>
      </c>
      <c r="C22" s="8" t="s">
        <v>29</v>
      </c>
    </row>
    <row r="23" customFormat="false" ht="45" hidden="false" customHeight="true" outlineLevel="0" collapsed="false">
      <c r="A23" s="2"/>
      <c r="B23" s="5" t="s">
        <v>30</v>
      </c>
      <c r="C23" s="8" t="s">
        <v>31</v>
      </c>
    </row>
    <row r="24" customFormat="false" ht="45" hidden="false" customHeight="true" outlineLevel="0" collapsed="false">
      <c r="A24" s="2"/>
      <c r="B24" s="5" t="s">
        <v>32</v>
      </c>
      <c r="C24" s="8" t="s">
        <v>33</v>
      </c>
    </row>
    <row r="25" customFormat="false" ht="15" hidden="false" customHeight="true" outlineLevel="0" collapsed="false">
      <c r="A25" s="2"/>
      <c r="B25" s="2"/>
      <c r="C25" s="2"/>
    </row>
    <row r="26" customFormat="false" ht="15" hidden="false" customHeight="true" outlineLevel="0" collapsed="false">
      <c r="A26" s="2"/>
      <c r="B26" s="2"/>
      <c r="C26" s="2"/>
    </row>
    <row r="27" customFormat="false" ht="15" hidden="false" customHeight="true" outlineLevel="0" collapsed="false">
      <c r="A27" s="2"/>
      <c r="B27" s="7" t="s">
        <v>34</v>
      </c>
      <c r="C27" s="2"/>
    </row>
    <row r="28" customFormat="false" ht="15" hidden="false" customHeight="true" outlineLevel="0" collapsed="false">
      <c r="A28" s="2"/>
      <c r="B28" s="9" t="s">
        <v>35</v>
      </c>
      <c r="C28" s="9" t="s">
        <v>36</v>
      </c>
    </row>
    <row r="29" customFormat="false" ht="15" hidden="false" customHeight="true" outlineLevel="0" collapsed="false">
      <c r="A29" s="2"/>
      <c r="B29" s="10" t="s">
        <v>37</v>
      </c>
      <c r="C29" s="10" t="s">
        <v>38</v>
      </c>
    </row>
    <row r="30" customFormat="false" ht="15" hidden="false" customHeight="true" outlineLevel="0" collapsed="false">
      <c r="A30" s="2"/>
      <c r="B30" s="11" t="s">
        <v>39</v>
      </c>
      <c r="C30" s="11" t="s">
        <v>40</v>
      </c>
    </row>
    <row r="31" customFormat="false" ht="15" hidden="false" customHeight="true" outlineLevel="0" collapsed="false">
      <c r="A31" s="2"/>
      <c r="B31" s="5" t="s">
        <v>41</v>
      </c>
      <c r="C31" s="2" t="s">
        <v>42</v>
      </c>
    </row>
    <row r="32" customFormat="false" ht="15" hidden="false" customHeight="true" outlineLevel="0" collapsed="false">
      <c r="A32" s="2"/>
      <c r="B32" s="2"/>
      <c r="C32" s="2"/>
    </row>
    <row r="33" customFormat="false" ht="15" hidden="false" customHeight="true" outlineLevel="0" collapsed="false">
      <c r="A33" s="2"/>
      <c r="B33" s="7" t="s">
        <v>43</v>
      </c>
      <c r="C33" s="2"/>
    </row>
    <row r="34" customFormat="false" ht="26.25" hidden="false" customHeight="true" outlineLevel="0" collapsed="false">
      <c r="A34" s="2"/>
      <c r="B34" s="2"/>
      <c r="C34" s="8" t="s">
        <v>44</v>
      </c>
    </row>
    <row r="35" customFormat="false" ht="26.25" hidden="false" customHeight="true" outlineLevel="0" collapsed="false">
      <c r="A35" s="2"/>
      <c r="B35" s="2"/>
      <c r="C35" s="8" t="s">
        <v>45</v>
      </c>
    </row>
    <row r="36" customFormat="false" ht="26.25" hidden="false" customHeight="true" outlineLevel="0" collapsed="false">
      <c r="A36" s="2"/>
      <c r="B36" s="2"/>
      <c r="C36" s="8" t="s">
        <v>46</v>
      </c>
    </row>
    <row r="37" customFormat="false" ht="26.25" hidden="false" customHeight="true" outlineLevel="0" collapsed="false">
      <c r="A37" s="2"/>
      <c r="B37" s="2"/>
      <c r="C37" s="8" t="s">
        <v>47</v>
      </c>
    </row>
    <row r="38" customFormat="false" ht="15" hidden="false" customHeight="true" outlineLevel="0" collapsed="false">
      <c r="A38" s="2"/>
      <c r="B38" s="2"/>
      <c r="C38" s="8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2"/>
    <col collapsed="false" customWidth="true" hidden="false" outlineLevel="0" max="4" min="4" style="1" width="50"/>
    <col collapsed="false" customWidth="true" hidden="false" outlineLevel="0" max="5" min="5" style="1" width="38"/>
    <col collapsed="false" customWidth="true" hidden="false" outlineLevel="0" max="6" min="6" style="1" width="50"/>
    <col collapsed="false" customWidth="true" hidden="false" outlineLevel="0" max="8" min="7" style="1" width="22"/>
    <col collapsed="false" customWidth="true" hidden="false" outlineLevel="0" max="11" min="9" style="1" width="18"/>
    <col collapsed="false" customWidth="true" hidden="false" outlineLevel="0" max="12" min="12" style="1" width="14"/>
    <col collapsed="false" customWidth="true" hidden="false" outlineLevel="0" max="13" min="13" style="1" width="18"/>
    <col collapsed="false" customWidth="true" hidden="false" outlineLevel="0" max="14" min="14" style="1" width="12"/>
    <col collapsed="false" customWidth="true" hidden="false" outlineLevel="0" max="15" min="15" style="1" width="10"/>
    <col collapsed="false" customWidth="true" hidden="false" outlineLevel="0" max="16" min="16" style="1" width="12"/>
    <col collapsed="false" customWidth="true" hidden="false" outlineLevel="0" max="17" min="17" style="1" width="10"/>
    <col collapsed="false" customWidth="true" hidden="false" outlineLevel="0" max="18" min="18" style="1" width="50"/>
    <col collapsed="false" customWidth="true" hidden="false" outlineLevel="0" max="20" min="19" style="1" width="12"/>
    <col collapsed="false" customWidth="true" hidden="false" outlineLevel="0" max="21" min="21" style="1" width="60"/>
    <col collapsed="false" customWidth="true" hidden="false" outlineLevel="0" max="25" min="22" style="1" width="14"/>
  </cols>
  <sheetData>
    <row r="1" customFormat="false" ht="36" hidden="false" customHeight="true" outlineLevel="0" collapsed="false">
      <c r="A1" s="12" t="s">
        <v>49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12" t="s">
        <v>69</v>
      </c>
      <c r="V1" s="12" t="s">
        <v>70</v>
      </c>
      <c r="W1" s="12" t="s">
        <v>71</v>
      </c>
      <c r="X1" s="12" t="s">
        <v>72</v>
      </c>
      <c r="Y1" s="12" t="s">
        <v>73</v>
      </c>
    </row>
    <row r="2" customFormat="false" ht="30" hidden="false" customHeight="true" outlineLevel="0" collapsed="false">
      <c r="A2" s="6" t="n">
        <v>1</v>
      </c>
      <c r="B2" s="6" t="s">
        <v>74</v>
      </c>
      <c r="C2" s="6" t="s">
        <v>75</v>
      </c>
      <c r="D2" s="6" t="s">
        <v>76</v>
      </c>
      <c r="E2" s="6" t="s">
        <v>77</v>
      </c>
      <c r="F2" s="13" t="s">
        <v>78</v>
      </c>
      <c r="G2" s="6" t="s">
        <v>30</v>
      </c>
      <c r="H2" s="6" t="s">
        <v>30</v>
      </c>
      <c r="I2" s="14" t="n">
        <v>180000</v>
      </c>
      <c r="J2" s="15" t="n">
        <v>215000</v>
      </c>
      <c r="K2" s="15" t="n">
        <v>175000</v>
      </c>
      <c r="L2" s="6" t="s">
        <v>79</v>
      </c>
      <c r="M2" s="16" t="n">
        <v>25000000</v>
      </c>
      <c r="N2" s="17" t="n">
        <v>1</v>
      </c>
      <c r="O2" s="17" t="n">
        <v>8</v>
      </c>
      <c r="P2" s="18" t="n">
        <v>0.1</v>
      </c>
      <c r="Q2" s="19" t="n">
        <v>0.6</v>
      </c>
      <c r="R2" s="13" t="s">
        <v>80</v>
      </c>
      <c r="S2" s="20" t="s">
        <v>81</v>
      </c>
      <c r="T2" s="6" t="s">
        <v>82</v>
      </c>
      <c r="U2" s="13" t="s">
        <v>83</v>
      </c>
      <c r="V2" s="21"/>
      <c r="W2" s="22"/>
      <c r="X2" s="22"/>
      <c r="Y2" s="23"/>
    </row>
    <row r="3" customFormat="false" ht="30" hidden="false" customHeight="true" outlineLevel="0" collapsed="false">
      <c r="A3" s="6" t="n">
        <v>2</v>
      </c>
      <c r="B3" s="6" t="s">
        <v>74</v>
      </c>
      <c r="C3" s="6" t="s">
        <v>84</v>
      </c>
      <c r="D3" s="6" t="s">
        <v>85</v>
      </c>
      <c r="E3" s="6" t="s">
        <v>86</v>
      </c>
      <c r="F3" s="13" t="s">
        <v>87</v>
      </c>
      <c r="G3" s="6" t="s">
        <v>32</v>
      </c>
      <c r="H3" s="6" t="s">
        <v>32</v>
      </c>
      <c r="I3" s="14" t="n">
        <v>100000</v>
      </c>
      <c r="J3" s="15" t="n">
        <v>120000</v>
      </c>
      <c r="K3" s="15" t="n">
        <v>95000</v>
      </c>
      <c r="L3" s="6" t="s">
        <v>79</v>
      </c>
      <c r="M3" s="16" t="n">
        <v>14000000</v>
      </c>
      <c r="N3" s="17" t="n">
        <v>1</v>
      </c>
      <c r="O3" s="17" t="n">
        <v>7</v>
      </c>
      <c r="P3" s="18" t="n">
        <v>0.1</v>
      </c>
      <c r="Q3" s="19" t="n">
        <v>0.4</v>
      </c>
      <c r="R3" s="13" t="s">
        <v>88</v>
      </c>
      <c r="S3" s="20" t="s">
        <v>81</v>
      </c>
      <c r="T3" s="6" t="s">
        <v>82</v>
      </c>
      <c r="U3" s="13" t="s">
        <v>89</v>
      </c>
      <c r="V3" s="21"/>
      <c r="W3" s="22"/>
      <c r="X3" s="22"/>
      <c r="Y3" s="23"/>
    </row>
    <row r="4" customFormat="false" ht="30" hidden="false" customHeight="true" outlineLevel="0" collapsed="false">
      <c r="A4" s="6" t="n">
        <v>3</v>
      </c>
      <c r="B4" s="6" t="s">
        <v>74</v>
      </c>
      <c r="C4" s="6" t="s">
        <v>90</v>
      </c>
      <c r="D4" s="6" t="s">
        <v>91</v>
      </c>
      <c r="E4" s="6" t="s">
        <v>92</v>
      </c>
      <c r="F4" s="13" t="s">
        <v>93</v>
      </c>
      <c r="G4" s="6" t="s">
        <v>30</v>
      </c>
      <c r="H4" s="6" t="s">
        <v>28</v>
      </c>
      <c r="I4" s="14" t="n">
        <v>130000</v>
      </c>
      <c r="J4" s="15" t="n">
        <v>150000</v>
      </c>
      <c r="K4" s="15" t="n">
        <v>125000</v>
      </c>
      <c r="L4" s="6" t="s">
        <v>79</v>
      </c>
      <c r="M4" s="16" t="n">
        <v>18000000</v>
      </c>
      <c r="N4" s="17" t="n">
        <v>1</v>
      </c>
      <c r="O4" s="17" t="n">
        <v>7</v>
      </c>
      <c r="P4" s="18" t="n">
        <v>0.1</v>
      </c>
      <c r="Q4" s="19" t="n">
        <v>0.4</v>
      </c>
      <c r="R4" s="13" t="s">
        <v>94</v>
      </c>
      <c r="S4" s="20" t="s">
        <v>81</v>
      </c>
      <c r="T4" s="6" t="s">
        <v>82</v>
      </c>
      <c r="U4" s="13" t="s">
        <v>95</v>
      </c>
      <c r="V4" s="21"/>
      <c r="W4" s="22"/>
      <c r="X4" s="22"/>
      <c r="Y4" s="23"/>
    </row>
    <row r="5" customFormat="false" ht="30" hidden="false" customHeight="true" outlineLevel="0" collapsed="false">
      <c r="A5" s="6" t="n">
        <v>4</v>
      </c>
      <c r="B5" s="6" t="s">
        <v>74</v>
      </c>
      <c r="C5" s="6" t="s">
        <v>96</v>
      </c>
      <c r="D5" s="6" t="s">
        <v>97</v>
      </c>
      <c r="E5" s="6" t="s">
        <v>98</v>
      </c>
      <c r="F5" s="13" t="s">
        <v>99</v>
      </c>
      <c r="G5" s="6" t="s">
        <v>28</v>
      </c>
      <c r="H5" s="6" t="s">
        <v>28</v>
      </c>
      <c r="I5" s="14" t="n">
        <v>65000</v>
      </c>
      <c r="J5" s="15" t="n">
        <v>75000</v>
      </c>
      <c r="K5" s="15" t="n">
        <v>60000</v>
      </c>
      <c r="L5" s="6" t="s">
        <v>79</v>
      </c>
      <c r="M5" s="16" t="n">
        <v>9000000</v>
      </c>
      <c r="N5" s="17" t="n">
        <v>1</v>
      </c>
      <c r="O5" s="17" t="n">
        <v>7</v>
      </c>
      <c r="P5" s="18" t="n">
        <v>0.12</v>
      </c>
      <c r="Q5" s="19" t="n">
        <v>0.4</v>
      </c>
      <c r="R5" s="13" t="s">
        <v>100</v>
      </c>
      <c r="S5" s="20" t="s">
        <v>81</v>
      </c>
      <c r="T5" s="6" t="s">
        <v>82</v>
      </c>
      <c r="U5" s="13" t="s">
        <v>101</v>
      </c>
      <c r="V5" s="21"/>
      <c r="W5" s="22"/>
      <c r="X5" s="22"/>
      <c r="Y5" s="23"/>
    </row>
    <row r="6" customFormat="false" ht="30" hidden="false" customHeight="true" outlineLevel="0" collapsed="false">
      <c r="A6" s="6" t="n">
        <v>5</v>
      </c>
      <c r="B6" s="6" t="s">
        <v>74</v>
      </c>
      <c r="C6" s="6" t="s">
        <v>102</v>
      </c>
      <c r="D6" s="6" t="s">
        <v>103</v>
      </c>
      <c r="E6" s="6" t="s">
        <v>104</v>
      </c>
      <c r="F6" s="13" t="s">
        <v>105</v>
      </c>
      <c r="G6" s="6" t="s">
        <v>28</v>
      </c>
      <c r="H6" s="6" t="s">
        <v>28</v>
      </c>
      <c r="I6" s="14" t="n">
        <v>65000</v>
      </c>
      <c r="J6" s="15" t="n">
        <v>78000</v>
      </c>
      <c r="K6" s="15" t="n">
        <v>60000</v>
      </c>
      <c r="L6" s="6" t="s">
        <v>79</v>
      </c>
      <c r="M6" s="16" t="n">
        <v>9000000</v>
      </c>
      <c r="N6" s="17" t="n">
        <v>1</v>
      </c>
      <c r="O6" s="17" t="n">
        <v>10</v>
      </c>
      <c r="P6" s="18" t="n">
        <v>0.04</v>
      </c>
      <c r="Q6" s="19" t="n">
        <v>0.2</v>
      </c>
      <c r="R6" s="13" t="s">
        <v>106</v>
      </c>
      <c r="S6" s="20" t="s">
        <v>81</v>
      </c>
      <c r="T6" s="6" t="s">
        <v>82</v>
      </c>
      <c r="U6" s="13" t="s">
        <v>107</v>
      </c>
      <c r="V6" s="21"/>
      <c r="W6" s="22"/>
      <c r="X6" s="22"/>
      <c r="Y6" s="23"/>
    </row>
    <row r="7" customFormat="false" ht="30" hidden="false" customHeight="true" outlineLevel="0" collapsed="false">
      <c r="A7" s="6" t="n">
        <v>6</v>
      </c>
      <c r="B7" s="6" t="s">
        <v>74</v>
      </c>
      <c r="C7" s="6" t="s">
        <v>108</v>
      </c>
      <c r="D7" s="6" t="s">
        <v>109</v>
      </c>
      <c r="E7" s="6" t="s">
        <v>110</v>
      </c>
      <c r="F7" s="13" t="s">
        <v>111</v>
      </c>
      <c r="G7" s="6" t="s">
        <v>28</v>
      </c>
      <c r="H7" s="6" t="s">
        <v>28</v>
      </c>
      <c r="I7" s="14" t="n">
        <v>35000</v>
      </c>
      <c r="J7" s="15" t="n">
        <v>42000</v>
      </c>
      <c r="K7" s="15" t="n">
        <v>33000</v>
      </c>
      <c r="L7" s="6" t="s">
        <v>79</v>
      </c>
      <c r="M7" s="16" t="n">
        <v>4800000</v>
      </c>
      <c r="N7" s="17" t="n">
        <v>2</v>
      </c>
      <c r="O7" s="17" t="n">
        <v>8</v>
      </c>
      <c r="P7" s="18" t="n">
        <v>0.07</v>
      </c>
      <c r="Q7" s="19" t="n">
        <v>0.6</v>
      </c>
      <c r="R7" s="13" t="s">
        <v>112</v>
      </c>
      <c r="S7" s="20" t="s">
        <v>81</v>
      </c>
      <c r="T7" s="6" t="s">
        <v>82</v>
      </c>
      <c r="U7" s="13" t="s">
        <v>113</v>
      </c>
      <c r="V7" s="21"/>
      <c r="W7" s="22"/>
      <c r="X7" s="22"/>
      <c r="Y7" s="23"/>
    </row>
    <row r="8" customFormat="false" ht="30" hidden="false" customHeight="true" outlineLevel="0" collapsed="false">
      <c r="A8" s="6" t="n">
        <v>7</v>
      </c>
      <c r="B8" s="6" t="s">
        <v>74</v>
      </c>
      <c r="C8" s="6" t="s">
        <v>114</v>
      </c>
      <c r="D8" s="6" t="s">
        <v>115</v>
      </c>
      <c r="E8" s="6" t="s">
        <v>116</v>
      </c>
      <c r="F8" s="13" t="s">
        <v>117</v>
      </c>
      <c r="G8" s="6" t="s">
        <v>30</v>
      </c>
      <c r="H8" s="6" t="s">
        <v>30</v>
      </c>
      <c r="I8" s="14" t="n">
        <v>90000</v>
      </c>
      <c r="J8" s="15" t="n">
        <v>105000</v>
      </c>
      <c r="K8" s="15" t="n">
        <v>85000</v>
      </c>
      <c r="L8" s="6" t="s">
        <v>79</v>
      </c>
      <c r="M8" s="16" t="n">
        <v>12500000</v>
      </c>
      <c r="N8" s="17" t="n">
        <v>1</v>
      </c>
      <c r="O8" s="17" t="n">
        <v>8</v>
      </c>
      <c r="P8" s="18" t="n">
        <v>0.1</v>
      </c>
      <c r="Q8" s="19" t="n">
        <v>0.5</v>
      </c>
      <c r="R8" s="13" t="s">
        <v>118</v>
      </c>
      <c r="S8" s="20" t="s">
        <v>81</v>
      </c>
      <c r="T8" s="6" t="s">
        <v>82</v>
      </c>
      <c r="U8" s="13" t="s">
        <v>119</v>
      </c>
      <c r="V8" s="21"/>
      <c r="W8" s="22"/>
      <c r="X8" s="22"/>
      <c r="Y8" s="23"/>
    </row>
    <row r="9" customFormat="false" ht="30" hidden="false" customHeight="true" outlineLevel="0" collapsed="false">
      <c r="A9" s="6" t="n">
        <v>8</v>
      </c>
      <c r="B9" s="6" t="s">
        <v>120</v>
      </c>
      <c r="C9" s="6" t="s">
        <v>121</v>
      </c>
      <c r="D9" s="6" t="s">
        <v>122</v>
      </c>
      <c r="E9" s="6" t="s">
        <v>123</v>
      </c>
      <c r="F9" s="13" t="s">
        <v>124</v>
      </c>
      <c r="G9" s="6" t="s">
        <v>26</v>
      </c>
      <c r="H9" s="6" t="s">
        <v>30</v>
      </c>
      <c r="I9" s="14" t="n">
        <v>50000</v>
      </c>
      <c r="J9" s="15" t="n">
        <v>58000</v>
      </c>
      <c r="K9" s="15" t="n">
        <v>48000</v>
      </c>
      <c r="L9" s="6" t="s">
        <v>79</v>
      </c>
      <c r="M9" s="16" t="n">
        <v>6600000</v>
      </c>
      <c r="N9" s="17" t="n">
        <v>1</v>
      </c>
      <c r="O9" s="17" t="n">
        <v>12</v>
      </c>
      <c r="P9" s="18" t="n">
        <v>0.05</v>
      </c>
      <c r="Q9" s="19" t="n">
        <v>0.2</v>
      </c>
      <c r="R9" s="13" t="s">
        <v>125</v>
      </c>
      <c r="S9" s="20" t="s">
        <v>81</v>
      </c>
      <c r="T9" s="6" t="s">
        <v>82</v>
      </c>
      <c r="U9" s="13" t="s">
        <v>126</v>
      </c>
      <c r="V9" s="21"/>
      <c r="W9" s="22"/>
      <c r="X9" s="22"/>
      <c r="Y9" s="23"/>
    </row>
    <row r="10" customFormat="false" ht="30" hidden="false" customHeight="true" outlineLevel="0" collapsed="false">
      <c r="A10" s="6" t="n">
        <v>9</v>
      </c>
      <c r="B10" s="6" t="s">
        <v>120</v>
      </c>
      <c r="C10" s="6" t="s">
        <v>127</v>
      </c>
      <c r="D10" s="6" t="s">
        <v>128</v>
      </c>
      <c r="E10" s="6" t="s">
        <v>129</v>
      </c>
      <c r="F10" s="13" t="s">
        <v>130</v>
      </c>
      <c r="G10" s="6" t="s">
        <v>26</v>
      </c>
      <c r="H10" s="6" t="s">
        <v>30</v>
      </c>
      <c r="I10" s="14" t="n">
        <v>28000</v>
      </c>
      <c r="J10" s="15" t="n">
        <v>32600</v>
      </c>
      <c r="K10" s="15" t="n">
        <v>26000</v>
      </c>
      <c r="L10" s="6" t="s">
        <v>79</v>
      </c>
      <c r="M10" s="16" t="n">
        <v>3700000</v>
      </c>
      <c r="N10" s="17" t="n">
        <v>2</v>
      </c>
      <c r="O10" s="17" t="n">
        <v>8</v>
      </c>
      <c r="P10" s="18" t="n">
        <v>0.05</v>
      </c>
      <c r="Q10" s="19" t="n">
        <v>0.3</v>
      </c>
      <c r="R10" s="13" t="s">
        <v>131</v>
      </c>
      <c r="S10" s="24" t="s">
        <v>132</v>
      </c>
      <c r="T10" s="6" t="s">
        <v>82</v>
      </c>
      <c r="U10" s="13" t="s">
        <v>133</v>
      </c>
      <c r="V10" s="21"/>
      <c r="W10" s="22"/>
      <c r="X10" s="22"/>
      <c r="Y10" s="23"/>
    </row>
    <row r="11" customFormat="false" ht="30" hidden="false" customHeight="true" outlineLevel="0" collapsed="false">
      <c r="A11" s="6" t="n">
        <v>10</v>
      </c>
      <c r="B11" s="6" t="s">
        <v>120</v>
      </c>
      <c r="C11" s="6" t="s">
        <v>134</v>
      </c>
      <c r="D11" s="6" t="s">
        <v>135</v>
      </c>
      <c r="E11" s="6" t="s">
        <v>136</v>
      </c>
      <c r="F11" s="13" t="s">
        <v>137</v>
      </c>
      <c r="G11" s="6" t="s">
        <v>28</v>
      </c>
      <c r="H11" s="6" t="s">
        <v>30</v>
      </c>
      <c r="I11" s="14" t="n">
        <v>45000</v>
      </c>
      <c r="J11" s="15" t="n">
        <v>52000</v>
      </c>
      <c r="K11" s="15" t="n">
        <v>42000</v>
      </c>
      <c r="L11" s="6" t="s">
        <v>79</v>
      </c>
      <c r="M11" s="16" t="n">
        <v>6000000</v>
      </c>
      <c r="N11" s="17" t="n">
        <v>1</v>
      </c>
      <c r="O11" s="17" t="n">
        <v>10</v>
      </c>
      <c r="P11" s="18" t="n">
        <v>0.08</v>
      </c>
      <c r="Q11" s="19" t="n">
        <v>0.4</v>
      </c>
      <c r="R11" s="13" t="s">
        <v>138</v>
      </c>
      <c r="S11" s="20" t="s">
        <v>81</v>
      </c>
      <c r="T11" s="6" t="s">
        <v>82</v>
      </c>
      <c r="U11" s="13" t="s">
        <v>139</v>
      </c>
      <c r="V11" s="21"/>
      <c r="W11" s="22"/>
      <c r="X11" s="22"/>
      <c r="Y11" s="23"/>
    </row>
    <row r="12" customFormat="false" ht="30" hidden="false" customHeight="true" outlineLevel="0" collapsed="false">
      <c r="A12" s="6" t="n">
        <v>11</v>
      </c>
      <c r="B12" s="6" t="s">
        <v>120</v>
      </c>
      <c r="C12" s="6" t="s">
        <v>140</v>
      </c>
      <c r="D12" s="6" t="s">
        <v>141</v>
      </c>
      <c r="E12" s="6" t="s">
        <v>142</v>
      </c>
      <c r="F12" s="13" t="s">
        <v>143</v>
      </c>
      <c r="G12" s="6" t="s">
        <v>28</v>
      </c>
      <c r="H12" s="6" t="s">
        <v>30</v>
      </c>
      <c r="I12" s="14" t="n">
        <v>95000</v>
      </c>
      <c r="J12" s="15" t="n">
        <v>115000</v>
      </c>
      <c r="K12" s="15" t="n">
        <v>90000</v>
      </c>
      <c r="L12" s="6" t="s">
        <v>79</v>
      </c>
      <c r="M12" s="16" t="n">
        <v>13100000</v>
      </c>
      <c r="N12" s="17" t="n">
        <v>1</v>
      </c>
      <c r="O12" s="17" t="n">
        <v>12</v>
      </c>
      <c r="P12" s="18" t="n">
        <v>0.07</v>
      </c>
      <c r="Q12" s="19" t="n">
        <v>0.4</v>
      </c>
      <c r="R12" s="13" t="s">
        <v>144</v>
      </c>
      <c r="S12" s="20" t="s">
        <v>81</v>
      </c>
      <c r="T12" s="6" t="s">
        <v>82</v>
      </c>
      <c r="U12" s="13" t="s">
        <v>145</v>
      </c>
      <c r="V12" s="21"/>
      <c r="W12" s="22"/>
      <c r="X12" s="22"/>
      <c r="Y12" s="23"/>
    </row>
    <row r="13" customFormat="false" ht="30" hidden="false" customHeight="true" outlineLevel="0" collapsed="false">
      <c r="A13" s="6" t="n">
        <v>12</v>
      </c>
      <c r="B13" s="6" t="s">
        <v>120</v>
      </c>
      <c r="C13" s="6" t="s">
        <v>146</v>
      </c>
      <c r="D13" s="6" t="s">
        <v>147</v>
      </c>
      <c r="E13" s="6" t="s">
        <v>148</v>
      </c>
      <c r="F13" s="13" t="s">
        <v>149</v>
      </c>
      <c r="G13" s="6" t="s">
        <v>28</v>
      </c>
      <c r="H13" s="6" t="s">
        <v>30</v>
      </c>
      <c r="I13" s="14" t="n">
        <v>45000</v>
      </c>
      <c r="J13" s="15" t="n">
        <v>52000</v>
      </c>
      <c r="K13" s="15" t="n">
        <v>42000</v>
      </c>
      <c r="L13" s="6" t="s">
        <v>79</v>
      </c>
      <c r="M13" s="16" t="n">
        <v>6000000</v>
      </c>
      <c r="N13" s="17" t="n">
        <v>1</v>
      </c>
      <c r="O13" s="17" t="n">
        <v>15</v>
      </c>
      <c r="P13" s="18" t="n">
        <v>0.04</v>
      </c>
      <c r="Q13" s="19" t="n">
        <v>0.2</v>
      </c>
      <c r="R13" s="13" t="s">
        <v>150</v>
      </c>
      <c r="S13" s="20" t="s">
        <v>81</v>
      </c>
      <c r="T13" s="6" t="s">
        <v>82</v>
      </c>
      <c r="U13" s="13" t="s">
        <v>151</v>
      </c>
      <c r="V13" s="21"/>
      <c r="W13" s="22"/>
      <c r="X13" s="22"/>
      <c r="Y13" s="23"/>
    </row>
    <row r="14" customFormat="false" ht="30" hidden="false" customHeight="true" outlineLevel="0" collapsed="false">
      <c r="A14" s="6" t="n">
        <v>13</v>
      </c>
      <c r="B14" s="6" t="s">
        <v>120</v>
      </c>
      <c r="C14" s="6" t="s">
        <v>152</v>
      </c>
      <c r="D14" s="6" t="s">
        <v>153</v>
      </c>
      <c r="E14" s="6" t="s">
        <v>154</v>
      </c>
      <c r="F14" s="13" t="s">
        <v>155</v>
      </c>
      <c r="G14" s="6" t="s">
        <v>28</v>
      </c>
      <c r="H14" s="6" t="s">
        <v>30</v>
      </c>
      <c r="I14" s="14" t="n">
        <v>130000</v>
      </c>
      <c r="J14" s="15" t="n">
        <v>150000</v>
      </c>
      <c r="K14" s="15" t="n">
        <v>125000</v>
      </c>
      <c r="L14" s="6" t="s">
        <v>79</v>
      </c>
      <c r="M14" s="16" t="n">
        <v>17500000</v>
      </c>
      <c r="N14" s="17" t="n">
        <v>1</v>
      </c>
      <c r="O14" s="17" t="n">
        <v>10</v>
      </c>
      <c r="P14" s="18" t="n">
        <v>0.07</v>
      </c>
      <c r="Q14" s="19" t="n">
        <v>0.5</v>
      </c>
      <c r="R14" s="13" t="s">
        <v>156</v>
      </c>
      <c r="S14" s="20" t="s">
        <v>81</v>
      </c>
      <c r="T14" s="6" t="s">
        <v>82</v>
      </c>
      <c r="U14" s="13" t="s">
        <v>157</v>
      </c>
      <c r="V14" s="21"/>
      <c r="W14" s="22"/>
      <c r="X14" s="22"/>
      <c r="Y14" s="23"/>
    </row>
    <row r="15" customFormat="false" ht="30" hidden="false" customHeight="true" outlineLevel="0" collapsed="false">
      <c r="A15" s="6" t="n">
        <v>14</v>
      </c>
      <c r="B15" s="6" t="s">
        <v>120</v>
      </c>
      <c r="C15" s="6" t="s">
        <v>158</v>
      </c>
      <c r="D15" s="6" t="s">
        <v>159</v>
      </c>
      <c r="E15" s="6" t="s">
        <v>160</v>
      </c>
      <c r="F15" s="13" t="s">
        <v>161</v>
      </c>
      <c r="G15" s="6" t="s">
        <v>28</v>
      </c>
      <c r="H15" s="6" t="s">
        <v>30</v>
      </c>
      <c r="I15" s="14" t="n">
        <v>70000</v>
      </c>
      <c r="J15" s="15" t="n">
        <v>80000</v>
      </c>
      <c r="K15" s="15" t="n">
        <v>65000</v>
      </c>
      <c r="L15" s="6" t="s">
        <v>79</v>
      </c>
      <c r="M15" s="16" t="n">
        <v>9300000</v>
      </c>
      <c r="N15" s="17" t="n">
        <v>1</v>
      </c>
      <c r="O15" s="17" t="n">
        <v>12</v>
      </c>
      <c r="P15" s="18" t="n">
        <v>0.06</v>
      </c>
      <c r="Q15" s="19" t="n">
        <v>0.4</v>
      </c>
      <c r="R15" s="13" t="s">
        <v>162</v>
      </c>
      <c r="S15" s="20" t="s">
        <v>81</v>
      </c>
      <c r="T15" s="6" t="s">
        <v>82</v>
      </c>
      <c r="U15" s="13" t="s">
        <v>163</v>
      </c>
      <c r="V15" s="21"/>
      <c r="W15" s="22"/>
      <c r="X15" s="22"/>
      <c r="Y15" s="23"/>
    </row>
    <row r="16" customFormat="false" ht="30" hidden="false" customHeight="true" outlineLevel="0" collapsed="false">
      <c r="A16" s="6" t="n">
        <v>15</v>
      </c>
      <c r="B16" s="6" t="s">
        <v>164</v>
      </c>
      <c r="C16" s="6" t="s">
        <v>165</v>
      </c>
      <c r="D16" s="6" t="s">
        <v>166</v>
      </c>
      <c r="E16" s="6" t="s">
        <v>167</v>
      </c>
      <c r="F16" s="13" t="s">
        <v>168</v>
      </c>
      <c r="G16" s="6" t="s">
        <v>28</v>
      </c>
      <c r="H16" s="6" t="s">
        <v>30</v>
      </c>
      <c r="I16" s="14" t="n">
        <v>3500</v>
      </c>
      <c r="J16" s="15" t="n">
        <v>4000</v>
      </c>
      <c r="K16" s="15" t="n">
        <v>2500</v>
      </c>
      <c r="L16" s="6" t="s">
        <v>169</v>
      </c>
      <c r="M16" s="16" t="n">
        <v>480000</v>
      </c>
      <c r="N16" s="17" t="n">
        <v>4</v>
      </c>
      <c r="O16" s="17" t="n">
        <v>6</v>
      </c>
      <c r="P16" s="18" t="n">
        <v>0.05</v>
      </c>
      <c r="Q16" s="19" t="n">
        <v>0</v>
      </c>
      <c r="R16" s="13" t="s">
        <v>170</v>
      </c>
      <c r="S16" s="24" t="s">
        <v>132</v>
      </c>
      <c r="T16" s="6" t="s">
        <v>82</v>
      </c>
      <c r="U16" s="13" t="s">
        <v>171</v>
      </c>
      <c r="V16" s="21"/>
      <c r="W16" s="22"/>
      <c r="X16" s="22"/>
      <c r="Y16" s="23"/>
    </row>
    <row r="17" customFormat="false" ht="30" hidden="false" customHeight="true" outlineLevel="0" collapsed="false">
      <c r="A17" s="6" t="n">
        <v>16</v>
      </c>
      <c r="B17" s="6" t="s">
        <v>164</v>
      </c>
      <c r="C17" s="6" t="s">
        <v>172</v>
      </c>
      <c r="D17" s="6" t="s">
        <v>173</v>
      </c>
      <c r="E17" s="6" t="s">
        <v>174</v>
      </c>
      <c r="F17" s="13" t="s">
        <v>175</v>
      </c>
      <c r="G17" s="6" t="s">
        <v>30</v>
      </c>
      <c r="H17" s="6" t="s">
        <v>30</v>
      </c>
      <c r="I17" s="14" t="n">
        <v>55000</v>
      </c>
      <c r="J17" s="15" t="n">
        <v>65000</v>
      </c>
      <c r="K17" s="15" t="n">
        <v>45000</v>
      </c>
      <c r="L17" s="6" t="s">
        <v>169</v>
      </c>
      <c r="M17" s="16" t="n">
        <v>7600000</v>
      </c>
      <c r="N17" s="17" t="n">
        <v>1</v>
      </c>
      <c r="O17" s="17" t="n">
        <v>10</v>
      </c>
      <c r="P17" s="18" t="n">
        <v>0.07</v>
      </c>
      <c r="Q17" s="19" t="n">
        <v>0.3</v>
      </c>
      <c r="R17" s="13" t="s">
        <v>176</v>
      </c>
      <c r="S17" s="20" t="s">
        <v>81</v>
      </c>
      <c r="T17" s="6" t="s">
        <v>82</v>
      </c>
      <c r="U17" s="13" t="s">
        <v>177</v>
      </c>
      <c r="V17" s="21"/>
      <c r="W17" s="22"/>
      <c r="X17" s="22"/>
      <c r="Y17" s="23"/>
    </row>
    <row r="18" customFormat="false" ht="30" hidden="false" customHeight="true" outlineLevel="0" collapsed="false">
      <c r="A18" s="6" t="n">
        <v>17</v>
      </c>
      <c r="B18" s="6" t="s">
        <v>164</v>
      </c>
      <c r="C18" s="6" t="s">
        <v>178</v>
      </c>
      <c r="D18" s="6" t="s">
        <v>179</v>
      </c>
      <c r="E18" s="6" t="s">
        <v>180</v>
      </c>
      <c r="F18" s="13" t="s">
        <v>181</v>
      </c>
      <c r="G18" s="6" t="s">
        <v>30</v>
      </c>
      <c r="H18" s="6" t="s">
        <v>30</v>
      </c>
      <c r="I18" s="14" t="n">
        <v>65000</v>
      </c>
      <c r="J18" s="15" t="n">
        <v>75000</v>
      </c>
      <c r="K18" s="15" t="n">
        <v>55000</v>
      </c>
      <c r="L18" s="6" t="s">
        <v>169</v>
      </c>
      <c r="M18" s="16" t="n">
        <v>9000000</v>
      </c>
      <c r="N18" s="17" t="n">
        <v>1</v>
      </c>
      <c r="O18" s="17" t="n">
        <v>8</v>
      </c>
      <c r="P18" s="18" t="n">
        <v>0.1</v>
      </c>
      <c r="Q18" s="19" t="n">
        <v>0.5</v>
      </c>
      <c r="R18" s="13" t="s">
        <v>182</v>
      </c>
      <c r="S18" s="24" t="s">
        <v>132</v>
      </c>
      <c r="T18" s="6" t="s">
        <v>82</v>
      </c>
      <c r="U18" s="13" t="s">
        <v>183</v>
      </c>
      <c r="V18" s="21"/>
      <c r="W18" s="22"/>
      <c r="X18" s="22"/>
      <c r="Y18" s="23"/>
    </row>
    <row r="19" customFormat="false" ht="30" hidden="false" customHeight="true" outlineLevel="0" collapsed="false">
      <c r="A19" s="6" t="n">
        <v>18</v>
      </c>
      <c r="B19" s="6" t="s">
        <v>164</v>
      </c>
      <c r="C19" s="6" t="s">
        <v>184</v>
      </c>
      <c r="D19" s="6" t="s">
        <v>185</v>
      </c>
      <c r="E19" s="6" t="s">
        <v>186</v>
      </c>
      <c r="F19" s="13" t="s">
        <v>187</v>
      </c>
      <c r="G19" s="6" t="s">
        <v>28</v>
      </c>
      <c r="H19" s="6" t="s">
        <v>30</v>
      </c>
      <c r="I19" s="14" t="n">
        <v>4500</v>
      </c>
      <c r="J19" s="15" t="n">
        <v>5000</v>
      </c>
      <c r="K19" s="15" t="n">
        <v>3500</v>
      </c>
      <c r="L19" s="6" t="s">
        <v>169</v>
      </c>
      <c r="M19" s="16" t="n">
        <v>620000</v>
      </c>
      <c r="N19" s="17" t="n">
        <v>3</v>
      </c>
      <c r="O19" s="17" t="n">
        <v>8</v>
      </c>
      <c r="P19" s="18" t="n">
        <v>0.05</v>
      </c>
      <c r="Q19" s="19" t="n">
        <v>0</v>
      </c>
      <c r="R19" s="13" t="s">
        <v>188</v>
      </c>
      <c r="S19" s="24" t="s">
        <v>132</v>
      </c>
      <c r="T19" s="6" t="s">
        <v>82</v>
      </c>
      <c r="U19" s="13" t="s">
        <v>189</v>
      </c>
      <c r="V19" s="21"/>
      <c r="W19" s="22"/>
      <c r="X19" s="22"/>
      <c r="Y19" s="23"/>
    </row>
    <row r="20" customFormat="false" ht="30" hidden="false" customHeight="true" outlineLevel="0" collapsed="false">
      <c r="A20" s="6" t="n">
        <v>19</v>
      </c>
      <c r="B20" s="6" t="s">
        <v>164</v>
      </c>
      <c r="C20" s="6" t="s">
        <v>184</v>
      </c>
      <c r="D20" s="6" t="s">
        <v>190</v>
      </c>
      <c r="E20" s="6" t="s">
        <v>191</v>
      </c>
      <c r="F20" s="13" t="s">
        <v>192</v>
      </c>
      <c r="G20" s="6" t="s">
        <v>32</v>
      </c>
      <c r="H20" s="6" t="s">
        <v>32</v>
      </c>
      <c r="I20" s="14" t="n">
        <v>0</v>
      </c>
      <c r="J20" s="15" t="n">
        <v>0</v>
      </c>
      <c r="K20" s="15" t="n">
        <v>0</v>
      </c>
      <c r="L20" s="6" t="s">
        <v>193</v>
      </c>
      <c r="M20" s="16" t="n">
        <v>0</v>
      </c>
      <c r="N20" s="17" t="n">
        <v>0</v>
      </c>
      <c r="O20" s="17" t="n">
        <v>0</v>
      </c>
      <c r="P20" s="18" t="n">
        <v>0</v>
      </c>
      <c r="Q20" s="19" t="n">
        <v>0</v>
      </c>
      <c r="R20" s="13" t="s">
        <v>194</v>
      </c>
      <c r="S20" s="24" t="s">
        <v>132</v>
      </c>
      <c r="T20" s="6" t="s">
        <v>82</v>
      </c>
      <c r="U20" s="13" t="s">
        <v>195</v>
      </c>
      <c r="V20" s="21"/>
      <c r="W20" s="22"/>
      <c r="X20" s="22"/>
      <c r="Y20" s="23"/>
    </row>
    <row r="21" customFormat="false" ht="30" hidden="false" customHeight="true" outlineLevel="0" collapsed="false">
      <c r="A21" s="6" t="n">
        <v>20</v>
      </c>
      <c r="B21" s="6" t="s">
        <v>164</v>
      </c>
      <c r="C21" s="6" t="s">
        <v>196</v>
      </c>
      <c r="D21" s="6" t="s">
        <v>197</v>
      </c>
      <c r="E21" s="6" t="s">
        <v>198</v>
      </c>
      <c r="F21" s="13" t="s">
        <v>199</v>
      </c>
      <c r="G21" s="6" t="s">
        <v>28</v>
      </c>
      <c r="H21" s="6" t="s">
        <v>30</v>
      </c>
      <c r="I21" s="14" t="n">
        <v>12000</v>
      </c>
      <c r="J21" s="15" t="n">
        <v>14000</v>
      </c>
      <c r="K21" s="15" t="n">
        <v>9000</v>
      </c>
      <c r="L21" s="6" t="s">
        <v>169</v>
      </c>
      <c r="M21" s="16" t="n">
        <v>1650000</v>
      </c>
      <c r="N21" s="17" t="n">
        <v>3</v>
      </c>
      <c r="O21" s="17" t="n">
        <v>7</v>
      </c>
      <c r="P21" s="18" t="n">
        <v>0.07</v>
      </c>
      <c r="Q21" s="19" t="n">
        <v>0</v>
      </c>
      <c r="R21" s="13" t="s">
        <v>200</v>
      </c>
      <c r="S21" s="20" t="s">
        <v>81</v>
      </c>
      <c r="T21" s="6" t="s">
        <v>82</v>
      </c>
      <c r="U21" s="13" t="s">
        <v>201</v>
      </c>
      <c r="V21" s="21"/>
      <c r="W21" s="22"/>
      <c r="X21" s="22"/>
      <c r="Y21" s="23"/>
    </row>
    <row r="22" customFormat="false" ht="30" hidden="false" customHeight="true" outlineLevel="0" collapsed="false">
      <c r="A22" s="6" t="n">
        <v>21</v>
      </c>
      <c r="B22" s="6" t="s">
        <v>164</v>
      </c>
      <c r="C22" s="6" t="s">
        <v>202</v>
      </c>
      <c r="D22" s="6" t="s">
        <v>203</v>
      </c>
      <c r="E22" s="6" t="s">
        <v>204</v>
      </c>
      <c r="F22" s="13" t="s">
        <v>205</v>
      </c>
      <c r="G22" s="6" t="s">
        <v>30</v>
      </c>
      <c r="H22" s="6" t="s">
        <v>30</v>
      </c>
      <c r="I22" s="14" t="n">
        <v>25000</v>
      </c>
      <c r="J22" s="15" t="n">
        <v>28000</v>
      </c>
      <c r="K22" s="15" t="n">
        <v>18000</v>
      </c>
      <c r="L22" s="6" t="s">
        <v>169</v>
      </c>
      <c r="M22" s="16" t="n">
        <v>3450000</v>
      </c>
      <c r="N22" s="17" t="n">
        <v>2</v>
      </c>
      <c r="O22" s="17" t="n">
        <v>8</v>
      </c>
      <c r="P22" s="18" t="n">
        <v>0.05</v>
      </c>
      <c r="Q22" s="19" t="n">
        <v>0</v>
      </c>
      <c r="R22" s="13" t="s">
        <v>206</v>
      </c>
      <c r="S22" s="24" t="s">
        <v>132</v>
      </c>
      <c r="T22" s="6" t="s">
        <v>82</v>
      </c>
      <c r="U22" s="13" t="s">
        <v>207</v>
      </c>
      <c r="V22" s="21"/>
      <c r="W22" s="22"/>
      <c r="X22" s="22"/>
      <c r="Y22" s="23"/>
    </row>
    <row r="23" customFormat="false" ht="30" hidden="false" customHeight="true" outlineLevel="0" collapsed="false">
      <c r="A23" s="6" t="n">
        <v>22</v>
      </c>
      <c r="B23" s="6" t="s">
        <v>164</v>
      </c>
      <c r="C23" s="6" t="s">
        <v>208</v>
      </c>
      <c r="D23" s="6" t="s">
        <v>209</v>
      </c>
      <c r="E23" s="6" t="s">
        <v>210</v>
      </c>
      <c r="F23" s="13" t="s">
        <v>211</v>
      </c>
      <c r="G23" s="6" t="s">
        <v>28</v>
      </c>
      <c r="H23" s="6" t="s">
        <v>30</v>
      </c>
      <c r="I23" s="14" t="n">
        <v>9000</v>
      </c>
      <c r="J23" s="15" t="n">
        <v>10000</v>
      </c>
      <c r="K23" s="15" t="n">
        <v>7000</v>
      </c>
      <c r="L23" s="6" t="s">
        <v>169</v>
      </c>
      <c r="M23" s="16" t="n">
        <v>1240000</v>
      </c>
      <c r="N23" s="17" t="n">
        <v>1</v>
      </c>
      <c r="O23" s="17" t="n">
        <v>7</v>
      </c>
      <c r="P23" s="18" t="n">
        <v>0.06</v>
      </c>
      <c r="Q23" s="19" t="n">
        <v>0</v>
      </c>
      <c r="R23" s="13" t="s">
        <v>212</v>
      </c>
      <c r="S23" s="20" t="s">
        <v>81</v>
      </c>
      <c r="T23" s="6" t="s">
        <v>82</v>
      </c>
      <c r="U23" s="13" t="s">
        <v>213</v>
      </c>
      <c r="V23" s="21"/>
      <c r="W23" s="22"/>
      <c r="X23" s="22"/>
      <c r="Y23" s="23"/>
    </row>
    <row r="24" customFormat="false" ht="30" hidden="false" customHeight="true" outlineLevel="0" collapsed="false">
      <c r="A24" s="6" t="n">
        <v>23</v>
      </c>
      <c r="B24" s="6" t="s">
        <v>164</v>
      </c>
      <c r="C24" s="6" t="s">
        <v>214</v>
      </c>
      <c r="D24" s="6" t="s">
        <v>215</v>
      </c>
      <c r="E24" s="6" t="s">
        <v>216</v>
      </c>
      <c r="F24" s="13" t="s">
        <v>217</v>
      </c>
      <c r="G24" s="6" t="s">
        <v>28</v>
      </c>
      <c r="H24" s="6" t="s">
        <v>30</v>
      </c>
      <c r="I24" s="14" t="n">
        <v>28000</v>
      </c>
      <c r="J24" s="15" t="n">
        <v>32000</v>
      </c>
      <c r="K24" s="15" t="n">
        <v>22000</v>
      </c>
      <c r="L24" s="6" t="s">
        <v>169</v>
      </c>
      <c r="M24" s="16" t="n">
        <v>3850000</v>
      </c>
      <c r="N24" s="17" t="n">
        <v>1</v>
      </c>
      <c r="O24" s="17" t="n">
        <v>8</v>
      </c>
      <c r="P24" s="18" t="n">
        <v>0.07</v>
      </c>
      <c r="Q24" s="19" t="n">
        <v>0.5</v>
      </c>
      <c r="R24" s="13" t="s">
        <v>218</v>
      </c>
      <c r="S24" s="24" t="s">
        <v>132</v>
      </c>
      <c r="T24" s="6" t="s">
        <v>82</v>
      </c>
      <c r="U24" s="13" t="s">
        <v>219</v>
      </c>
      <c r="V24" s="21"/>
      <c r="W24" s="22"/>
      <c r="X24" s="22"/>
      <c r="Y24" s="23"/>
    </row>
    <row r="25" customFormat="false" ht="30" hidden="false" customHeight="true" outlineLevel="0" collapsed="false">
      <c r="A25" s="6" t="n">
        <v>24</v>
      </c>
      <c r="B25" s="6" t="s">
        <v>164</v>
      </c>
      <c r="C25" s="6" t="s">
        <v>214</v>
      </c>
      <c r="D25" s="6" t="s">
        <v>220</v>
      </c>
      <c r="E25" s="6" t="s">
        <v>221</v>
      </c>
      <c r="F25" s="13" t="s">
        <v>222</v>
      </c>
      <c r="G25" s="6" t="s">
        <v>28</v>
      </c>
      <c r="H25" s="6" t="s">
        <v>30</v>
      </c>
      <c r="I25" s="14" t="n">
        <v>22000</v>
      </c>
      <c r="J25" s="15" t="n">
        <v>25000</v>
      </c>
      <c r="K25" s="15" t="n">
        <v>17000</v>
      </c>
      <c r="L25" s="6" t="s">
        <v>169</v>
      </c>
      <c r="M25" s="16" t="n">
        <v>3000000</v>
      </c>
      <c r="N25" s="17" t="n">
        <v>1</v>
      </c>
      <c r="O25" s="17" t="n">
        <v>10</v>
      </c>
      <c r="P25" s="18" t="n">
        <v>0.05</v>
      </c>
      <c r="Q25" s="19" t="n">
        <v>0</v>
      </c>
      <c r="R25" s="13" t="s">
        <v>223</v>
      </c>
      <c r="S25" s="20" t="s">
        <v>81</v>
      </c>
      <c r="T25" s="6" t="s">
        <v>82</v>
      </c>
      <c r="U25" s="13" t="s">
        <v>224</v>
      </c>
      <c r="V25" s="21"/>
      <c r="W25" s="22"/>
      <c r="X25" s="22"/>
      <c r="Y25" s="23"/>
    </row>
    <row r="26" customFormat="false" ht="30" hidden="false" customHeight="true" outlineLevel="0" collapsed="false">
      <c r="A26" s="6" t="n">
        <v>25</v>
      </c>
      <c r="B26" s="6" t="s">
        <v>164</v>
      </c>
      <c r="C26" s="6" t="s">
        <v>225</v>
      </c>
      <c r="D26" s="6" t="s">
        <v>226</v>
      </c>
      <c r="E26" s="6" t="s">
        <v>227</v>
      </c>
      <c r="F26" s="13" t="s">
        <v>228</v>
      </c>
      <c r="G26" s="6" t="s">
        <v>30</v>
      </c>
      <c r="H26" s="6" t="s">
        <v>30</v>
      </c>
      <c r="I26" s="14" t="n">
        <v>18000</v>
      </c>
      <c r="J26" s="15" t="n">
        <v>21000</v>
      </c>
      <c r="K26" s="15" t="n">
        <v>14000</v>
      </c>
      <c r="L26" s="6" t="s">
        <v>169</v>
      </c>
      <c r="M26" s="16" t="n">
        <v>2500000</v>
      </c>
      <c r="N26" s="17" t="n">
        <v>1</v>
      </c>
      <c r="O26" s="17" t="n">
        <v>7</v>
      </c>
      <c r="P26" s="18" t="n">
        <v>0.06</v>
      </c>
      <c r="Q26" s="19" t="n">
        <v>0</v>
      </c>
      <c r="R26" s="13" t="s">
        <v>229</v>
      </c>
      <c r="S26" s="20" t="s">
        <v>81</v>
      </c>
      <c r="T26" s="6" t="s">
        <v>82</v>
      </c>
      <c r="U26" s="13" t="s">
        <v>230</v>
      </c>
      <c r="V26" s="21"/>
      <c r="W26" s="22"/>
      <c r="X26" s="22"/>
      <c r="Y26" s="23"/>
    </row>
    <row r="27" customFormat="false" ht="30" hidden="false" customHeight="true" outlineLevel="0" collapsed="false">
      <c r="A27" s="6" t="n">
        <v>26</v>
      </c>
      <c r="B27" s="6" t="s">
        <v>164</v>
      </c>
      <c r="C27" s="6" t="s">
        <v>231</v>
      </c>
      <c r="D27" s="6" t="s">
        <v>232</v>
      </c>
      <c r="E27" s="6" t="s">
        <v>233</v>
      </c>
      <c r="F27" s="13" t="s">
        <v>234</v>
      </c>
      <c r="G27" s="6" t="s">
        <v>28</v>
      </c>
      <c r="H27" s="6" t="s">
        <v>30</v>
      </c>
      <c r="I27" s="14" t="n">
        <v>6500</v>
      </c>
      <c r="J27" s="15" t="n">
        <v>7500</v>
      </c>
      <c r="K27" s="15" t="n">
        <v>4500</v>
      </c>
      <c r="L27" s="6" t="s">
        <v>169</v>
      </c>
      <c r="M27" s="16" t="n">
        <v>900000</v>
      </c>
      <c r="N27" s="17" t="n">
        <v>6</v>
      </c>
      <c r="O27" s="17" t="n">
        <v>8</v>
      </c>
      <c r="P27" s="18" t="n">
        <v>0.06</v>
      </c>
      <c r="Q27" s="19" t="n">
        <v>0</v>
      </c>
      <c r="R27" s="13" t="s">
        <v>235</v>
      </c>
      <c r="S27" s="24" t="s">
        <v>132</v>
      </c>
      <c r="T27" s="6" t="s">
        <v>82</v>
      </c>
      <c r="U27" s="13" t="s">
        <v>236</v>
      </c>
      <c r="V27" s="21"/>
      <c r="W27" s="22"/>
      <c r="X27" s="22"/>
      <c r="Y27" s="23"/>
    </row>
    <row r="28" customFormat="false" ht="30" hidden="false" customHeight="true" outlineLevel="0" collapsed="false">
      <c r="A28" s="6" t="n">
        <v>27</v>
      </c>
      <c r="B28" s="6" t="s">
        <v>237</v>
      </c>
      <c r="C28" s="6" t="s">
        <v>238</v>
      </c>
      <c r="D28" s="6" t="s">
        <v>239</v>
      </c>
      <c r="E28" s="6" t="s">
        <v>240</v>
      </c>
      <c r="F28" s="13" t="s">
        <v>241</v>
      </c>
      <c r="G28" s="6" t="s">
        <v>26</v>
      </c>
      <c r="H28" s="6" t="s">
        <v>28</v>
      </c>
      <c r="I28" s="14" t="n">
        <v>55000</v>
      </c>
      <c r="J28" s="15" t="n">
        <v>66000</v>
      </c>
      <c r="K28" s="15" t="n">
        <v>52000</v>
      </c>
      <c r="L28" s="6" t="s">
        <v>79</v>
      </c>
      <c r="M28" s="16" t="n">
        <v>7600000</v>
      </c>
      <c r="N28" s="17" t="n">
        <v>2</v>
      </c>
      <c r="O28" s="17" t="n">
        <v>20</v>
      </c>
      <c r="P28" s="18" t="n">
        <v>0.03</v>
      </c>
      <c r="Q28" s="19" t="n">
        <v>0.1</v>
      </c>
      <c r="R28" s="13" t="s">
        <v>242</v>
      </c>
      <c r="S28" s="24" t="s">
        <v>132</v>
      </c>
      <c r="T28" s="6" t="s">
        <v>82</v>
      </c>
      <c r="U28" s="13" t="s">
        <v>243</v>
      </c>
      <c r="V28" s="21"/>
      <c r="W28" s="22"/>
      <c r="X28" s="22"/>
      <c r="Y28" s="23"/>
    </row>
    <row r="29" customFormat="false" ht="30" hidden="false" customHeight="true" outlineLevel="0" collapsed="false">
      <c r="A29" s="6" t="n">
        <v>28</v>
      </c>
      <c r="B29" s="6" t="s">
        <v>237</v>
      </c>
      <c r="C29" s="6" t="s">
        <v>244</v>
      </c>
      <c r="D29" s="6" t="s">
        <v>245</v>
      </c>
      <c r="E29" s="6" t="s">
        <v>246</v>
      </c>
      <c r="F29" s="13" t="s">
        <v>247</v>
      </c>
      <c r="G29" s="6" t="s">
        <v>26</v>
      </c>
      <c r="H29" s="6" t="s">
        <v>30</v>
      </c>
      <c r="I29" s="14" t="n">
        <v>60000</v>
      </c>
      <c r="J29" s="15" t="n">
        <v>72000</v>
      </c>
      <c r="K29" s="15" t="n">
        <v>56000</v>
      </c>
      <c r="L29" s="6" t="s">
        <v>79</v>
      </c>
      <c r="M29" s="16" t="n">
        <v>8200000</v>
      </c>
      <c r="N29" s="17" t="n">
        <v>2</v>
      </c>
      <c r="O29" s="17" t="n">
        <v>12</v>
      </c>
      <c r="P29" s="18" t="n">
        <v>0.05</v>
      </c>
      <c r="Q29" s="19" t="n">
        <v>0.5</v>
      </c>
      <c r="R29" s="13" t="s">
        <v>248</v>
      </c>
      <c r="S29" s="20" t="s">
        <v>81</v>
      </c>
      <c r="T29" s="6" t="s">
        <v>82</v>
      </c>
      <c r="U29" s="13" t="s">
        <v>249</v>
      </c>
      <c r="V29" s="21"/>
      <c r="W29" s="22"/>
      <c r="X29" s="22"/>
      <c r="Y29" s="23"/>
    </row>
    <row r="30" customFormat="false" ht="30" hidden="false" customHeight="true" outlineLevel="0" collapsed="false">
      <c r="A30" s="6" t="n">
        <v>29</v>
      </c>
      <c r="B30" s="6" t="s">
        <v>237</v>
      </c>
      <c r="C30" s="6" t="s">
        <v>250</v>
      </c>
      <c r="D30" s="6" t="s">
        <v>251</v>
      </c>
      <c r="E30" s="6" t="s">
        <v>252</v>
      </c>
      <c r="F30" s="13" t="s">
        <v>253</v>
      </c>
      <c r="G30" s="6" t="s">
        <v>26</v>
      </c>
      <c r="H30" s="6" t="s">
        <v>28</v>
      </c>
      <c r="I30" s="14" t="n">
        <v>30000</v>
      </c>
      <c r="J30" s="15" t="n">
        <v>36000</v>
      </c>
      <c r="K30" s="15" t="n">
        <v>28000</v>
      </c>
      <c r="L30" s="6" t="s">
        <v>79</v>
      </c>
      <c r="M30" s="16" t="n">
        <v>4100000</v>
      </c>
      <c r="N30" s="17" t="n">
        <v>2</v>
      </c>
      <c r="O30" s="17" t="n">
        <v>15</v>
      </c>
      <c r="P30" s="18" t="n">
        <v>0.06</v>
      </c>
      <c r="Q30" s="19" t="n">
        <v>0.1</v>
      </c>
      <c r="R30" s="13" t="s">
        <v>254</v>
      </c>
      <c r="S30" s="20" t="s">
        <v>81</v>
      </c>
      <c r="T30" s="6" t="s">
        <v>82</v>
      </c>
      <c r="U30" s="13" t="s">
        <v>255</v>
      </c>
      <c r="V30" s="21"/>
      <c r="W30" s="22"/>
      <c r="X30" s="22"/>
      <c r="Y30" s="23"/>
    </row>
    <row r="31" customFormat="false" ht="30" hidden="false" customHeight="true" outlineLevel="0" collapsed="false">
      <c r="A31" s="6" t="n">
        <v>30</v>
      </c>
      <c r="B31" s="6" t="s">
        <v>237</v>
      </c>
      <c r="C31" s="6" t="s">
        <v>256</v>
      </c>
      <c r="D31" s="6" t="s">
        <v>257</v>
      </c>
      <c r="E31" s="6" t="s">
        <v>258</v>
      </c>
      <c r="F31" s="13" t="s">
        <v>259</v>
      </c>
      <c r="G31" s="6" t="s">
        <v>26</v>
      </c>
      <c r="H31" s="6" t="s">
        <v>26</v>
      </c>
      <c r="I31" s="14" t="n">
        <v>14000</v>
      </c>
      <c r="J31" s="15" t="n">
        <v>16500</v>
      </c>
      <c r="K31" s="15" t="n">
        <v>13000</v>
      </c>
      <c r="L31" s="6" t="s">
        <v>79</v>
      </c>
      <c r="M31" s="16" t="n">
        <v>1900000</v>
      </c>
      <c r="N31" s="17" t="n">
        <v>2</v>
      </c>
      <c r="O31" s="17" t="n">
        <v>12</v>
      </c>
      <c r="P31" s="18" t="n">
        <v>0.03</v>
      </c>
      <c r="Q31" s="19" t="n">
        <v>0.05</v>
      </c>
      <c r="R31" s="13" t="s">
        <v>260</v>
      </c>
      <c r="S31" s="24" t="s">
        <v>132</v>
      </c>
      <c r="T31" s="6" t="s">
        <v>82</v>
      </c>
      <c r="U31" s="13" t="s">
        <v>261</v>
      </c>
      <c r="V31" s="21"/>
      <c r="W31" s="22"/>
      <c r="X31" s="22"/>
      <c r="Y31" s="23"/>
    </row>
    <row r="32" customFormat="false" ht="30" hidden="false" customHeight="true" outlineLevel="0" collapsed="false">
      <c r="A32" s="6" t="n">
        <v>31</v>
      </c>
      <c r="B32" s="6" t="s">
        <v>237</v>
      </c>
      <c r="C32" s="6" t="s">
        <v>262</v>
      </c>
      <c r="D32" s="6" t="s">
        <v>263</v>
      </c>
      <c r="E32" s="6" t="s">
        <v>264</v>
      </c>
      <c r="F32" s="13" t="s">
        <v>265</v>
      </c>
      <c r="G32" s="6" t="s">
        <v>26</v>
      </c>
      <c r="H32" s="6" t="s">
        <v>28</v>
      </c>
      <c r="I32" s="14" t="n">
        <v>16000</v>
      </c>
      <c r="J32" s="15" t="n">
        <v>19000</v>
      </c>
      <c r="K32" s="15" t="n">
        <v>15000</v>
      </c>
      <c r="L32" s="6" t="s">
        <v>79</v>
      </c>
      <c r="M32" s="16" t="n">
        <v>2200000</v>
      </c>
      <c r="N32" s="17" t="n">
        <v>2</v>
      </c>
      <c r="O32" s="17" t="n">
        <v>8</v>
      </c>
      <c r="P32" s="18" t="n">
        <v>0.06</v>
      </c>
      <c r="Q32" s="19" t="n">
        <v>0.2</v>
      </c>
      <c r="R32" s="13" t="s">
        <v>266</v>
      </c>
      <c r="S32" s="24" t="s">
        <v>132</v>
      </c>
      <c r="T32" s="6" t="s">
        <v>82</v>
      </c>
      <c r="U32" s="13" t="s">
        <v>267</v>
      </c>
      <c r="V32" s="21"/>
      <c r="W32" s="22"/>
      <c r="X32" s="22"/>
      <c r="Y32" s="23"/>
    </row>
    <row r="33" customFormat="false" ht="30" hidden="false" customHeight="true" outlineLevel="0" collapsed="false">
      <c r="A33" s="6" t="n">
        <v>32</v>
      </c>
      <c r="B33" s="6" t="s">
        <v>237</v>
      </c>
      <c r="C33" s="6" t="s">
        <v>268</v>
      </c>
      <c r="D33" s="6" t="s">
        <v>269</v>
      </c>
      <c r="E33" s="6" t="s">
        <v>270</v>
      </c>
      <c r="F33" s="13" t="s">
        <v>271</v>
      </c>
      <c r="G33" s="6" t="s">
        <v>26</v>
      </c>
      <c r="H33" s="6" t="s">
        <v>30</v>
      </c>
      <c r="I33" s="14" t="n">
        <v>75000</v>
      </c>
      <c r="J33" s="15" t="n">
        <v>90000</v>
      </c>
      <c r="K33" s="15" t="n">
        <v>70000</v>
      </c>
      <c r="L33" s="6" t="s">
        <v>79</v>
      </c>
      <c r="M33" s="16" t="n">
        <v>8000000</v>
      </c>
      <c r="N33" s="17" t="n">
        <v>1</v>
      </c>
      <c r="O33" s="17" t="n">
        <v>25</v>
      </c>
      <c r="P33" s="18" t="n">
        <v>0.04</v>
      </c>
      <c r="Q33" s="19" t="n">
        <v>1</v>
      </c>
      <c r="R33" s="13" t="s">
        <v>272</v>
      </c>
      <c r="S33" s="24" t="s">
        <v>132</v>
      </c>
      <c r="T33" s="6" t="s">
        <v>82</v>
      </c>
      <c r="U33" s="13" t="s">
        <v>273</v>
      </c>
      <c r="V33" s="21"/>
      <c r="W33" s="22"/>
      <c r="X33" s="22"/>
      <c r="Y33" s="23"/>
    </row>
    <row r="34" customFormat="false" ht="30" hidden="false" customHeight="true" outlineLevel="0" collapsed="false">
      <c r="A34" s="6" t="n">
        <v>33</v>
      </c>
      <c r="B34" s="6" t="s">
        <v>237</v>
      </c>
      <c r="C34" s="6" t="s">
        <v>274</v>
      </c>
      <c r="D34" s="6" t="s">
        <v>275</v>
      </c>
      <c r="E34" s="6" t="s">
        <v>276</v>
      </c>
      <c r="F34" s="13" t="s">
        <v>277</v>
      </c>
      <c r="G34" s="6" t="s">
        <v>26</v>
      </c>
      <c r="H34" s="6" t="s">
        <v>28</v>
      </c>
      <c r="I34" s="14" t="n">
        <v>50000</v>
      </c>
      <c r="J34" s="15" t="n">
        <v>60000</v>
      </c>
      <c r="K34" s="15" t="n">
        <v>47000</v>
      </c>
      <c r="L34" s="6" t="s">
        <v>79</v>
      </c>
      <c r="M34" s="16" t="n">
        <v>5200000</v>
      </c>
      <c r="N34" s="17" t="n">
        <v>1</v>
      </c>
      <c r="O34" s="17" t="n">
        <v>25</v>
      </c>
      <c r="P34" s="18" t="n">
        <v>0.04</v>
      </c>
      <c r="Q34" s="19" t="n">
        <v>0.5</v>
      </c>
      <c r="R34" s="13" t="s">
        <v>278</v>
      </c>
      <c r="S34" s="20" t="s">
        <v>81</v>
      </c>
      <c r="T34" s="6" t="s">
        <v>82</v>
      </c>
      <c r="U34" s="13" t="s">
        <v>279</v>
      </c>
      <c r="V34" s="21"/>
      <c r="W34" s="22"/>
      <c r="X34" s="22"/>
      <c r="Y34" s="23"/>
    </row>
    <row r="35" customFormat="false" ht="30" hidden="false" customHeight="true" outlineLevel="0" collapsed="false">
      <c r="A35" s="6" t="n">
        <v>34</v>
      </c>
      <c r="B35" s="6" t="s">
        <v>237</v>
      </c>
      <c r="C35" s="6" t="s">
        <v>280</v>
      </c>
      <c r="D35" s="6" t="s">
        <v>281</v>
      </c>
      <c r="E35" s="6" t="s">
        <v>282</v>
      </c>
      <c r="F35" s="13" t="s">
        <v>283</v>
      </c>
      <c r="G35" s="6" t="s">
        <v>26</v>
      </c>
      <c r="H35" s="6" t="s">
        <v>30</v>
      </c>
      <c r="I35" s="14" t="n">
        <v>45000</v>
      </c>
      <c r="J35" s="15" t="n">
        <v>55000</v>
      </c>
      <c r="K35" s="15" t="n">
        <v>42000</v>
      </c>
      <c r="L35" s="6" t="s">
        <v>79</v>
      </c>
      <c r="M35" s="16" t="n">
        <v>4500000</v>
      </c>
      <c r="N35" s="17" t="n">
        <v>1</v>
      </c>
      <c r="O35" s="17" t="n">
        <v>30</v>
      </c>
      <c r="P35" s="18" t="n">
        <v>0.06</v>
      </c>
      <c r="Q35" s="19" t="n">
        <v>0.5</v>
      </c>
      <c r="R35" s="13" t="s">
        <v>284</v>
      </c>
      <c r="S35" s="20" t="s">
        <v>81</v>
      </c>
      <c r="T35" s="6" t="s">
        <v>82</v>
      </c>
      <c r="U35" s="13" t="s">
        <v>285</v>
      </c>
      <c r="V35" s="21"/>
      <c r="W35" s="22"/>
      <c r="X35" s="22"/>
      <c r="Y35" s="23"/>
    </row>
    <row r="36" customFormat="false" ht="30" hidden="false" customHeight="true" outlineLevel="0" collapsed="false">
      <c r="A36" s="6" t="n">
        <v>35</v>
      </c>
      <c r="B36" s="6" t="s">
        <v>237</v>
      </c>
      <c r="C36" s="6" t="s">
        <v>286</v>
      </c>
      <c r="D36" s="6" t="s">
        <v>287</v>
      </c>
      <c r="E36" s="6" t="s">
        <v>288</v>
      </c>
      <c r="F36" s="13" t="s">
        <v>289</v>
      </c>
      <c r="G36" s="6" t="s">
        <v>26</v>
      </c>
      <c r="H36" s="6" t="s">
        <v>30</v>
      </c>
      <c r="I36" s="14" t="n">
        <v>120000</v>
      </c>
      <c r="J36" s="15" t="n">
        <v>145000</v>
      </c>
      <c r="K36" s="15" t="n">
        <v>115000</v>
      </c>
      <c r="L36" s="6" t="s">
        <v>79</v>
      </c>
      <c r="M36" s="16" t="n">
        <v>16500000</v>
      </c>
      <c r="N36" s="17" t="n">
        <v>1</v>
      </c>
      <c r="O36" s="17" t="n">
        <v>15</v>
      </c>
      <c r="P36" s="18" t="n">
        <v>0.07</v>
      </c>
      <c r="Q36" s="19" t="n">
        <v>0.1</v>
      </c>
      <c r="R36" s="13" t="s">
        <v>290</v>
      </c>
      <c r="S36" s="20" t="s">
        <v>81</v>
      </c>
      <c r="T36" s="6" t="s">
        <v>82</v>
      </c>
      <c r="U36" s="13" t="s">
        <v>291</v>
      </c>
      <c r="V36" s="21"/>
      <c r="W36" s="22"/>
      <c r="X36" s="22"/>
      <c r="Y36" s="23"/>
    </row>
    <row r="37" customFormat="false" ht="30" hidden="false" customHeight="true" outlineLevel="0" collapsed="false">
      <c r="A37" s="6" t="n">
        <v>36</v>
      </c>
      <c r="B37" s="6" t="s">
        <v>237</v>
      </c>
      <c r="C37" s="6" t="s">
        <v>292</v>
      </c>
      <c r="D37" s="6" t="s">
        <v>293</v>
      </c>
      <c r="E37" s="6" t="s">
        <v>294</v>
      </c>
      <c r="F37" s="13" t="s">
        <v>295</v>
      </c>
      <c r="G37" s="6" t="s">
        <v>26</v>
      </c>
      <c r="H37" s="6" t="s">
        <v>30</v>
      </c>
      <c r="I37" s="14" t="n">
        <v>220000</v>
      </c>
      <c r="J37" s="15" t="n">
        <v>260000</v>
      </c>
      <c r="K37" s="15" t="n">
        <v>200000</v>
      </c>
      <c r="L37" s="6" t="s">
        <v>79</v>
      </c>
      <c r="M37" s="16" t="n">
        <v>28000000</v>
      </c>
      <c r="N37" s="17" t="n">
        <v>1</v>
      </c>
      <c r="O37" s="17" t="n">
        <v>10</v>
      </c>
      <c r="P37" s="18" t="n">
        <v>0.06</v>
      </c>
      <c r="Q37" s="19" t="n">
        <v>0.5</v>
      </c>
      <c r="R37" s="13" t="s">
        <v>296</v>
      </c>
      <c r="S37" s="20" t="s">
        <v>81</v>
      </c>
      <c r="T37" s="6" t="s">
        <v>82</v>
      </c>
      <c r="U37" s="13" t="s">
        <v>297</v>
      </c>
      <c r="V37" s="21"/>
      <c r="W37" s="22"/>
      <c r="X37" s="22"/>
      <c r="Y37" s="23"/>
    </row>
    <row r="38" customFormat="false" ht="30" hidden="false" customHeight="true" outlineLevel="0" collapsed="false">
      <c r="A38" s="6" t="n">
        <v>37</v>
      </c>
      <c r="B38" s="6" t="s">
        <v>298</v>
      </c>
      <c r="C38" s="6" t="s">
        <v>299</v>
      </c>
      <c r="D38" s="6" t="s">
        <v>300</v>
      </c>
      <c r="E38" s="6" t="s">
        <v>301</v>
      </c>
      <c r="F38" s="13" t="s">
        <v>302</v>
      </c>
      <c r="G38" s="6" t="s">
        <v>30</v>
      </c>
      <c r="H38" s="6" t="s">
        <v>30</v>
      </c>
      <c r="I38" s="14" t="n">
        <v>70000</v>
      </c>
      <c r="J38" s="15" t="n">
        <v>80000</v>
      </c>
      <c r="K38" s="15" t="n">
        <v>55000</v>
      </c>
      <c r="L38" s="6" t="s">
        <v>169</v>
      </c>
      <c r="M38" s="16" t="n">
        <v>9700000</v>
      </c>
      <c r="N38" s="17" t="n">
        <v>1</v>
      </c>
      <c r="O38" s="17" t="n">
        <v>8</v>
      </c>
      <c r="P38" s="18" t="n">
        <v>0.06</v>
      </c>
      <c r="Q38" s="19" t="n">
        <v>0.2</v>
      </c>
      <c r="R38" s="13" t="s">
        <v>303</v>
      </c>
      <c r="S38" s="20" t="s">
        <v>81</v>
      </c>
      <c r="T38" s="6" t="s">
        <v>82</v>
      </c>
      <c r="U38" s="13" t="s">
        <v>304</v>
      </c>
      <c r="V38" s="21"/>
      <c r="W38" s="22"/>
      <c r="X38" s="22"/>
      <c r="Y38" s="23"/>
    </row>
    <row r="39" customFormat="false" ht="30" hidden="false" customHeight="true" outlineLevel="0" collapsed="false">
      <c r="A39" s="6" t="n">
        <v>38</v>
      </c>
      <c r="B39" s="6" t="s">
        <v>298</v>
      </c>
      <c r="C39" s="6" t="s">
        <v>299</v>
      </c>
      <c r="D39" s="6" t="s">
        <v>305</v>
      </c>
      <c r="E39" s="6" t="s">
        <v>306</v>
      </c>
      <c r="F39" s="13" t="s">
        <v>307</v>
      </c>
      <c r="G39" s="6" t="s">
        <v>30</v>
      </c>
      <c r="H39" s="6" t="s">
        <v>30</v>
      </c>
      <c r="I39" s="14" t="n">
        <v>90000</v>
      </c>
      <c r="J39" s="15" t="n">
        <v>105000</v>
      </c>
      <c r="K39" s="15" t="n">
        <v>75000</v>
      </c>
      <c r="L39" s="6" t="s">
        <v>193</v>
      </c>
      <c r="M39" s="16" t="n">
        <v>12400000</v>
      </c>
      <c r="N39" s="17" t="n">
        <v>1</v>
      </c>
      <c r="O39" s="17" t="n">
        <v>8</v>
      </c>
      <c r="P39" s="18" t="n">
        <v>0.1</v>
      </c>
      <c r="Q39" s="19" t="n">
        <v>0.2</v>
      </c>
      <c r="R39" s="13" t="s">
        <v>308</v>
      </c>
      <c r="S39" s="25" t="s">
        <v>309</v>
      </c>
      <c r="T39" s="6" t="s">
        <v>82</v>
      </c>
      <c r="U39" s="13" t="s">
        <v>310</v>
      </c>
      <c r="V39" s="21"/>
      <c r="W39" s="22"/>
      <c r="X39" s="22"/>
      <c r="Y39" s="23"/>
    </row>
    <row r="40" customFormat="false" ht="30" hidden="false" customHeight="true" outlineLevel="0" collapsed="false">
      <c r="A40" s="6" t="n">
        <v>39</v>
      </c>
      <c r="B40" s="6" t="s">
        <v>298</v>
      </c>
      <c r="C40" s="6" t="s">
        <v>311</v>
      </c>
      <c r="D40" s="6" t="s">
        <v>312</v>
      </c>
      <c r="E40" s="6" t="s">
        <v>313</v>
      </c>
      <c r="F40" s="13" t="s">
        <v>314</v>
      </c>
      <c r="G40" s="6" t="s">
        <v>30</v>
      </c>
      <c r="H40" s="6" t="s">
        <v>30</v>
      </c>
      <c r="I40" s="14" t="n">
        <v>850000</v>
      </c>
      <c r="J40" s="15" t="n">
        <v>950000</v>
      </c>
      <c r="K40" s="15" t="n">
        <v>700000</v>
      </c>
      <c r="L40" s="6" t="s">
        <v>193</v>
      </c>
      <c r="M40" s="16" t="n">
        <v>117000000</v>
      </c>
      <c r="N40" s="17" t="n">
        <v>1</v>
      </c>
      <c r="O40" s="17" t="n">
        <v>10</v>
      </c>
      <c r="P40" s="18" t="n">
        <v>0.08</v>
      </c>
      <c r="Q40" s="19" t="n">
        <v>1</v>
      </c>
      <c r="R40" s="13" t="s">
        <v>315</v>
      </c>
      <c r="S40" s="20" t="s">
        <v>81</v>
      </c>
      <c r="T40" s="6" t="s">
        <v>82</v>
      </c>
      <c r="U40" s="13" t="s">
        <v>316</v>
      </c>
      <c r="V40" s="21"/>
      <c r="W40" s="22"/>
      <c r="X40" s="22"/>
      <c r="Y40" s="23"/>
    </row>
    <row r="41" customFormat="false" ht="30" hidden="false" customHeight="true" outlineLevel="0" collapsed="false">
      <c r="A41" s="6" t="n">
        <v>40</v>
      </c>
      <c r="B41" s="6" t="s">
        <v>298</v>
      </c>
      <c r="C41" s="6" t="s">
        <v>317</v>
      </c>
      <c r="D41" s="6" t="s">
        <v>318</v>
      </c>
      <c r="E41" s="6" t="s">
        <v>319</v>
      </c>
      <c r="F41" s="13" t="s">
        <v>320</v>
      </c>
      <c r="G41" s="6" t="s">
        <v>30</v>
      </c>
      <c r="H41" s="6" t="s">
        <v>30</v>
      </c>
      <c r="I41" s="14" t="n">
        <v>45000</v>
      </c>
      <c r="J41" s="15" t="n">
        <v>50000</v>
      </c>
      <c r="K41" s="15" t="n">
        <v>35000</v>
      </c>
      <c r="L41" s="6" t="s">
        <v>193</v>
      </c>
      <c r="M41" s="16" t="n">
        <v>6200000</v>
      </c>
      <c r="N41" s="17" t="n">
        <v>1</v>
      </c>
      <c r="O41" s="17" t="n">
        <v>7</v>
      </c>
      <c r="P41" s="18" t="n">
        <v>0.2</v>
      </c>
      <c r="Q41" s="19" t="n">
        <v>0</v>
      </c>
      <c r="R41" s="13" t="s">
        <v>321</v>
      </c>
      <c r="S41" s="25" t="s">
        <v>309</v>
      </c>
      <c r="T41" s="6" t="s">
        <v>82</v>
      </c>
      <c r="U41" s="13" t="s">
        <v>322</v>
      </c>
      <c r="V41" s="21"/>
      <c r="W41" s="22"/>
      <c r="X41" s="22"/>
      <c r="Y41" s="23"/>
    </row>
    <row r="42" customFormat="false" ht="30" hidden="false" customHeight="true" outlineLevel="0" collapsed="false">
      <c r="A42" s="6" t="n">
        <v>41</v>
      </c>
      <c r="B42" s="6" t="s">
        <v>298</v>
      </c>
      <c r="C42" s="6" t="s">
        <v>323</v>
      </c>
      <c r="D42" s="6" t="s">
        <v>324</v>
      </c>
      <c r="E42" s="6" t="s">
        <v>325</v>
      </c>
      <c r="F42" s="13" t="s">
        <v>326</v>
      </c>
      <c r="G42" s="6" t="s">
        <v>28</v>
      </c>
      <c r="H42" s="6" t="s">
        <v>30</v>
      </c>
      <c r="I42" s="14" t="n">
        <v>95000</v>
      </c>
      <c r="J42" s="15" t="n">
        <v>110000</v>
      </c>
      <c r="K42" s="15" t="n">
        <v>85000</v>
      </c>
      <c r="L42" s="6" t="s">
        <v>193</v>
      </c>
      <c r="M42" s="16" t="n">
        <v>13000000</v>
      </c>
      <c r="N42" s="17" t="n">
        <v>1</v>
      </c>
      <c r="O42" s="17" t="n">
        <v>10</v>
      </c>
      <c r="P42" s="18" t="n">
        <v>0.07</v>
      </c>
      <c r="Q42" s="19" t="n">
        <v>0.5</v>
      </c>
      <c r="R42" s="13" t="s">
        <v>327</v>
      </c>
      <c r="S42" s="24" t="s">
        <v>132</v>
      </c>
      <c r="T42" s="6" t="s">
        <v>82</v>
      </c>
      <c r="U42" s="13" t="s">
        <v>328</v>
      </c>
      <c r="V42" s="21"/>
      <c r="W42" s="22"/>
      <c r="X42" s="22"/>
      <c r="Y42" s="23"/>
    </row>
    <row r="43" customFormat="false" ht="30" hidden="false" customHeight="true" outlineLevel="0" collapsed="false">
      <c r="A43" s="6" t="n">
        <v>42</v>
      </c>
      <c r="B43" s="6" t="s">
        <v>298</v>
      </c>
      <c r="C43" s="6" t="s">
        <v>329</v>
      </c>
      <c r="D43" s="6" t="s">
        <v>330</v>
      </c>
      <c r="E43" s="6" t="s">
        <v>331</v>
      </c>
      <c r="F43" s="13" t="s">
        <v>332</v>
      </c>
      <c r="G43" s="6" t="s">
        <v>30</v>
      </c>
      <c r="H43" s="6" t="s">
        <v>30</v>
      </c>
      <c r="I43" s="14" t="n">
        <v>80000</v>
      </c>
      <c r="J43" s="15" t="n">
        <v>95000</v>
      </c>
      <c r="K43" s="15" t="n">
        <v>65000</v>
      </c>
      <c r="L43" s="6" t="s">
        <v>193</v>
      </c>
      <c r="M43" s="16" t="n">
        <v>11000000</v>
      </c>
      <c r="N43" s="17" t="n">
        <v>1</v>
      </c>
      <c r="O43" s="17" t="n">
        <v>7</v>
      </c>
      <c r="P43" s="18" t="n">
        <v>0.18</v>
      </c>
      <c r="Q43" s="19" t="n">
        <v>0.2</v>
      </c>
      <c r="R43" s="13" t="s">
        <v>333</v>
      </c>
      <c r="S43" s="20" t="s">
        <v>81</v>
      </c>
      <c r="T43" s="6" t="s">
        <v>82</v>
      </c>
      <c r="U43" s="13" t="s">
        <v>334</v>
      </c>
      <c r="V43" s="21"/>
      <c r="W43" s="22"/>
      <c r="X43" s="22"/>
      <c r="Y43" s="23"/>
    </row>
    <row r="44" customFormat="false" ht="30" hidden="false" customHeight="true" outlineLevel="0" collapsed="false">
      <c r="A44" s="6" t="n">
        <v>43</v>
      </c>
      <c r="B44" s="6" t="s">
        <v>298</v>
      </c>
      <c r="C44" s="6" t="s">
        <v>335</v>
      </c>
      <c r="D44" s="6" t="s">
        <v>336</v>
      </c>
      <c r="E44" s="6" t="s">
        <v>337</v>
      </c>
      <c r="F44" s="13" t="s">
        <v>338</v>
      </c>
      <c r="G44" s="6" t="s">
        <v>30</v>
      </c>
      <c r="H44" s="6" t="s">
        <v>28</v>
      </c>
      <c r="I44" s="14" t="n">
        <v>950000</v>
      </c>
      <c r="J44" s="15" t="n">
        <v>1100000</v>
      </c>
      <c r="K44" s="15" t="n">
        <v>850000</v>
      </c>
      <c r="L44" s="6" t="s">
        <v>193</v>
      </c>
      <c r="M44" s="16" t="n">
        <v>130000000</v>
      </c>
      <c r="N44" s="17" t="n">
        <v>1</v>
      </c>
      <c r="O44" s="17" t="n">
        <v>10</v>
      </c>
      <c r="P44" s="18" t="n">
        <v>0.08</v>
      </c>
      <c r="Q44" s="19" t="n">
        <v>1</v>
      </c>
      <c r="R44" s="13" t="s">
        <v>339</v>
      </c>
      <c r="S44" s="20" t="s">
        <v>81</v>
      </c>
      <c r="T44" s="6" t="s">
        <v>82</v>
      </c>
      <c r="U44" s="13" t="s">
        <v>340</v>
      </c>
      <c r="V44" s="21"/>
      <c r="W44" s="22"/>
      <c r="X44" s="22"/>
      <c r="Y44" s="23"/>
    </row>
    <row r="45" customFormat="false" ht="30" hidden="false" customHeight="true" outlineLevel="0" collapsed="false">
      <c r="A45" s="6" t="n">
        <v>44</v>
      </c>
      <c r="B45" s="6" t="s">
        <v>298</v>
      </c>
      <c r="C45" s="6" t="s">
        <v>335</v>
      </c>
      <c r="D45" s="6" t="s">
        <v>341</v>
      </c>
      <c r="E45" s="6" t="s">
        <v>342</v>
      </c>
      <c r="F45" s="13" t="s">
        <v>343</v>
      </c>
      <c r="G45" s="6" t="s">
        <v>30</v>
      </c>
      <c r="H45" s="6" t="s">
        <v>30</v>
      </c>
      <c r="I45" s="14" t="n">
        <v>2100000</v>
      </c>
      <c r="J45" s="15" t="n">
        <v>2400000</v>
      </c>
      <c r="K45" s="15" t="n">
        <v>1850000</v>
      </c>
      <c r="L45" s="6" t="s">
        <v>193</v>
      </c>
      <c r="M45" s="16" t="n">
        <v>290000000</v>
      </c>
      <c r="N45" s="17" t="n">
        <v>1</v>
      </c>
      <c r="O45" s="17" t="n">
        <v>10</v>
      </c>
      <c r="P45" s="18" t="n">
        <v>0.08</v>
      </c>
      <c r="Q45" s="19" t="n">
        <v>1.5</v>
      </c>
      <c r="R45" s="13" t="s">
        <v>344</v>
      </c>
      <c r="S45" s="20" t="s">
        <v>81</v>
      </c>
      <c r="T45" s="6" t="s">
        <v>82</v>
      </c>
      <c r="U45" s="13" t="s">
        <v>345</v>
      </c>
      <c r="V45" s="21"/>
      <c r="W45" s="22"/>
      <c r="X45" s="22"/>
      <c r="Y45" s="23"/>
    </row>
    <row r="46" customFormat="false" ht="30" hidden="false" customHeight="true" outlineLevel="0" collapsed="false">
      <c r="A46" s="6" t="n">
        <v>45</v>
      </c>
      <c r="B46" s="6" t="s">
        <v>298</v>
      </c>
      <c r="C46" s="6" t="s">
        <v>346</v>
      </c>
      <c r="D46" s="6" t="s">
        <v>347</v>
      </c>
      <c r="E46" s="6" t="s">
        <v>348</v>
      </c>
      <c r="F46" s="13" t="s">
        <v>349</v>
      </c>
      <c r="G46" s="6" t="s">
        <v>30</v>
      </c>
      <c r="H46" s="6" t="s">
        <v>30</v>
      </c>
      <c r="I46" s="14" t="n">
        <v>280000</v>
      </c>
      <c r="J46" s="15" t="n">
        <v>320000</v>
      </c>
      <c r="K46" s="15" t="n">
        <v>220000</v>
      </c>
      <c r="L46" s="6" t="s">
        <v>193</v>
      </c>
      <c r="M46" s="16" t="n">
        <v>38500000</v>
      </c>
      <c r="N46" s="17" t="n">
        <v>1</v>
      </c>
      <c r="O46" s="17" t="n">
        <v>10</v>
      </c>
      <c r="P46" s="18" t="n">
        <v>0.08</v>
      </c>
      <c r="Q46" s="19" t="n">
        <v>0.5</v>
      </c>
      <c r="R46" s="13" t="s">
        <v>350</v>
      </c>
      <c r="S46" s="20" t="s">
        <v>81</v>
      </c>
      <c r="T46" s="6" t="s">
        <v>82</v>
      </c>
      <c r="U46" s="13" t="s">
        <v>351</v>
      </c>
      <c r="V46" s="21"/>
      <c r="W46" s="22"/>
      <c r="X46" s="22"/>
      <c r="Y46" s="23"/>
    </row>
    <row r="47" customFormat="false" ht="30" hidden="false" customHeight="true" outlineLevel="0" collapsed="false">
      <c r="A47" s="6" t="n">
        <v>46</v>
      </c>
      <c r="B47" s="6" t="s">
        <v>298</v>
      </c>
      <c r="C47" s="6" t="s">
        <v>352</v>
      </c>
      <c r="D47" s="6" t="s">
        <v>353</v>
      </c>
      <c r="E47" s="6" t="s">
        <v>354</v>
      </c>
      <c r="F47" s="13" t="s">
        <v>355</v>
      </c>
      <c r="G47" s="6" t="s">
        <v>28</v>
      </c>
      <c r="H47" s="6" t="s">
        <v>30</v>
      </c>
      <c r="I47" s="14" t="n">
        <v>95000</v>
      </c>
      <c r="J47" s="15" t="n">
        <v>110000</v>
      </c>
      <c r="K47" s="15" t="n">
        <v>75000</v>
      </c>
      <c r="L47" s="6" t="s">
        <v>169</v>
      </c>
      <c r="M47" s="16" t="n">
        <v>13000000</v>
      </c>
      <c r="N47" s="17" t="n">
        <v>1</v>
      </c>
      <c r="O47" s="17" t="n">
        <v>8</v>
      </c>
      <c r="P47" s="18" t="n">
        <v>0.08</v>
      </c>
      <c r="Q47" s="19" t="n">
        <v>0.5</v>
      </c>
      <c r="R47" s="13" t="s">
        <v>356</v>
      </c>
      <c r="S47" s="24" t="s">
        <v>132</v>
      </c>
      <c r="T47" s="6" t="s">
        <v>82</v>
      </c>
      <c r="U47" s="13" t="s">
        <v>357</v>
      </c>
      <c r="V47" s="21"/>
      <c r="W47" s="22"/>
      <c r="X47" s="22"/>
      <c r="Y47" s="23"/>
    </row>
    <row r="48" customFormat="false" ht="30" hidden="false" customHeight="true" outlineLevel="0" collapsed="false">
      <c r="A48" s="6" t="n">
        <v>47</v>
      </c>
      <c r="B48" s="6" t="s">
        <v>298</v>
      </c>
      <c r="C48" s="6" t="s">
        <v>352</v>
      </c>
      <c r="D48" s="6" t="s">
        <v>358</v>
      </c>
      <c r="E48" s="6" t="s">
        <v>359</v>
      </c>
      <c r="F48" s="13" t="s">
        <v>360</v>
      </c>
      <c r="G48" s="6" t="s">
        <v>28</v>
      </c>
      <c r="H48" s="6" t="s">
        <v>30</v>
      </c>
      <c r="I48" s="14" t="n">
        <v>35000</v>
      </c>
      <c r="J48" s="15" t="n">
        <v>40000</v>
      </c>
      <c r="K48" s="15" t="n">
        <v>28000</v>
      </c>
      <c r="L48" s="6" t="s">
        <v>169</v>
      </c>
      <c r="M48" s="16" t="n">
        <v>4800000</v>
      </c>
      <c r="N48" s="17" t="n">
        <v>1</v>
      </c>
      <c r="O48" s="17" t="n">
        <v>7</v>
      </c>
      <c r="P48" s="18" t="n">
        <v>0.07</v>
      </c>
      <c r="Q48" s="19" t="n">
        <v>0</v>
      </c>
      <c r="R48" s="13" t="s">
        <v>361</v>
      </c>
      <c r="S48" s="20" t="s">
        <v>81</v>
      </c>
      <c r="T48" s="6" t="s">
        <v>82</v>
      </c>
      <c r="U48" s="13" t="s">
        <v>362</v>
      </c>
      <c r="V48" s="21"/>
      <c r="W48" s="22"/>
      <c r="X48" s="22"/>
      <c r="Y48" s="23"/>
    </row>
    <row r="49" customFormat="false" ht="30" hidden="false" customHeight="true" outlineLevel="0" collapsed="false">
      <c r="A49" s="6" t="n">
        <v>48</v>
      </c>
      <c r="B49" s="6" t="s">
        <v>298</v>
      </c>
      <c r="C49" s="6" t="s">
        <v>352</v>
      </c>
      <c r="D49" s="6" t="s">
        <v>363</v>
      </c>
      <c r="E49" s="6" t="s">
        <v>364</v>
      </c>
      <c r="F49" s="13" t="s">
        <v>365</v>
      </c>
      <c r="G49" s="6" t="s">
        <v>28</v>
      </c>
      <c r="H49" s="6" t="s">
        <v>30</v>
      </c>
      <c r="I49" s="14" t="n">
        <v>130000</v>
      </c>
      <c r="J49" s="15" t="n">
        <v>150000</v>
      </c>
      <c r="K49" s="15" t="n">
        <v>110000</v>
      </c>
      <c r="L49" s="6" t="s">
        <v>193</v>
      </c>
      <c r="M49" s="16" t="n">
        <v>18000000</v>
      </c>
      <c r="N49" s="17" t="n">
        <v>1</v>
      </c>
      <c r="O49" s="17" t="n">
        <v>8</v>
      </c>
      <c r="P49" s="18" t="n">
        <v>0.08</v>
      </c>
      <c r="Q49" s="19" t="n">
        <v>0.5</v>
      </c>
      <c r="R49" s="13" t="s">
        <v>366</v>
      </c>
      <c r="S49" s="24" t="s">
        <v>132</v>
      </c>
      <c r="T49" s="6" t="s">
        <v>82</v>
      </c>
      <c r="U49" s="13" t="s">
        <v>367</v>
      </c>
      <c r="V49" s="21"/>
      <c r="W49" s="22"/>
      <c r="X49" s="22"/>
      <c r="Y49" s="23"/>
    </row>
    <row r="50" customFormat="false" ht="30" hidden="false" customHeight="true" outlineLevel="0" collapsed="false">
      <c r="A50" s="6" t="n">
        <v>49</v>
      </c>
      <c r="B50" s="6" t="s">
        <v>298</v>
      </c>
      <c r="C50" s="6" t="s">
        <v>368</v>
      </c>
      <c r="D50" s="6" t="s">
        <v>369</v>
      </c>
      <c r="E50" s="6" t="s">
        <v>370</v>
      </c>
      <c r="F50" s="13" t="s">
        <v>371</v>
      </c>
      <c r="G50" s="6" t="s">
        <v>28</v>
      </c>
      <c r="H50" s="6" t="s">
        <v>30</v>
      </c>
      <c r="I50" s="14" t="n">
        <v>130000</v>
      </c>
      <c r="J50" s="15" t="n">
        <v>150000</v>
      </c>
      <c r="K50" s="15" t="n">
        <v>95000</v>
      </c>
      <c r="L50" s="6" t="s">
        <v>169</v>
      </c>
      <c r="M50" s="16" t="n">
        <v>18000000</v>
      </c>
      <c r="N50" s="17" t="n">
        <v>1</v>
      </c>
      <c r="O50" s="17" t="n">
        <v>10</v>
      </c>
      <c r="P50" s="18" t="n">
        <v>0.06</v>
      </c>
      <c r="Q50" s="19" t="n">
        <v>0.5</v>
      </c>
      <c r="R50" s="13" t="s">
        <v>372</v>
      </c>
      <c r="S50" s="24" t="s">
        <v>132</v>
      </c>
      <c r="T50" s="6" t="s">
        <v>82</v>
      </c>
      <c r="U50" s="13" t="s">
        <v>373</v>
      </c>
      <c r="V50" s="21"/>
      <c r="W50" s="22"/>
      <c r="X50" s="22"/>
      <c r="Y50" s="23"/>
    </row>
    <row r="51" customFormat="false" ht="30" hidden="false" customHeight="true" outlineLevel="0" collapsed="false">
      <c r="A51" s="6" t="n">
        <v>50</v>
      </c>
      <c r="B51" s="6" t="s">
        <v>374</v>
      </c>
      <c r="C51" s="6" t="s">
        <v>375</v>
      </c>
      <c r="D51" s="6" t="s">
        <v>376</v>
      </c>
      <c r="E51" s="6" t="s">
        <v>377</v>
      </c>
      <c r="F51" s="13" t="s">
        <v>378</v>
      </c>
      <c r="G51" s="6" t="s">
        <v>26</v>
      </c>
      <c r="H51" s="6" t="s">
        <v>28</v>
      </c>
      <c r="I51" s="14" t="n">
        <v>110000</v>
      </c>
      <c r="J51" s="15" t="n">
        <v>130000</v>
      </c>
      <c r="K51" s="15" t="n">
        <v>105000</v>
      </c>
      <c r="L51" s="6" t="s">
        <v>79</v>
      </c>
      <c r="M51" s="16" t="n">
        <v>15200000</v>
      </c>
      <c r="N51" s="17" t="n">
        <v>1</v>
      </c>
      <c r="O51" s="17" t="n">
        <v>8</v>
      </c>
      <c r="P51" s="18" t="n">
        <v>0.06</v>
      </c>
      <c r="Q51" s="19" t="n">
        <v>0.2</v>
      </c>
      <c r="R51" s="13" t="s">
        <v>379</v>
      </c>
      <c r="S51" s="20" t="s">
        <v>81</v>
      </c>
      <c r="T51" s="6" t="s">
        <v>82</v>
      </c>
      <c r="U51" s="13" t="s">
        <v>380</v>
      </c>
      <c r="V51" s="21"/>
      <c r="W51" s="22"/>
      <c r="X51" s="22"/>
      <c r="Y51" s="23"/>
    </row>
    <row r="52" customFormat="false" ht="30" hidden="false" customHeight="true" outlineLevel="0" collapsed="false">
      <c r="A52" s="6" t="n">
        <v>51</v>
      </c>
      <c r="B52" s="6" t="s">
        <v>374</v>
      </c>
      <c r="C52" s="6" t="s">
        <v>381</v>
      </c>
      <c r="D52" s="6" t="s">
        <v>382</v>
      </c>
      <c r="E52" s="6" t="s">
        <v>383</v>
      </c>
      <c r="F52" s="13" t="s">
        <v>384</v>
      </c>
      <c r="G52" s="6" t="s">
        <v>26</v>
      </c>
      <c r="H52" s="6" t="s">
        <v>28</v>
      </c>
      <c r="I52" s="14" t="n">
        <v>28000</v>
      </c>
      <c r="J52" s="15" t="n">
        <v>33000</v>
      </c>
      <c r="K52" s="15" t="n">
        <v>26000</v>
      </c>
      <c r="L52" s="6" t="s">
        <v>79</v>
      </c>
      <c r="M52" s="16" t="n">
        <v>3850000</v>
      </c>
      <c r="N52" s="17" t="n">
        <v>1</v>
      </c>
      <c r="O52" s="17" t="n">
        <v>20</v>
      </c>
      <c r="P52" s="18" t="n">
        <v>0.02</v>
      </c>
      <c r="Q52" s="19" t="n">
        <v>0</v>
      </c>
      <c r="R52" s="13" t="s">
        <v>385</v>
      </c>
      <c r="S52" s="24" t="s">
        <v>132</v>
      </c>
      <c r="T52" s="6" t="s">
        <v>82</v>
      </c>
      <c r="U52" s="13" t="s">
        <v>386</v>
      </c>
      <c r="V52" s="21"/>
      <c r="W52" s="22"/>
      <c r="X52" s="22"/>
      <c r="Y52" s="23"/>
    </row>
    <row r="53" customFormat="false" ht="30" hidden="false" customHeight="true" outlineLevel="0" collapsed="false">
      <c r="A53" s="6" t="n">
        <v>52</v>
      </c>
      <c r="B53" s="6" t="s">
        <v>374</v>
      </c>
      <c r="C53" s="6" t="s">
        <v>387</v>
      </c>
      <c r="D53" s="6" t="s">
        <v>388</v>
      </c>
      <c r="E53" s="6" t="s">
        <v>389</v>
      </c>
      <c r="F53" s="13" t="s">
        <v>390</v>
      </c>
      <c r="G53" s="6" t="s">
        <v>26</v>
      </c>
      <c r="H53" s="6" t="s">
        <v>28</v>
      </c>
      <c r="I53" s="14" t="n">
        <v>60000</v>
      </c>
      <c r="J53" s="15" t="n">
        <v>72000</v>
      </c>
      <c r="K53" s="15" t="n">
        <v>56000</v>
      </c>
      <c r="L53" s="6" t="s">
        <v>79</v>
      </c>
      <c r="M53" s="16" t="n">
        <v>8200000</v>
      </c>
      <c r="N53" s="17" t="n">
        <v>1</v>
      </c>
      <c r="O53" s="17" t="n">
        <v>12</v>
      </c>
      <c r="P53" s="18" t="n">
        <v>0.03</v>
      </c>
      <c r="Q53" s="19" t="n">
        <v>0.2</v>
      </c>
      <c r="R53" s="13" t="s">
        <v>391</v>
      </c>
      <c r="S53" s="20" t="s">
        <v>81</v>
      </c>
      <c r="T53" s="6" t="s">
        <v>82</v>
      </c>
      <c r="U53" s="13" t="s">
        <v>392</v>
      </c>
      <c r="V53" s="21"/>
      <c r="W53" s="22"/>
      <c r="X53" s="22"/>
      <c r="Y53" s="23"/>
    </row>
    <row r="54" customFormat="false" ht="30" hidden="false" customHeight="true" outlineLevel="0" collapsed="false">
      <c r="A54" s="6" t="n">
        <v>53</v>
      </c>
      <c r="B54" s="6" t="s">
        <v>374</v>
      </c>
      <c r="C54" s="6" t="s">
        <v>393</v>
      </c>
      <c r="D54" s="6" t="s">
        <v>394</v>
      </c>
      <c r="E54" s="6" t="s">
        <v>395</v>
      </c>
      <c r="F54" s="13" t="s">
        <v>396</v>
      </c>
      <c r="G54" s="6" t="s">
        <v>26</v>
      </c>
      <c r="H54" s="6" t="s">
        <v>28</v>
      </c>
      <c r="I54" s="14" t="n">
        <v>18000</v>
      </c>
      <c r="J54" s="15" t="n">
        <v>22000</v>
      </c>
      <c r="K54" s="15" t="n">
        <v>17000</v>
      </c>
      <c r="L54" s="6" t="s">
        <v>79</v>
      </c>
      <c r="M54" s="16" t="n">
        <v>2480000</v>
      </c>
      <c r="N54" s="17" t="n">
        <v>1</v>
      </c>
      <c r="O54" s="17" t="n">
        <v>25</v>
      </c>
      <c r="P54" s="18" t="n">
        <v>0.02</v>
      </c>
      <c r="Q54" s="19" t="n">
        <v>0</v>
      </c>
      <c r="R54" s="13" t="s">
        <v>397</v>
      </c>
      <c r="S54" s="24" t="s">
        <v>132</v>
      </c>
      <c r="T54" s="6" t="s">
        <v>82</v>
      </c>
      <c r="U54" s="13" t="s">
        <v>398</v>
      </c>
      <c r="V54" s="21"/>
      <c r="W54" s="22"/>
      <c r="X54" s="22"/>
      <c r="Y54" s="23"/>
    </row>
    <row r="55" customFormat="false" ht="30" hidden="false" customHeight="true" outlineLevel="0" collapsed="false">
      <c r="A55" s="6" t="n">
        <v>54</v>
      </c>
      <c r="B55" s="6" t="s">
        <v>374</v>
      </c>
      <c r="C55" s="6" t="s">
        <v>399</v>
      </c>
      <c r="D55" s="6" t="s">
        <v>400</v>
      </c>
      <c r="E55" s="6" t="s">
        <v>401</v>
      </c>
      <c r="F55" s="13" t="s">
        <v>402</v>
      </c>
      <c r="G55" s="6" t="s">
        <v>26</v>
      </c>
      <c r="H55" s="6" t="s">
        <v>28</v>
      </c>
      <c r="I55" s="14" t="n">
        <v>180000</v>
      </c>
      <c r="J55" s="15" t="n">
        <v>210000</v>
      </c>
      <c r="K55" s="15" t="n">
        <v>170000</v>
      </c>
      <c r="L55" s="6" t="s">
        <v>79</v>
      </c>
      <c r="M55" s="16" t="n">
        <v>25000000</v>
      </c>
      <c r="N55" s="17" t="n">
        <v>1</v>
      </c>
      <c r="O55" s="17" t="n">
        <v>10</v>
      </c>
      <c r="P55" s="18" t="n">
        <v>0.04</v>
      </c>
      <c r="Q55" s="19" t="n">
        <v>0.5</v>
      </c>
      <c r="R55" s="13" t="s">
        <v>403</v>
      </c>
      <c r="S55" s="20" t="s">
        <v>81</v>
      </c>
      <c r="T55" s="6" t="s">
        <v>82</v>
      </c>
      <c r="U55" s="13" t="s">
        <v>404</v>
      </c>
      <c r="V55" s="21"/>
      <c r="W55" s="22"/>
      <c r="X55" s="22"/>
      <c r="Y55" s="23"/>
    </row>
    <row r="56" customFormat="false" ht="30" hidden="false" customHeight="true" outlineLevel="0" collapsed="false">
      <c r="A56" s="6" t="n">
        <v>55</v>
      </c>
      <c r="B56" s="6" t="s">
        <v>374</v>
      </c>
      <c r="C56" s="6" t="s">
        <v>405</v>
      </c>
      <c r="D56" s="6" t="s">
        <v>406</v>
      </c>
      <c r="E56" s="6" t="s">
        <v>407</v>
      </c>
      <c r="F56" s="13" t="s">
        <v>408</v>
      </c>
      <c r="G56" s="6" t="s">
        <v>26</v>
      </c>
      <c r="H56" s="6" t="s">
        <v>26</v>
      </c>
      <c r="I56" s="14" t="n">
        <v>45000</v>
      </c>
      <c r="J56" s="15" t="n">
        <v>54000</v>
      </c>
      <c r="K56" s="15" t="n">
        <v>42000</v>
      </c>
      <c r="L56" s="6" t="s">
        <v>79</v>
      </c>
      <c r="M56" s="16" t="n">
        <v>6200000</v>
      </c>
      <c r="N56" s="17" t="n">
        <v>1</v>
      </c>
      <c r="O56" s="17" t="n">
        <v>10</v>
      </c>
      <c r="P56" s="18" t="n">
        <v>0.05</v>
      </c>
      <c r="Q56" s="19" t="n">
        <v>1</v>
      </c>
      <c r="R56" s="13" t="s">
        <v>409</v>
      </c>
      <c r="S56" s="20" t="s">
        <v>81</v>
      </c>
      <c r="T56" s="6" t="s">
        <v>82</v>
      </c>
      <c r="U56" s="13" t="s">
        <v>410</v>
      </c>
      <c r="V56" s="21"/>
      <c r="W56" s="22"/>
      <c r="X56" s="22"/>
      <c r="Y56" s="23"/>
    </row>
    <row r="57" customFormat="false" ht="30" hidden="false" customHeight="true" outlineLevel="0" collapsed="false">
      <c r="A57" s="6" t="n">
        <v>56</v>
      </c>
      <c r="B57" s="6" t="s">
        <v>411</v>
      </c>
      <c r="C57" s="6" t="s">
        <v>412</v>
      </c>
      <c r="D57" s="6" t="s">
        <v>413</v>
      </c>
      <c r="E57" s="6" t="s">
        <v>414</v>
      </c>
      <c r="F57" s="13" t="s">
        <v>415</v>
      </c>
      <c r="G57" s="6" t="s">
        <v>26</v>
      </c>
      <c r="H57" s="6" t="s">
        <v>26</v>
      </c>
      <c r="I57" s="14" t="n">
        <v>35000</v>
      </c>
      <c r="J57" s="15" t="n">
        <v>42000</v>
      </c>
      <c r="K57" s="15" t="n">
        <v>33000</v>
      </c>
      <c r="L57" s="6" t="s">
        <v>79</v>
      </c>
      <c r="M57" s="16" t="n">
        <v>4800000</v>
      </c>
      <c r="N57" s="17" t="n">
        <v>2</v>
      </c>
      <c r="O57" s="17" t="n">
        <v>15</v>
      </c>
      <c r="P57" s="18" t="n">
        <v>0.05</v>
      </c>
      <c r="Q57" s="19" t="n">
        <v>0.05</v>
      </c>
      <c r="R57" s="13" t="s">
        <v>416</v>
      </c>
      <c r="S57" s="20" t="s">
        <v>81</v>
      </c>
      <c r="T57" s="6" t="s">
        <v>82</v>
      </c>
      <c r="U57" s="13" t="s">
        <v>417</v>
      </c>
      <c r="V57" s="21"/>
      <c r="W57" s="22"/>
      <c r="X57" s="22"/>
      <c r="Y57" s="23"/>
    </row>
    <row r="58" customFormat="false" ht="30" hidden="false" customHeight="true" outlineLevel="0" collapsed="false">
      <c r="A58" s="6" t="n">
        <v>57</v>
      </c>
      <c r="B58" s="6" t="s">
        <v>411</v>
      </c>
      <c r="C58" s="6" t="s">
        <v>418</v>
      </c>
      <c r="D58" s="6" t="s">
        <v>419</v>
      </c>
      <c r="E58" s="6" t="s">
        <v>420</v>
      </c>
      <c r="F58" s="13" t="s">
        <v>421</v>
      </c>
      <c r="G58" s="6" t="s">
        <v>26</v>
      </c>
      <c r="H58" s="6" t="s">
        <v>28</v>
      </c>
      <c r="I58" s="14" t="n">
        <v>28000</v>
      </c>
      <c r="J58" s="15" t="n">
        <v>33000</v>
      </c>
      <c r="K58" s="15" t="n">
        <v>26000</v>
      </c>
      <c r="L58" s="6" t="s">
        <v>79</v>
      </c>
      <c r="M58" s="16" t="n">
        <v>3800000</v>
      </c>
      <c r="N58" s="17" t="n">
        <v>2</v>
      </c>
      <c r="O58" s="17" t="n">
        <v>10</v>
      </c>
      <c r="P58" s="18" t="n">
        <v>0.06</v>
      </c>
      <c r="Q58" s="19" t="n">
        <v>0.3</v>
      </c>
      <c r="R58" s="13" t="s">
        <v>422</v>
      </c>
      <c r="S58" s="24" t="s">
        <v>132</v>
      </c>
      <c r="T58" s="6" t="s">
        <v>82</v>
      </c>
      <c r="U58" s="13" t="s">
        <v>423</v>
      </c>
      <c r="V58" s="21"/>
      <c r="W58" s="22"/>
      <c r="X58" s="22"/>
      <c r="Y58" s="23"/>
    </row>
    <row r="59" customFormat="false" ht="30" hidden="false" customHeight="true" outlineLevel="0" collapsed="false">
      <c r="A59" s="6" t="n">
        <v>58</v>
      </c>
      <c r="B59" s="6" t="s">
        <v>411</v>
      </c>
      <c r="C59" s="6" t="s">
        <v>424</v>
      </c>
      <c r="D59" s="6" t="s">
        <v>425</v>
      </c>
      <c r="E59" s="6" t="s">
        <v>426</v>
      </c>
      <c r="F59" s="13" t="s">
        <v>427</v>
      </c>
      <c r="G59" s="6" t="s">
        <v>26</v>
      </c>
      <c r="H59" s="6" t="s">
        <v>30</v>
      </c>
      <c r="I59" s="14" t="n">
        <v>90000</v>
      </c>
      <c r="J59" s="15" t="n">
        <v>110000</v>
      </c>
      <c r="K59" s="15" t="n">
        <v>85000</v>
      </c>
      <c r="L59" s="6" t="s">
        <v>79</v>
      </c>
      <c r="M59" s="16" t="n">
        <v>12500000</v>
      </c>
      <c r="N59" s="17" t="n">
        <v>1</v>
      </c>
      <c r="O59" s="17" t="n">
        <v>20</v>
      </c>
      <c r="P59" s="18" t="n">
        <v>0.04</v>
      </c>
      <c r="Q59" s="19" t="n">
        <v>0.2</v>
      </c>
      <c r="R59" s="13" t="s">
        <v>428</v>
      </c>
      <c r="S59" s="20" t="s">
        <v>81</v>
      </c>
      <c r="T59" s="6" t="s">
        <v>82</v>
      </c>
      <c r="U59" s="13" t="s">
        <v>429</v>
      </c>
      <c r="V59" s="21"/>
      <c r="W59" s="22"/>
      <c r="X59" s="22"/>
      <c r="Y59" s="23"/>
    </row>
    <row r="60" customFormat="false" ht="30" hidden="false" customHeight="true" outlineLevel="0" collapsed="false">
      <c r="A60" s="6" t="n">
        <v>59</v>
      </c>
      <c r="B60" s="6" t="s">
        <v>411</v>
      </c>
      <c r="C60" s="6" t="s">
        <v>430</v>
      </c>
      <c r="D60" s="6" t="s">
        <v>431</v>
      </c>
      <c r="E60" s="6" t="s">
        <v>432</v>
      </c>
      <c r="F60" s="13" t="s">
        <v>433</v>
      </c>
      <c r="G60" s="6" t="s">
        <v>26</v>
      </c>
      <c r="H60" s="6" t="s">
        <v>30</v>
      </c>
      <c r="I60" s="14" t="n">
        <v>45000</v>
      </c>
      <c r="J60" s="15" t="n">
        <v>55000</v>
      </c>
      <c r="K60" s="15" t="n">
        <v>43000</v>
      </c>
      <c r="L60" s="6" t="s">
        <v>79</v>
      </c>
      <c r="M60" s="16" t="n">
        <v>6200000</v>
      </c>
      <c r="N60" s="17" t="n">
        <v>1</v>
      </c>
      <c r="O60" s="17" t="n">
        <v>20</v>
      </c>
      <c r="P60" s="18" t="n">
        <v>0.04</v>
      </c>
      <c r="Q60" s="19" t="n">
        <v>0.1</v>
      </c>
      <c r="R60" s="13" t="s">
        <v>434</v>
      </c>
      <c r="S60" s="25" t="s">
        <v>309</v>
      </c>
      <c r="T60" s="6" t="s">
        <v>82</v>
      </c>
      <c r="U60" s="13" t="s">
        <v>435</v>
      </c>
      <c r="V60" s="21"/>
      <c r="W60" s="22"/>
      <c r="X60" s="22"/>
      <c r="Y60" s="23"/>
    </row>
    <row r="61" customFormat="false" ht="30" hidden="false" customHeight="true" outlineLevel="0" collapsed="false">
      <c r="A61" s="6" t="n">
        <v>60</v>
      </c>
      <c r="B61" s="6" t="s">
        <v>411</v>
      </c>
      <c r="C61" s="6" t="s">
        <v>436</v>
      </c>
      <c r="D61" s="6" t="s">
        <v>437</v>
      </c>
      <c r="E61" s="6" t="s">
        <v>438</v>
      </c>
      <c r="F61" s="13" t="s">
        <v>439</v>
      </c>
      <c r="G61" s="6" t="s">
        <v>26</v>
      </c>
      <c r="H61" s="6" t="s">
        <v>28</v>
      </c>
      <c r="I61" s="14" t="n">
        <v>5500</v>
      </c>
      <c r="J61" s="15" t="n">
        <v>6800</v>
      </c>
      <c r="K61" s="15" t="n">
        <v>5200</v>
      </c>
      <c r="L61" s="6" t="s">
        <v>79</v>
      </c>
      <c r="M61" s="16" t="n">
        <v>760000</v>
      </c>
      <c r="N61" s="17" t="n">
        <v>14</v>
      </c>
      <c r="O61" s="17" t="n">
        <v>10</v>
      </c>
      <c r="P61" s="18" t="n">
        <v>0.04</v>
      </c>
      <c r="Q61" s="19" t="n">
        <v>0</v>
      </c>
      <c r="R61" s="13" t="s">
        <v>440</v>
      </c>
      <c r="S61" s="24" t="s">
        <v>132</v>
      </c>
      <c r="T61" s="6" t="s">
        <v>82</v>
      </c>
      <c r="U61" s="13" t="s">
        <v>441</v>
      </c>
      <c r="V61" s="21"/>
      <c r="W61" s="22"/>
      <c r="X61" s="22"/>
      <c r="Y61" s="23"/>
    </row>
    <row r="62" customFormat="false" ht="30" hidden="false" customHeight="true" outlineLevel="0" collapsed="false">
      <c r="A62" s="6" t="n">
        <v>61</v>
      </c>
      <c r="B62" s="6" t="s">
        <v>411</v>
      </c>
      <c r="C62" s="6" t="s">
        <v>442</v>
      </c>
      <c r="D62" s="6" t="s">
        <v>443</v>
      </c>
      <c r="E62" s="6" t="s">
        <v>444</v>
      </c>
      <c r="F62" s="13" t="s">
        <v>445</v>
      </c>
      <c r="G62" s="6" t="s">
        <v>26</v>
      </c>
      <c r="H62" s="6" t="s">
        <v>28</v>
      </c>
      <c r="I62" s="14" t="n">
        <v>60000</v>
      </c>
      <c r="J62" s="15" t="n">
        <v>72000</v>
      </c>
      <c r="K62" s="15" t="n">
        <v>58000</v>
      </c>
      <c r="L62" s="6" t="s">
        <v>79</v>
      </c>
      <c r="M62" s="16" t="n">
        <v>8200000</v>
      </c>
      <c r="N62" s="17" t="n">
        <v>1</v>
      </c>
      <c r="O62" s="17" t="n">
        <v>15</v>
      </c>
      <c r="P62" s="18" t="n">
        <v>0.05</v>
      </c>
      <c r="Q62" s="19" t="n">
        <v>0.2</v>
      </c>
      <c r="R62" s="13" t="s">
        <v>446</v>
      </c>
      <c r="S62" s="20" t="s">
        <v>81</v>
      </c>
      <c r="T62" s="6" t="s">
        <v>82</v>
      </c>
      <c r="U62" s="13" t="s">
        <v>447</v>
      </c>
      <c r="V62" s="21"/>
      <c r="W62" s="22"/>
      <c r="X62" s="22"/>
      <c r="Y62" s="23"/>
    </row>
    <row r="63" customFormat="false" ht="30" hidden="false" customHeight="true" outlineLevel="0" collapsed="false">
      <c r="A63" s="6" t="n">
        <v>62</v>
      </c>
      <c r="B63" s="6" t="s">
        <v>411</v>
      </c>
      <c r="C63" s="6" t="s">
        <v>448</v>
      </c>
      <c r="D63" s="6" t="s">
        <v>449</v>
      </c>
      <c r="E63" s="6" t="s">
        <v>450</v>
      </c>
      <c r="F63" s="13" t="s">
        <v>451</v>
      </c>
      <c r="G63" s="6" t="s">
        <v>26</v>
      </c>
      <c r="H63" s="6" t="s">
        <v>28</v>
      </c>
      <c r="I63" s="14" t="n">
        <v>280000</v>
      </c>
      <c r="J63" s="15" t="n">
        <v>330000</v>
      </c>
      <c r="K63" s="15" t="n">
        <v>270000</v>
      </c>
      <c r="L63" s="6" t="s">
        <v>79</v>
      </c>
      <c r="M63" s="16" t="n">
        <v>38500000</v>
      </c>
      <c r="N63" s="17" t="n">
        <v>1</v>
      </c>
      <c r="O63" s="17" t="n">
        <v>25</v>
      </c>
      <c r="P63" s="18" t="n">
        <v>0.05</v>
      </c>
      <c r="Q63" s="19" t="n">
        <v>0.5</v>
      </c>
      <c r="R63" s="13" t="s">
        <v>452</v>
      </c>
      <c r="S63" s="25" t="s">
        <v>309</v>
      </c>
      <c r="T63" s="6" t="s">
        <v>82</v>
      </c>
      <c r="U63" s="13" t="s">
        <v>453</v>
      </c>
      <c r="V63" s="21"/>
      <c r="W63" s="22"/>
      <c r="X63" s="22"/>
      <c r="Y63" s="23"/>
    </row>
    <row r="64" customFormat="false" ht="30" hidden="false" customHeight="true" outlineLevel="0" collapsed="false">
      <c r="A64" s="6" t="n">
        <v>63</v>
      </c>
      <c r="B64" s="6" t="s">
        <v>411</v>
      </c>
      <c r="C64" s="6" t="s">
        <v>454</v>
      </c>
      <c r="D64" s="6" t="s">
        <v>455</v>
      </c>
      <c r="E64" s="6" t="s">
        <v>456</v>
      </c>
      <c r="F64" s="13" t="s">
        <v>457</v>
      </c>
      <c r="G64" s="6" t="s">
        <v>26</v>
      </c>
      <c r="H64" s="6" t="s">
        <v>28</v>
      </c>
      <c r="I64" s="14" t="n">
        <v>22000</v>
      </c>
      <c r="J64" s="15" t="n">
        <v>26000</v>
      </c>
      <c r="K64" s="15" t="n">
        <v>20000</v>
      </c>
      <c r="L64" s="6" t="s">
        <v>79</v>
      </c>
      <c r="M64" s="16" t="n">
        <v>3000000</v>
      </c>
      <c r="N64" s="17" t="n">
        <v>2</v>
      </c>
      <c r="O64" s="17" t="n">
        <v>12</v>
      </c>
      <c r="P64" s="18" t="n">
        <v>0.05</v>
      </c>
      <c r="Q64" s="19" t="n">
        <v>0.5</v>
      </c>
      <c r="R64" s="13" t="s">
        <v>458</v>
      </c>
      <c r="S64" s="20" t="s">
        <v>81</v>
      </c>
      <c r="T64" s="6" t="s">
        <v>82</v>
      </c>
      <c r="U64" s="13" t="s">
        <v>459</v>
      </c>
      <c r="V64" s="21"/>
      <c r="W64" s="22"/>
      <c r="X64" s="22"/>
      <c r="Y64" s="23"/>
    </row>
    <row r="65" customFormat="false" ht="30" hidden="false" customHeight="true" outlineLevel="0" collapsed="false">
      <c r="A65" s="6" t="n">
        <v>64</v>
      </c>
      <c r="B65" s="6" t="s">
        <v>411</v>
      </c>
      <c r="C65" s="6" t="s">
        <v>460</v>
      </c>
      <c r="D65" s="6" t="s">
        <v>461</v>
      </c>
      <c r="E65" s="6" t="s">
        <v>462</v>
      </c>
      <c r="F65" s="13" t="s">
        <v>463</v>
      </c>
      <c r="G65" s="6" t="s">
        <v>26</v>
      </c>
      <c r="H65" s="6" t="s">
        <v>30</v>
      </c>
      <c r="I65" s="14" t="n">
        <v>22000</v>
      </c>
      <c r="J65" s="15" t="n">
        <v>26000</v>
      </c>
      <c r="K65" s="15" t="n">
        <v>20000</v>
      </c>
      <c r="L65" s="6" t="s">
        <v>79</v>
      </c>
      <c r="M65" s="16" t="n">
        <v>3000000</v>
      </c>
      <c r="N65" s="17" t="n">
        <v>2</v>
      </c>
      <c r="O65" s="17" t="n">
        <v>12</v>
      </c>
      <c r="P65" s="18" t="n">
        <v>0.05</v>
      </c>
      <c r="Q65" s="19" t="n">
        <v>0</v>
      </c>
      <c r="R65" s="13" t="s">
        <v>464</v>
      </c>
      <c r="S65" s="20" t="s">
        <v>81</v>
      </c>
      <c r="T65" s="6" t="s">
        <v>82</v>
      </c>
      <c r="U65" s="13" t="s">
        <v>465</v>
      </c>
      <c r="V65" s="21"/>
      <c r="W65" s="22"/>
      <c r="X65" s="22"/>
      <c r="Y65" s="23"/>
    </row>
    <row r="66" customFormat="false" ht="30" hidden="false" customHeight="true" outlineLevel="0" collapsed="false">
      <c r="A66" s="6" t="n">
        <v>65</v>
      </c>
      <c r="B66" s="6" t="s">
        <v>466</v>
      </c>
      <c r="C66" s="6" t="s">
        <v>467</v>
      </c>
      <c r="D66" s="6" t="s">
        <v>468</v>
      </c>
      <c r="E66" s="6" t="s">
        <v>469</v>
      </c>
      <c r="F66" s="13" t="s">
        <v>470</v>
      </c>
      <c r="G66" s="6" t="s">
        <v>26</v>
      </c>
      <c r="H66" s="6" t="s">
        <v>30</v>
      </c>
      <c r="I66" s="14" t="n">
        <v>165000</v>
      </c>
      <c r="J66" s="15" t="n">
        <v>200000</v>
      </c>
      <c r="K66" s="15" t="n">
        <v>130000</v>
      </c>
      <c r="L66" s="6" t="s">
        <v>169</v>
      </c>
      <c r="M66" s="16" t="n">
        <v>20500000</v>
      </c>
      <c r="N66" s="17" t="n">
        <v>1</v>
      </c>
      <c r="O66" s="17" t="n">
        <v>12</v>
      </c>
      <c r="P66" s="18" t="n">
        <v>0.04</v>
      </c>
      <c r="Q66" s="19" t="n">
        <v>0</v>
      </c>
      <c r="R66" s="13" t="s">
        <v>471</v>
      </c>
      <c r="S66" s="24" t="s">
        <v>132</v>
      </c>
      <c r="T66" s="6" t="s">
        <v>82</v>
      </c>
      <c r="U66" s="13" t="s">
        <v>472</v>
      </c>
      <c r="V66" s="21"/>
      <c r="W66" s="22"/>
      <c r="X66" s="22"/>
      <c r="Y66" s="23"/>
    </row>
    <row r="67" customFormat="false" ht="30" hidden="false" customHeight="true" outlineLevel="0" collapsed="false">
      <c r="A67" s="6" t="n">
        <v>66</v>
      </c>
      <c r="B67" s="6" t="s">
        <v>466</v>
      </c>
      <c r="C67" s="6" t="s">
        <v>473</v>
      </c>
      <c r="D67" s="6" t="s">
        <v>474</v>
      </c>
      <c r="E67" s="6" t="s">
        <v>475</v>
      </c>
      <c r="F67" s="13" t="s">
        <v>476</v>
      </c>
      <c r="G67" s="6" t="s">
        <v>28</v>
      </c>
      <c r="H67" s="6" t="s">
        <v>30</v>
      </c>
      <c r="I67" s="14" t="n">
        <v>180000</v>
      </c>
      <c r="J67" s="15" t="n">
        <v>220000</v>
      </c>
      <c r="K67" s="15" t="n">
        <v>150000</v>
      </c>
      <c r="L67" s="6" t="s">
        <v>193</v>
      </c>
      <c r="M67" s="16" t="n">
        <v>12000000</v>
      </c>
      <c r="N67" s="17" t="n">
        <v>1</v>
      </c>
      <c r="O67" s="17" t="n">
        <v>7</v>
      </c>
      <c r="P67" s="18" t="n">
        <v>0</v>
      </c>
      <c r="Q67" s="19" t="n">
        <v>0.5</v>
      </c>
      <c r="R67" s="13" t="s">
        <v>477</v>
      </c>
      <c r="S67" s="20" t="s">
        <v>81</v>
      </c>
      <c r="T67" s="6" t="s">
        <v>82</v>
      </c>
      <c r="U67" s="13" t="s">
        <v>478</v>
      </c>
      <c r="V67" s="14" t="n">
        <v>90000</v>
      </c>
      <c r="W67" s="15" t="n">
        <v>110000</v>
      </c>
      <c r="X67" s="15" t="n">
        <v>75000</v>
      </c>
      <c r="Y67" s="16" t="n">
        <v>6000000</v>
      </c>
    </row>
    <row r="68" customFormat="false" ht="30" hidden="false" customHeight="true" outlineLevel="0" collapsed="false">
      <c r="A68" s="6" t="n">
        <v>67</v>
      </c>
      <c r="B68" s="6" t="s">
        <v>466</v>
      </c>
      <c r="C68" s="6" t="s">
        <v>479</v>
      </c>
      <c r="D68" s="6" t="s">
        <v>480</v>
      </c>
      <c r="E68" s="6" t="s">
        <v>481</v>
      </c>
      <c r="F68" s="13" t="s">
        <v>482</v>
      </c>
      <c r="G68" s="6" t="s">
        <v>32</v>
      </c>
      <c r="H68" s="6" t="s">
        <v>32</v>
      </c>
      <c r="I68" s="14" t="n">
        <v>1800000</v>
      </c>
      <c r="J68" s="15" t="n">
        <v>2200000</v>
      </c>
      <c r="K68" s="15" t="n">
        <v>1500000</v>
      </c>
      <c r="L68" s="6" t="s">
        <v>193</v>
      </c>
      <c r="M68" s="16" t="n">
        <v>0</v>
      </c>
      <c r="N68" s="17" t="n">
        <v>0</v>
      </c>
      <c r="O68" s="17" t="n">
        <v>10</v>
      </c>
      <c r="P68" s="18" t="n">
        <v>0</v>
      </c>
      <c r="Q68" s="19" t="n">
        <v>1</v>
      </c>
      <c r="R68" s="13" t="s">
        <v>483</v>
      </c>
      <c r="S68" s="20" t="s">
        <v>81</v>
      </c>
      <c r="T68" s="6" t="s">
        <v>82</v>
      </c>
      <c r="U68" s="13" t="s">
        <v>484</v>
      </c>
      <c r="V68" s="14" t="n">
        <v>350000</v>
      </c>
      <c r="W68" s="15" t="n">
        <v>420000</v>
      </c>
      <c r="X68" s="15" t="n">
        <v>300000</v>
      </c>
      <c r="Y68" s="16" t="n">
        <v>0</v>
      </c>
    </row>
    <row r="69" customFormat="false" ht="30" hidden="false" customHeight="true" outlineLevel="0" collapsed="false">
      <c r="A69" s="6" t="n">
        <v>68</v>
      </c>
      <c r="B69" s="6" t="s">
        <v>466</v>
      </c>
      <c r="C69" s="6" t="s">
        <v>485</v>
      </c>
      <c r="D69" s="6" t="s">
        <v>486</v>
      </c>
      <c r="E69" s="6" t="s">
        <v>487</v>
      </c>
      <c r="F69" s="13" t="s">
        <v>488</v>
      </c>
      <c r="G69" s="6" t="s">
        <v>26</v>
      </c>
      <c r="H69" s="6" t="s">
        <v>30</v>
      </c>
      <c r="I69" s="14" t="n">
        <v>90000</v>
      </c>
      <c r="J69" s="15" t="n">
        <v>110000</v>
      </c>
      <c r="K69" s="15" t="n">
        <v>75000</v>
      </c>
      <c r="L69" s="6" t="s">
        <v>193</v>
      </c>
      <c r="M69" s="16" t="n">
        <v>9500000</v>
      </c>
      <c r="N69" s="17" t="n">
        <v>1</v>
      </c>
      <c r="O69" s="17" t="n">
        <v>5</v>
      </c>
      <c r="P69" s="18" t="n">
        <v>0</v>
      </c>
      <c r="Q69" s="19" t="n">
        <v>0</v>
      </c>
      <c r="R69" s="13" t="s">
        <v>489</v>
      </c>
      <c r="S69" s="20" t="s">
        <v>81</v>
      </c>
      <c r="T69" s="6" t="s">
        <v>82</v>
      </c>
      <c r="U69" s="13" t="s">
        <v>490</v>
      </c>
      <c r="V69" s="14" t="n">
        <v>35000</v>
      </c>
      <c r="W69" s="15" t="n">
        <v>42000</v>
      </c>
      <c r="X69" s="15" t="n">
        <v>28000</v>
      </c>
      <c r="Y69" s="16" t="n">
        <v>2800000</v>
      </c>
    </row>
    <row r="70" customFormat="false" ht="30" hidden="false" customHeight="true" outlineLevel="0" collapsed="false">
      <c r="A70" s="6" t="n">
        <v>69</v>
      </c>
      <c r="B70" s="6" t="s">
        <v>466</v>
      </c>
      <c r="C70" s="6" t="s">
        <v>491</v>
      </c>
      <c r="D70" s="6" t="s">
        <v>492</v>
      </c>
      <c r="E70" s="6" t="s">
        <v>493</v>
      </c>
      <c r="F70" s="13" t="s">
        <v>494</v>
      </c>
      <c r="G70" s="6" t="s">
        <v>26</v>
      </c>
      <c r="H70" s="6" t="s">
        <v>30</v>
      </c>
      <c r="I70" s="14" t="n">
        <v>75000</v>
      </c>
      <c r="J70" s="15" t="n">
        <v>90000</v>
      </c>
      <c r="K70" s="15" t="n">
        <v>65000</v>
      </c>
      <c r="L70" s="6" t="s">
        <v>193</v>
      </c>
      <c r="M70" s="16" t="n">
        <v>8500000</v>
      </c>
      <c r="N70" s="17" t="n">
        <v>1</v>
      </c>
      <c r="O70" s="17" t="n">
        <v>5</v>
      </c>
      <c r="P70" s="18" t="n">
        <v>0</v>
      </c>
      <c r="Q70" s="19" t="n">
        <v>0.5</v>
      </c>
      <c r="R70" s="13" t="s">
        <v>495</v>
      </c>
      <c r="S70" s="25" t="s">
        <v>309</v>
      </c>
      <c r="T70" s="6" t="s">
        <v>82</v>
      </c>
      <c r="U70" s="13" t="s">
        <v>496</v>
      </c>
      <c r="V70" s="14" t="n">
        <v>60000</v>
      </c>
      <c r="W70" s="15" t="n">
        <v>72000</v>
      </c>
      <c r="X70" s="15" t="n">
        <v>55000</v>
      </c>
      <c r="Y70" s="16" t="n">
        <v>4000000</v>
      </c>
    </row>
    <row r="71" customFormat="false" ht="30" hidden="false" customHeight="true" outlineLevel="0" collapsed="false">
      <c r="A71" s="6" t="n">
        <v>70</v>
      </c>
      <c r="B71" s="6" t="s">
        <v>466</v>
      </c>
      <c r="C71" s="6" t="s">
        <v>497</v>
      </c>
      <c r="D71" s="6" t="s">
        <v>498</v>
      </c>
      <c r="E71" s="6" t="s">
        <v>499</v>
      </c>
      <c r="F71" s="13" t="s">
        <v>500</v>
      </c>
      <c r="G71" s="6" t="s">
        <v>26</v>
      </c>
      <c r="H71" s="6" t="s">
        <v>30</v>
      </c>
      <c r="I71" s="14" t="n">
        <v>220000</v>
      </c>
      <c r="J71" s="15" t="n">
        <v>260000</v>
      </c>
      <c r="K71" s="15" t="n">
        <v>170000</v>
      </c>
      <c r="L71" s="6" t="s">
        <v>193</v>
      </c>
      <c r="M71" s="16" t="n">
        <v>28000000</v>
      </c>
      <c r="N71" s="17" t="n">
        <v>1</v>
      </c>
      <c r="O71" s="17" t="n">
        <v>8</v>
      </c>
      <c r="P71" s="18" t="n">
        <v>0.1</v>
      </c>
      <c r="Q71" s="19" t="n">
        <v>0</v>
      </c>
      <c r="R71" s="13" t="s">
        <v>501</v>
      </c>
      <c r="S71" s="20" t="s">
        <v>81</v>
      </c>
      <c r="T71" s="6" t="s">
        <v>82</v>
      </c>
      <c r="U71" s="13" t="s">
        <v>502</v>
      </c>
      <c r="V71" s="21"/>
      <c r="W71" s="22"/>
      <c r="X71" s="22"/>
      <c r="Y71" s="23"/>
    </row>
    <row r="72" customFormat="false" ht="30" hidden="false" customHeight="true" outlineLevel="0" collapsed="false">
      <c r="A72" s="6" t="n">
        <v>71</v>
      </c>
      <c r="B72" s="6" t="s">
        <v>466</v>
      </c>
      <c r="C72" s="6" t="s">
        <v>503</v>
      </c>
      <c r="D72" s="6" t="s">
        <v>504</v>
      </c>
      <c r="E72" s="6" t="s">
        <v>505</v>
      </c>
      <c r="F72" s="13" t="s">
        <v>506</v>
      </c>
      <c r="G72" s="6" t="s">
        <v>26</v>
      </c>
      <c r="H72" s="6" t="s">
        <v>30</v>
      </c>
      <c r="I72" s="14" t="n">
        <v>45000</v>
      </c>
      <c r="J72" s="15" t="n">
        <v>55000</v>
      </c>
      <c r="K72" s="15" t="n">
        <v>38000</v>
      </c>
      <c r="L72" s="6" t="s">
        <v>193</v>
      </c>
      <c r="M72" s="16" t="n">
        <v>2500000</v>
      </c>
      <c r="N72" s="17" t="n">
        <v>1</v>
      </c>
      <c r="O72" s="17" t="n">
        <v>7</v>
      </c>
      <c r="P72" s="18" t="n">
        <v>0</v>
      </c>
      <c r="Q72" s="19" t="n">
        <v>0</v>
      </c>
      <c r="R72" s="13" t="s">
        <v>507</v>
      </c>
      <c r="S72" s="20" t="s">
        <v>81</v>
      </c>
      <c r="T72" s="6" t="s">
        <v>82</v>
      </c>
      <c r="U72" s="13" t="s">
        <v>508</v>
      </c>
      <c r="V72" s="14" t="n">
        <v>36000</v>
      </c>
      <c r="W72" s="15" t="n">
        <v>45000</v>
      </c>
      <c r="X72" s="15" t="n">
        <v>32000</v>
      </c>
      <c r="Y72" s="16" t="n">
        <v>1500000</v>
      </c>
    </row>
    <row r="73" customFormat="false" ht="30" hidden="false" customHeight="true" outlineLevel="0" collapsed="false">
      <c r="A73" s="6" t="n">
        <v>72</v>
      </c>
      <c r="B73" s="6" t="s">
        <v>466</v>
      </c>
      <c r="C73" s="6" t="s">
        <v>509</v>
      </c>
      <c r="D73" s="6" t="s">
        <v>510</v>
      </c>
      <c r="E73" s="6" t="s">
        <v>511</v>
      </c>
      <c r="F73" s="13" t="s">
        <v>512</v>
      </c>
      <c r="G73" s="6" t="s">
        <v>26</v>
      </c>
      <c r="H73" s="6" t="s">
        <v>30</v>
      </c>
      <c r="I73" s="14" t="n">
        <v>75000</v>
      </c>
      <c r="J73" s="15" t="n">
        <v>90000</v>
      </c>
      <c r="K73" s="15" t="n">
        <v>55000</v>
      </c>
      <c r="L73" s="6" t="s">
        <v>169</v>
      </c>
      <c r="M73" s="16" t="n">
        <v>7800000</v>
      </c>
      <c r="N73" s="17" t="n">
        <v>1</v>
      </c>
      <c r="O73" s="17" t="n">
        <v>10</v>
      </c>
      <c r="P73" s="18" t="n">
        <v>0.05</v>
      </c>
      <c r="Q73" s="19" t="n">
        <v>0</v>
      </c>
      <c r="R73" s="13" t="s">
        <v>513</v>
      </c>
      <c r="S73" s="24" t="s">
        <v>132</v>
      </c>
      <c r="T73" s="6" t="s">
        <v>82</v>
      </c>
      <c r="U73" s="13" t="s">
        <v>514</v>
      </c>
      <c r="V73" s="21"/>
      <c r="W73" s="22"/>
      <c r="X73" s="22"/>
      <c r="Y73" s="23"/>
    </row>
    <row r="74" customFormat="false" ht="30" hidden="false" customHeight="true" outlineLevel="0" collapsed="false">
      <c r="A74" s="6" t="n">
        <v>73</v>
      </c>
      <c r="B74" s="6" t="s">
        <v>466</v>
      </c>
      <c r="C74" s="6" t="s">
        <v>515</v>
      </c>
      <c r="D74" s="6" t="s">
        <v>516</v>
      </c>
      <c r="E74" s="6" t="s">
        <v>517</v>
      </c>
      <c r="F74" s="13" t="s">
        <v>518</v>
      </c>
      <c r="G74" s="6" t="s">
        <v>26</v>
      </c>
      <c r="H74" s="6" t="s">
        <v>30</v>
      </c>
      <c r="I74" s="14" t="n">
        <v>55000</v>
      </c>
      <c r="J74" s="15" t="n">
        <v>68000</v>
      </c>
      <c r="K74" s="15" t="n">
        <v>45000</v>
      </c>
      <c r="L74" s="6" t="s">
        <v>193</v>
      </c>
      <c r="M74" s="16" t="n">
        <v>3500000</v>
      </c>
      <c r="N74" s="17" t="n">
        <v>1</v>
      </c>
      <c r="O74" s="17" t="n">
        <v>7</v>
      </c>
      <c r="P74" s="18" t="n">
        <v>0</v>
      </c>
      <c r="Q74" s="19" t="n">
        <v>0</v>
      </c>
      <c r="R74" s="13" t="s">
        <v>519</v>
      </c>
      <c r="S74" s="20" t="s">
        <v>81</v>
      </c>
      <c r="T74" s="6" t="s">
        <v>82</v>
      </c>
      <c r="U74" s="13" t="s">
        <v>520</v>
      </c>
      <c r="V74" s="14" t="n">
        <v>28000</v>
      </c>
      <c r="W74" s="15" t="n">
        <v>35000</v>
      </c>
      <c r="X74" s="15" t="n">
        <v>22000</v>
      </c>
      <c r="Y74" s="16" t="n">
        <v>1500000</v>
      </c>
    </row>
    <row r="75" customFormat="false" ht="30" hidden="false" customHeight="true" outlineLevel="0" collapsed="false">
      <c r="A75" s="6" t="n">
        <v>74</v>
      </c>
      <c r="B75" s="6" t="s">
        <v>466</v>
      </c>
      <c r="C75" s="6" t="s">
        <v>521</v>
      </c>
      <c r="D75" s="6" t="s">
        <v>522</v>
      </c>
      <c r="E75" s="6" t="s">
        <v>523</v>
      </c>
      <c r="F75" s="13" t="s">
        <v>524</v>
      </c>
      <c r="G75" s="6" t="s">
        <v>26</v>
      </c>
      <c r="H75" s="6" t="s">
        <v>30</v>
      </c>
      <c r="I75" s="14" t="n">
        <v>95000</v>
      </c>
      <c r="J75" s="15" t="n">
        <v>115000</v>
      </c>
      <c r="K75" s="15" t="n">
        <v>75000</v>
      </c>
      <c r="L75" s="6" t="s">
        <v>169</v>
      </c>
      <c r="M75" s="16" t="n">
        <v>12500000</v>
      </c>
      <c r="N75" s="17" t="n">
        <v>1</v>
      </c>
      <c r="O75" s="17" t="n">
        <v>10</v>
      </c>
      <c r="P75" s="18" t="n">
        <v>0.06</v>
      </c>
      <c r="Q75" s="19" t="n">
        <v>0</v>
      </c>
      <c r="R75" s="13" t="s">
        <v>525</v>
      </c>
      <c r="S75" s="20" t="s">
        <v>81</v>
      </c>
      <c r="T75" s="6" t="s">
        <v>82</v>
      </c>
      <c r="U75" s="13" t="s">
        <v>526</v>
      </c>
      <c r="V75" s="21"/>
      <c r="W75" s="22"/>
      <c r="X75" s="22"/>
      <c r="Y75" s="23"/>
    </row>
    <row r="76" customFormat="false" ht="30" hidden="false" customHeight="true" outlineLevel="0" collapsed="false">
      <c r="A76" s="6" t="n">
        <v>75</v>
      </c>
      <c r="B76" s="6" t="s">
        <v>527</v>
      </c>
      <c r="C76" s="6" t="s">
        <v>528</v>
      </c>
      <c r="D76" s="6" t="s">
        <v>529</v>
      </c>
      <c r="E76" s="6" t="s">
        <v>530</v>
      </c>
      <c r="F76" s="13" t="s">
        <v>531</v>
      </c>
      <c r="G76" s="6" t="s">
        <v>30</v>
      </c>
      <c r="H76" s="6" t="s">
        <v>30</v>
      </c>
      <c r="I76" s="14" t="n">
        <v>35000</v>
      </c>
      <c r="J76" s="15" t="n">
        <v>40000</v>
      </c>
      <c r="K76" s="15" t="n">
        <v>28000</v>
      </c>
      <c r="L76" s="6" t="s">
        <v>169</v>
      </c>
      <c r="M76" s="16" t="n">
        <v>4800000</v>
      </c>
      <c r="N76" s="17" t="n">
        <v>2</v>
      </c>
      <c r="O76" s="17" t="n">
        <v>10</v>
      </c>
      <c r="P76" s="18" t="n">
        <v>0.05</v>
      </c>
      <c r="Q76" s="19" t="n">
        <v>0.5</v>
      </c>
      <c r="R76" s="13" t="s">
        <v>532</v>
      </c>
      <c r="S76" s="20" t="s">
        <v>81</v>
      </c>
      <c r="T76" s="6" t="s">
        <v>82</v>
      </c>
      <c r="U76" s="13" t="s">
        <v>533</v>
      </c>
      <c r="V76" s="21"/>
      <c r="W76" s="22"/>
      <c r="X76" s="22"/>
      <c r="Y76" s="23"/>
    </row>
    <row r="77" customFormat="false" ht="30" hidden="false" customHeight="true" outlineLevel="0" collapsed="false">
      <c r="A77" s="6" t="n">
        <v>76</v>
      </c>
      <c r="B77" s="6" t="s">
        <v>527</v>
      </c>
      <c r="C77" s="6" t="s">
        <v>534</v>
      </c>
      <c r="D77" s="6" t="s">
        <v>535</v>
      </c>
      <c r="E77" s="6" t="s">
        <v>536</v>
      </c>
      <c r="F77" s="13" t="s">
        <v>537</v>
      </c>
      <c r="G77" s="6" t="s">
        <v>30</v>
      </c>
      <c r="H77" s="6" t="s">
        <v>30</v>
      </c>
      <c r="I77" s="14" t="n">
        <v>35000</v>
      </c>
      <c r="J77" s="15" t="n">
        <v>40000</v>
      </c>
      <c r="K77" s="15" t="n">
        <v>28000</v>
      </c>
      <c r="L77" s="6" t="s">
        <v>169</v>
      </c>
      <c r="M77" s="16" t="n">
        <v>4800000</v>
      </c>
      <c r="N77" s="17" t="n">
        <v>3</v>
      </c>
      <c r="O77" s="17" t="n">
        <v>8</v>
      </c>
      <c r="P77" s="18" t="n">
        <v>0.05</v>
      </c>
      <c r="Q77" s="19" t="n">
        <v>0.3</v>
      </c>
      <c r="R77" s="13" t="s">
        <v>538</v>
      </c>
      <c r="S77" s="25" t="s">
        <v>309</v>
      </c>
      <c r="T77" s="6" t="s">
        <v>82</v>
      </c>
      <c r="U77" s="13" t="s">
        <v>539</v>
      </c>
      <c r="V77" s="21"/>
      <c r="W77" s="22"/>
      <c r="X77" s="22"/>
      <c r="Y77" s="23"/>
    </row>
    <row r="78" customFormat="false" ht="30" hidden="false" customHeight="true" outlineLevel="0" collapsed="false">
      <c r="A78" s="6" t="n">
        <v>77</v>
      </c>
      <c r="B78" s="6" t="s">
        <v>527</v>
      </c>
      <c r="C78" s="6" t="s">
        <v>540</v>
      </c>
      <c r="D78" s="6" t="s">
        <v>541</v>
      </c>
      <c r="E78" s="6" t="s">
        <v>542</v>
      </c>
      <c r="F78" s="13" t="s">
        <v>543</v>
      </c>
      <c r="G78" s="6" t="s">
        <v>28</v>
      </c>
      <c r="H78" s="6" t="s">
        <v>30</v>
      </c>
      <c r="I78" s="14" t="n">
        <v>3500</v>
      </c>
      <c r="J78" s="15" t="n">
        <v>4000</v>
      </c>
      <c r="K78" s="15" t="n">
        <v>2500</v>
      </c>
      <c r="L78" s="6" t="s">
        <v>169</v>
      </c>
      <c r="M78" s="16" t="n">
        <v>480000</v>
      </c>
      <c r="N78" s="17" t="n">
        <v>6</v>
      </c>
      <c r="O78" s="17" t="n">
        <v>10</v>
      </c>
      <c r="P78" s="18" t="n">
        <v>0.04</v>
      </c>
      <c r="Q78" s="19" t="n">
        <v>0</v>
      </c>
      <c r="R78" s="13" t="s">
        <v>544</v>
      </c>
      <c r="S78" s="24" t="s">
        <v>132</v>
      </c>
      <c r="T78" s="6" t="s">
        <v>82</v>
      </c>
      <c r="U78" s="13" t="s">
        <v>545</v>
      </c>
      <c r="V78" s="21"/>
      <c r="W78" s="22"/>
      <c r="X78" s="22"/>
      <c r="Y78" s="23"/>
    </row>
    <row r="79" customFormat="false" ht="30" hidden="false" customHeight="true" outlineLevel="0" collapsed="false">
      <c r="A79" s="6" t="n">
        <v>78</v>
      </c>
      <c r="B79" s="6" t="s">
        <v>527</v>
      </c>
      <c r="C79" s="6" t="s">
        <v>546</v>
      </c>
      <c r="D79" s="6" t="s">
        <v>547</v>
      </c>
      <c r="E79" s="6" t="s">
        <v>548</v>
      </c>
      <c r="F79" s="13" t="s">
        <v>549</v>
      </c>
      <c r="G79" s="6" t="s">
        <v>28</v>
      </c>
      <c r="H79" s="6" t="s">
        <v>30</v>
      </c>
      <c r="I79" s="14" t="n">
        <v>3500</v>
      </c>
      <c r="J79" s="15" t="n">
        <v>4000</v>
      </c>
      <c r="K79" s="15" t="n">
        <v>2500</v>
      </c>
      <c r="L79" s="6" t="s">
        <v>169</v>
      </c>
      <c r="M79" s="16" t="n">
        <v>480000</v>
      </c>
      <c r="N79" s="17" t="n">
        <v>8</v>
      </c>
      <c r="O79" s="17" t="n">
        <v>7</v>
      </c>
      <c r="P79" s="18" t="n">
        <v>0.06</v>
      </c>
      <c r="Q79" s="19" t="n">
        <v>0</v>
      </c>
      <c r="R79" s="13" t="s">
        <v>550</v>
      </c>
      <c r="S79" s="24" t="s">
        <v>132</v>
      </c>
      <c r="T79" s="6" t="s">
        <v>82</v>
      </c>
      <c r="U79" s="13" t="s">
        <v>551</v>
      </c>
      <c r="V79" s="21"/>
      <c r="W79" s="22"/>
      <c r="X79" s="22"/>
      <c r="Y79" s="23"/>
    </row>
    <row r="80" customFormat="false" ht="30" hidden="false" customHeight="true" outlineLevel="0" collapsed="false">
      <c r="A80" s="6" t="n">
        <v>79</v>
      </c>
      <c r="B80" s="6" t="s">
        <v>527</v>
      </c>
      <c r="C80" s="6" t="s">
        <v>552</v>
      </c>
      <c r="D80" s="6" t="s">
        <v>553</v>
      </c>
      <c r="E80" s="6" t="s">
        <v>554</v>
      </c>
      <c r="F80" s="13" t="s">
        <v>555</v>
      </c>
      <c r="G80" s="6" t="s">
        <v>30</v>
      </c>
      <c r="H80" s="6" t="s">
        <v>30</v>
      </c>
      <c r="I80" s="14" t="n">
        <v>18000</v>
      </c>
      <c r="J80" s="15" t="n">
        <v>0</v>
      </c>
      <c r="K80" s="15" t="n">
        <v>14000</v>
      </c>
      <c r="L80" s="6" t="s">
        <v>169</v>
      </c>
      <c r="M80" s="16" t="n">
        <v>2500000</v>
      </c>
      <c r="N80" s="17" t="n">
        <v>2</v>
      </c>
      <c r="O80" s="17" t="n">
        <v>10</v>
      </c>
      <c r="P80" s="18" t="n">
        <v>0.05</v>
      </c>
      <c r="Q80" s="19" t="n">
        <v>0.3</v>
      </c>
      <c r="R80" s="13" t="s">
        <v>556</v>
      </c>
      <c r="S80" s="20" t="s">
        <v>81</v>
      </c>
      <c r="T80" s="6" t="s">
        <v>82</v>
      </c>
      <c r="U80" s="13" t="s">
        <v>557</v>
      </c>
      <c r="V80" s="21"/>
      <c r="W80" s="22"/>
      <c r="X80" s="22"/>
      <c r="Y80" s="23"/>
    </row>
    <row r="81" customFormat="false" ht="30" hidden="false" customHeight="true" outlineLevel="0" collapsed="false">
      <c r="A81" s="6" t="n">
        <v>80</v>
      </c>
      <c r="B81" s="6" t="s">
        <v>558</v>
      </c>
      <c r="C81" s="6" t="s">
        <v>559</v>
      </c>
      <c r="D81" s="6" t="s">
        <v>560</v>
      </c>
      <c r="E81" s="6" t="s">
        <v>561</v>
      </c>
      <c r="F81" s="13" t="s">
        <v>562</v>
      </c>
      <c r="G81" s="6" t="s">
        <v>26</v>
      </c>
      <c r="H81" s="6" t="s">
        <v>30</v>
      </c>
      <c r="I81" s="14" t="n">
        <v>42000</v>
      </c>
      <c r="J81" s="15" t="n">
        <v>52000</v>
      </c>
      <c r="K81" s="15" t="n">
        <v>38000</v>
      </c>
      <c r="L81" s="6" t="s">
        <v>169</v>
      </c>
      <c r="M81" s="16" t="n">
        <v>5300000</v>
      </c>
      <c r="N81" s="17" t="n">
        <v>1</v>
      </c>
      <c r="O81" s="17" t="n">
        <v>15</v>
      </c>
      <c r="P81" s="18" t="n">
        <v>0.04</v>
      </c>
      <c r="Q81" s="19" t="n">
        <v>0</v>
      </c>
      <c r="R81" s="13" t="s">
        <v>563</v>
      </c>
      <c r="S81" s="20" t="s">
        <v>81</v>
      </c>
      <c r="T81" s="6" t="s">
        <v>82</v>
      </c>
      <c r="U81" s="13" t="s">
        <v>564</v>
      </c>
      <c r="V81" s="21"/>
      <c r="W81" s="22"/>
      <c r="X81" s="22"/>
      <c r="Y81" s="23"/>
    </row>
    <row r="82" customFormat="false" ht="30" hidden="false" customHeight="true" outlineLevel="0" collapsed="false">
      <c r="A82" s="6" t="n">
        <v>81</v>
      </c>
      <c r="B82" s="6" t="s">
        <v>558</v>
      </c>
      <c r="C82" s="6" t="s">
        <v>565</v>
      </c>
      <c r="D82" s="6" t="s">
        <v>566</v>
      </c>
      <c r="E82" s="6" t="s">
        <v>567</v>
      </c>
      <c r="F82" s="13" t="s">
        <v>568</v>
      </c>
      <c r="G82" s="6" t="s">
        <v>26</v>
      </c>
      <c r="H82" s="6" t="s">
        <v>28</v>
      </c>
      <c r="I82" s="14" t="n">
        <v>35000</v>
      </c>
      <c r="J82" s="15" t="n">
        <v>42000</v>
      </c>
      <c r="K82" s="15" t="n">
        <v>28000</v>
      </c>
      <c r="L82" s="6" t="s">
        <v>169</v>
      </c>
      <c r="M82" s="16" t="n">
        <v>4400000</v>
      </c>
      <c r="N82" s="17" t="n">
        <v>1</v>
      </c>
      <c r="O82" s="17" t="n">
        <v>12</v>
      </c>
      <c r="P82" s="18" t="n">
        <v>0.04</v>
      </c>
      <c r="Q82" s="19" t="n">
        <v>0</v>
      </c>
      <c r="R82" s="13" t="s">
        <v>569</v>
      </c>
      <c r="S82" s="20" t="s">
        <v>81</v>
      </c>
      <c r="T82" s="6" t="s">
        <v>82</v>
      </c>
      <c r="U82" s="13" t="s">
        <v>570</v>
      </c>
      <c r="V82" s="21"/>
      <c r="W82" s="22"/>
      <c r="X82" s="22"/>
      <c r="Y82" s="23"/>
    </row>
    <row r="83" customFormat="false" ht="30" hidden="false" customHeight="true" outlineLevel="0" collapsed="false">
      <c r="A83" s="6" t="n">
        <v>82</v>
      </c>
      <c r="B83" s="6" t="s">
        <v>558</v>
      </c>
      <c r="C83" s="6" t="s">
        <v>571</v>
      </c>
      <c r="D83" s="6" t="s">
        <v>572</v>
      </c>
      <c r="E83" s="6" t="s">
        <v>573</v>
      </c>
      <c r="F83" s="13" t="s">
        <v>574</v>
      </c>
      <c r="G83" s="6" t="s">
        <v>26</v>
      </c>
      <c r="H83" s="6" t="s">
        <v>30</v>
      </c>
      <c r="I83" s="14" t="n">
        <v>22000</v>
      </c>
      <c r="J83" s="15" t="n">
        <v>27000</v>
      </c>
      <c r="K83" s="15" t="n">
        <v>19000</v>
      </c>
      <c r="L83" s="6" t="s">
        <v>169</v>
      </c>
      <c r="M83" s="16" t="n">
        <v>2750000</v>
      </c>
      <c r="N83" s="17" t="n">
        <v>3</v>
      </c>
      <c r="O83" s="17" t="n">
        <v>12</v>
      </c>
      <c r="P83" s="18" t="n">
        <v>0.05</v>
      </c>
      <c r="Q83" s="19" t="n">
        <v>0</v>
      </c>
      <c r="R83" s="13" t="s">
        <v>575</v>
      </c>
      <c r="S83" s="24" t="s">
        <v>132</v>
      </c>
      <c r="T83" s="6" t="s">
        <v>82</v>
      </c>
      <c r="U83" s="13" t="s">
        <v>576</v>
      </c>
      <c r="V83" s="21"/>
      <c r="W83" s="22"/>
      <c r="X83" s="22"/>
      <c r="Y83" s="23"/>
    </row>
    <row r="84" customFormat="false" ht="30" hidden="false" customHeight="true" outlineLevel="0" collapsed="false">
      <c r="A84" s="6" t="n">
        <v>83</v>
      </c>
      <c r="B84" s="6" t="s">
        <v>558</v>
      </c>
      <c r="C84" s="6" t="s">
        <v>577</v>
      </c>
      <c r="D84" s="6" t="s">
        <v>578</v>
      </c>
      <c r="E84" s="6" t="s">
        <v>579</v>
      </c>
      <c r="F84" s="13" t="s">
        <v>580</v>
      </c>
      <c r="G84" s="6" t="s">
        <v>26</v>
      </c>
      <c r="H84" s="6" t="s">
        <v>28</v>
      </c>
      <c r="I84" s="14" t="n">
        <v>14500</v>
      </c>
      <c r="J84" s="15" t="n">
        <v>18000</v>
      </c>
      <c r="K84" s="15" t="n">
        <v>12000</v>
      </c>
      <c r="L84" s="6" t="s">
        <v>169</v>
      </c>
      <c r="M84" s="16" t="n">
        <v>1800000</v>
      </c>
      <c r="N84" s="17" t="n">
        <v>2</v>
      </c>
      <c r="O84" s="17" t="n">
        <v>12</v>
      </c>
      <c r="P84" s="18" t="n">
        <v>0.05</v>
      </c>
      <c r="Q84" s="19" t="n">
        <v>0</v>
      </c>
      <c r="R84" s="13" t="s">
        <v>581</v>
      </c>
      <c r="S84" s="24" t="s">
        <v>132</v>
      </c>
      <c r="T84" s="6" t="s">
        <v>82</v>
      </c>
      <c r="U84" s="13" t="s">
        <v>582</v>
      </c>
      <c r="V84" s="21"/>
      <c r="W84" s="22"/>
      <c r="X84" s="22"/>
      <c r="Y84" s="23"/>
    </row>
    <row r="85" customFormat="false" ht="30" hidden="false" customHeight="true" outlineLevel="0" collapsed="false">
      <c r="A85" s="6" t="n">
        <v>84</v>
      </c>
      <c r="B85" s="6" t="s">
        <v>558</v>
      </c>
      <c r="C85" s="6" t="s">
        <v>583</v>
      </c>
      <c r="D85" s="6" t="s">
        <v>584</v>
      </c>
      <c r="E85" s="6" t="s">
        <v>585</v>
      </c>
      <c r="F85" s="13" t="s">
        <v>586</v>
      </c>
      <c r="G85" s="6" t="s">
        <v>26</v>
      </c>
      <c r="H85" s="6" t="s">
        <v>30</v>
      </c>
      <c r="I85" s="14" t="n">
        <v>75000</v>
      </c>
      <c r="J85" s="15" t="n">
        <v>90000</v>
      </c>
      <c r="K85" s="15" t="n">
        <v>60000</v>
      </c>
      <c r="L85" s="6" t="s">
        <v>169</v>
      </c>
      <c r="M85" s="16" t="n">
        <v>9500000</v>
      </c>
      <c r="N85" s="17" t="n">
        <v>1</v>
      </c>
      <c r="O85" s="17" t="n">
        <v>12</v>
      </c>
      <c r="P85" s="18" t="n">
        <v>0.05</v>
      </c>
      <c r="Q85" s="19" t="n">
        <v>0</v>
      </c>
      <c r="R85" s="13" t="s">
        <v>587</v>
      </c>
      <c r="S85" s="24" t="s">
        <v>132</v>
      </c>
      <c r="T85" s="6" t="s">
        <v>82</v>
      </c>
      <c r="U85" s="13" t="s">
        <v>588</v>
      </c>
      <c r="V85" s="21"/>
      <c r="W85" s="22"/>
      <c r="X85" s="22"/>
      <c r="Y85" s="23"/>
    </row>
    <row r="86" customFormat="false" ht="30" hidden="false" customHeight="true" outlineLevel="0" collapsed="false">
      <c r="A86" s="6" t="n">
        <v>85</v>
      </c>
      <c r="B86" s="6" t="s">
        <v>558</v>
      </c>
      <c r="C86" s="6" t="s">
        <v>589</v>
      </c>
      <c r="D86" s="6" t="s">
        <v>590</v>
      </c>
      <c r="E86" s="6" t="s">
        <v>591</v>
      </c>
      <c r="F86" s="13" t="s">
        <v>592</v>
      </c>
      <c r="G86" s="6" t="s">
        <v>26</v>
      </c>
      <c r="H86" s="6" t="s">
        <v>30</v>
      </c>
      <c r="I86" s="14" t="n">
        <v>28000</v>
      </c>
      <c r="J86" s="15" t="n">
        <v>34000</v>
      </c>
      <c r="K86" s="15" t="n">
        <v>22000</v>
      </c>
      <c r="L86" s="6" t="s">
        <v>169</v>
      </c>
      <c r="M86" s="16" t="n">
        <v>3500000</v>
      </c>
      <c r="N86" s="17" t="n">
        <v>4</v>
      </c>
      <c r="O86" s="17" t="n">
        <v>10</v>
      </c>
      <c r="P86" s="18" t="n">
        <v>0.05</v>
      </c>
      <c r="Q86" s="19" t="n">
        <v>0</v>
      </c>
      <c r="R86" s="13" t="s">
        <v>593</v>
      </c>
      <c r="S86" s="24" t="s">
        <v>132</v>
      </c>
      <c r="T86" s="6" t="s">
        <v>82</v>
      </c>
      <c r="U86" s="13" t="s">
        <v>594</v>
      </c>
      <c r="V86" s="21"/>
      <c r="W86" s="22"/>
      <c r="X86" s="22"/>
      <c r="Y86" s="23"/>
    </row>
    <row r="87" customFormat="false" ht="30" hidden="false" customHeight="true" outlineLevel="0" collapsed="false">
      <c r="A87" s="6" t="n">
        <v>86</v>
      </c>
      <c r="B87" s="6" t="s">
        <v>558</v>
      </c>
      <c r="C87" s="6" t="s">
        <v>595</v>
      </c>
      <c r="D87" s="6" t="s">
        <v>596</v>
      </c>
      <c r="E87" s="6" t="s">
        <v>597</v>
      </c>
      <c r="F87" s="13" t="s">
        <v>598</v>
      </c>
      <c r="G87" s="6" t="s">
        <v>26</v>
      </c>
      <c r="H87" s="6" t="s">
        <v>30</v>
      </c>
      <c r="I87" s="14" t="n">
        <v>95000</v>
      </c>
      <c r="J87" s="15" t="n">
        <v>115000</v>
      </c>
      <c r="K87" s="15" t="n">
        <v>75000</v>
      </c>
      <c r="L87" s="6" t="s">
        <v>169</v>
      </c>
      <c r="M87" s="16" t="n">
        <v>12500000</v>
      </c>
      <c r="N87" s="17" t="n">
        <v>1</v>
      </c>
      <c r="O87" s="17" t="n">
        <v>20</v>
      </c>
      <c r="P87" s="18" t="n">
        <v>0.03</v>
      </c>
      <c r="Q87" s="19" t="n">
        <v>0</v>
      </c>
      <c r="R87" s="13" t="s">
        <v>599</v>
      </c>
      <c r="S87" s="20" t="s">
        <v>81</v>
      </c>
      <c r="T87" s="6" t="s">
        <v>82</v>
      </c>
      <c r="U87" s="13" t="s">
        <v>600</v>
      </c>
      <c r="V87" s="21"/>
      <c r="W87" s="22"/>
      <c r="X87" s="22"/>
      <c r="Y87" s="23"/>
    </row>
    <row r="88" customFormat="false" ht="30" hidden="false" customHeight="true" outlineLevel="0" collapsed="false">
      <c r="A88" s="6" t="n">
        <v>87</v>
      </c>
      <c r="B88" s="6" t="s">
        <v>558</v>
      </c>
      <c r="C88" s="6" t="s">
        <v>601</v>
      </c>
      <c r="D88" s="6" t="s">
        <v>602</v>
      </c>
      <c r="E88" s="6" t="s">
        <v>603</v>
      </c>
      <c r="F88" s="13" t="s">
        <v>604</v>
      </c>
      <c r="G88" s="6" t="s">
        <v>26</v>
      </c>
      <c r="H88" s="6" t="s">
        <v>30</v>
      </c>
      <c r="I88" s="14" t="n">
        <v>65000</v>
      </c>
      <c r="J88" s="15" t="n">
        <v>72000</v>
      </c>
      <c r="K88" s="15" t="n">
        <v>58000</v>
      </c>
      <c r="L88" s="6" t="s">
        <v>193</v>
      </c>
      <c r="M88" s="16" t="n">
        <v>8200000</v>
      </c>
      <c r="N88" s="17" t="n">
        <v>1</v>
      </c>
      <c r="O88" s="17" t="n">
        <v>10</v>
      </c>
      <c r="P88" s="18" t="n">
        <v>0.05</v>
      </c>
      <c r="Q88" s="19" t="n">
        <v>0</v>
      </c>
      <c r="R88" s="13" t="s">
        <v>605</v>
      </c>
      <c r="S88" s="20" t="s">
        <v>81</v>
      </c>
      <c r="T88" s="6" t="s">
        <v>82</v>
      </c>
      <c r="U88" s="13" t="s">
        <v>606</v>
      </c>
      <c r="V88" s="21"/>
      <c r="W88" s="22"/>
      <c r="X88" s="22"/>
      <c r="Y88" s="23"/>
    </row>
    <row r="89" customFormat="false" ht="30" hidden="false" customHeight="true" outlineLevel="0" collapsed="false">
      <c r="A89" s="6" t="n">
        <v>88</v>
      </c>
      <c r="B89" s="6" t="s">
        <v>558</v>
      </c>
      <c r="C89" s="6" t="s">
        <v>607</v>
      </c>
      <c r="D89" s="6" t="s">
        <v>608</v>
      </c>
      <c r="E89" s="6" t="s">
        <v>609</v>
      </c>
      <c r="F89" s="13" t="s">
        <v>610</v>
      </c>
      <c r="G89" s="6" t="s">
        <v>26</v>
      </c>
      <c r="H89" s="6" t="s">
        <v>30</v>
      </c>
      <c r="I89" s="14" t="n">
        <v>9500</v>
      </c>
      <c r="J89" s="15" t="n">
        <v>9900</v>
      </c>
      <c r="K89" s="15" t="n">
        <v>8500</v>
      </c>
      <c r="L89" s="6" t="s">
        <v>193</v>
      </c>
      <c r="M89" s="16" t="n">
        <v>1200000</v>
      </c>
      <c r="N89" s="17" t="n">
        <v>2</v>
      </c>
      <c r="O89" s="17" t="n">
        <v>8</v>
      </c>
      <c r="P89" s="18" t="n">
        <v>0.06</v>
      </c>
      <c r="Q89" s="19" t="n">
        <v>0</v>
      </c>
      <c r="R89" s="13" t="s">
        <v>611</v>
      </c>
      <c r="S89" s="24" t="s">
        <v>132</v>
      </c>
      <c r="T89" s="6" t="s">
        <v>82</v>
      </c>
      <c r="U89" s="13" t="s">
        <v>612</v>
      </c>
      <c r="V89" s="21"/>
      <c r="W89" s="22"/>
      <c r="X89" s="22"/>
      <c r="Y89" s="23"/>
    </row>
    <row r="90" customFormat="false" ht="30" hidden="false" customHeight="true" outlineLevel="0" collapsed="false">
      <c r="A90" s="6" t="n">
        <v>89</v>
      </c>
      <c r="B90" s="6" t="s">
        <v>558</v>
      </c>
      <c r="C90" s="6" t="s">
        <v>613</v>
      </c>
      <c r="D90" s="6" t="s">
        <v>614</v>
      </c>
      <c r="E90" s="6" t="s">
        <v>615</v>
      </c>
      <c r="F90" s="13" t="s">
        <v>616</v>
      </c>
      <c r="G90" s="6" t="s">
        <v>26</v>
      </c>
      <c r="H90" s="6" t="s">
        <v>30</v>
      </c>
      <c r="I90" s="14" t="n">
        <v>95000</v>
      </c>
      <c r="J90" s="15" t="n">
        <v>110000</v>
      </c>
      <c r="K90" s="15" t="n">
        <v>75000</v>
      </c>
      <c r="L90" s="6" t="s">
        <v>169</v>
      </c>
      <c r="M90" s="16" t="n">
        <v>12000000</v>
      </c>
      <c r="N90" s="17" t="n">
        <v>1</v>
      </c>
      <c r="O90" s="17" t="n">
        <v>15</v>
      </c>
      <c r="P90" s="18" t="n">
        <v>0.03</v>
      </c>
      <c r="Q90" s="19" t="n">
        <v>0</v>
      </c>
      <c r="R90" s="13" t="s">
        <v>617</v>
      </c>
      <c r="S90" s="20" t="s">
        <v>81</v>
      </c>
      <c r="T90" s="6" t="s">
        <v>82</v>
      </c>
      <c r="U90" s="13" t="s">
        <v>618</v>
      </c>
      <c r="V90" s="21"/>
      <c r="W90" s="22"/>
      <c r="X90" s="22"/>
      <c r="Y90" s="23"/>
    </row>
    <row r="91" customFormat="false" ht="30" hidden="false" customHeight="true" outlineLevel="0" collapsed="false">
      <c r="A91" s="6" t="n">
        <v>90</v>
      </c>
      <c r="B91" s="6" t="s">
        <v>558</v>
      </c>
      <c r="C91" s="6" t="s">
        <v>619</v>
      </c>
      <c r="D91" s="6" t="s">
        <v>620</v>
      </c>
      <c r="E91" s="6" t="s">
        <v>621</v>
      </c>
      <c r="F91" s="13" t="s">
        <v>622</v>
      </c>
      <c r="G91" s="6" t="s">
        <v>26</v>
      </c>
      <c r="H91" s="6" t="s">
        <v>30</v>
      </c>
      <c r="I91" s="14" t="n">
        <v>180000</v>
      </c>
      <c r="J91" s="15" t="n">
        <v>210000</v>
      </c>
      <c r="K91" s="15" t="n">
        <v>130000</v>
      </c>
      <c r="L91" s="6" t="s">
        <v>169</v>
      </c>
      <c r="M91" s="16" t="n">
        <v>22000000</v>
      </c>
      <c r="N91" s="17" t="n">
        <v>1</v>
      </c>
      <c r="O91" s="17" t="n">
        <v>5</v>
      </c>
      <c r="P91" s="18" t="n">
        <v>0.15</v>
      </c>
      <c r="Q91" s="19" t="n">
        <v>0</v>
      </c>
      <c r="R91" s="13" t="s">
        <v>623</v>
      </c>
      <c r="S91" s="20" t="s">
        <v>81</v>
      </c>
      <c r="T91" s="6" t="s">
        <v>82</v>
      </c>
      <c r="U91" s="13" t="s">
        <v>624</v>
      </c>
      <c r="V91" s="21"/>
      <c r="W91" s="22"/>
      <c r="X91" s="22"/>
      <c r="Y91" s="23"/>
    </row>
    <row r="92" customFormat="false" ht="30" hidden="false" customHeight="true" outlineLevel="0" collapsed="false">
      <c r="A92" s="6" t="n">
        <v>91</v>
      </c>
      <c r="B92" s="6" t="s">
        <v>558</v>
      </c>
      <c r="C92" s="6" t="s">
        <v>625</v>
      </c>
      <c r="D92" s="6" t="s">
        <v>626</v>
      </c>
      <c r="E92" s="6" t="s">
        <v>627</v>
      </c>
      <c r="F92" s="13" t="s">
        <v>628</v>
      </c>
      <c r="G92" s="6" t="s">
        <v>26</v>
      </c>
      <c r="H92" s="6" t="s">
        <v>30</v>
      </c>
      <c r="I92" s="14" t="n">
        <v>120000</v>
      </c>
      <c r="J92" s="15" t="n">
        <v>140000</v>
      </c>
      <c r="K92" s="15" t="n">
        <v>80000</v>
      </c>
      <c r="L92" s="6" t="s">
        <v>169</v>
      </c>
      <c r="M92" s="16" t="n">
        <v>13000000</v>
      </c>
      <c r="N92" s="17" t="n">
        <v>1</v>
      </c>
      <c r="O92" s="17" t="n">
        <v>20</v>
      </c>
      <c r="P92" s="18" t="n">
        <v>0.01</v>
      </c>
      <c r="Q92" s="19" t="n">
        <v>0</v>
      </c>
      <c r="R92" s="13" t="s">
        <v>629</v>
      </c>
      <c r="S92" s="20" t="s">
        <v>81</v>
      </c>
      <c r="T92" s="6" t="s">
        <v>82</v>
      </c>
      <c r="U92" s="13" t="s">
        <v>630</v>
      </c>
      <c r="V92" s="21"/>
      <c r="W92" s="22"/>
      <c r="X92" s="22"/>
      <c r="Y92" s="23"/>
    </row>
    <row r="93" customFormat="false" ht="30" hidden="false" customHeight="true" outlineLevel="0" collapsed="false">
      <c r="A93" s="6" t="n">
        <v>92</v>
      </c>
      <c r="B93" s="6" t="s">
        <v>558</v>
      </c>
      <c r="C93" s="6" t="s">
        <v>631</v>
      </c>
      <c r="D93" s="6" t="s">
        <v>632</v>
      </c>
      <c r="E93" s="6" t="s">
        <v>633</v>
      </c>
      <c r="F93" s="13" t="s">
        <v>634</v>
      </c>
      <c r="G93" s="6" t="s">
        <v>26</v>
      </c>
      <c r="H93" s="6" t="s">
        <v>30</v>
      </c>
      <c r="I93" s="14" t="n">
        <v>38000</v>
      </c>
      <c r="J93" s="15" t="n">
        <v>45000</v>
      </c>
      <c r="K93" s="15" t="n">
        <v>28000</v>
      </c>
      <c r="L93" s="6" t="s">
        <v>169</v>
      </c>
      <c r="M93" s="16" t="n">
        <v>4800000</v>
      </c>
      <c r="N93" s="17" t="n">
        <v>1</v>
      </c>
      <c r="O93" s="17" t="n">
        <v>10</v>
      </c>
      <c r="P93" s="18" t="n">
        <v>0.05</v>
      </c>
      <c r="Q93" s="19" t="n">
        <v>0</v>
      </c>
      <c r="R93" s="13" t="s">
        <v>635</v>
      </c>
      <c r="S93" s="20" t="s">
        <v>81</v>
      </c>
      <c r="T93" s="6" t="s">
        <v>82</v>
      </c>
      <c r="U93" s="13" t="s">
        <v>636</v>
      </c>
      <c r="V93" s="21"/>
      <c r="W93" s="22"/>
      <c r="X93" s="22"/>
      <c r="Y93" s="23"/>
    </row>
    <row r="94" customFormat="false" ht="30" hidden="false" customHeight="true" outlineLevel="0" collapsed="false">
      <c r="A94" s="6" t="n">
        <v>93</v>
      </c>
      <c r="B94" s="6" t="s">
        <v>558</v>
      </c>
      <c r="C94" s="6" t="s">
        <v>637</v>
      </c>
      <c r="D94" s="6" t="s">
        <v>638</v>
      </c>
      <c r="E94" s="6" t="s">
        <v>639</v>
      </c>
      <c r="F94" s="13" t="s">
        <v>640</v>
      </c>
      <c r="G94" s="6" t="s">
        <v>26</v>
      </c>
      <c r="H94" s="6" t="s">
        <v>30</v>
      </c>
      <c r="I94" s="14" t="n">
        <v>85000</v>
      </c>
      <c r="J94" s="15" t="n">
        <v>95000</v>
      </c>
      <c r="K94" s="15" t="n">
        <v>65000</v>
      </c>
      <c r="L94" s="6" t="s">
        <v>169</v>
      </c>
      <c r="M94" s="16" t="n">
        <v>11000000</v>
      </c>
      <c r="N94" s="17" t="n">
        <v>1</v>
      </c>
      <c r="O94" s="17" t="n">
        <v>15</v>
      </c>
      <c r="P94" s="18" t="n">
        <v>0.04</v>
      </c>
      <c r="Q94" s="19" t="n">
        <v>0</v>
      </c>
      <c r="R94" s="13" t="s">
        <v>641</v>
      </c>
      <c r="S94" s="24" t="s">
        <v>132</v>
      </c>
      <c r="T94" s="6" t="s">
        <v>82</v>
      </c>
      <c r="U94" s="13" t="s">
        <v>642</v>
      </c>
      <c r="V94" s="21"/>
      <c r="W94" s="22"/>
      <c r="X94" s="22"/>
      <c r="Y94" s="23"/>
    </row>
    <row r="95" customFormat="false" ht="30" hidden="false" customHeight="true" outlineLevel="0" collapsed="false">
      <c r="A95" s="6" t="n">
        <v>94</v>
      </c>
      <c r="B95" s="6" t="s">
        <v>643</v>
      </c>
      <c r="C95" s="6" t="s">
        <v>644</v>
      </c>
      <c r="D95" s="6" t="s">
        <v>645</v>
      </c>
      <c r="E95" s="6" t="s">
        <v>646</v>
      </c>
      <c r="F95" s="13" t="s">
        <v>647</v>
      </c>
      <c r="G95" s="6" t="s">
        <v>28</v>
      </c>
      <c r="H95" s="6" t="s">
        <v>30</v>
      </c>
      <c r="I95" s="14" t="n">
        <v>0</v>
      </c>
      <c r="J95" s="15" t="n">
        <v>0</v>
      </c>
      <c r="K95" s="15" t="n">
        <v>0</v>
      </c>
      <c r="L95" s="6" t="s">
        <v>193</v>
      </c>
      <c r="M95" s="16" t="n">
        <v>0</v>
      </c>
      <c r="N95" s="17" t="n">
        <v>0</v>
      </c>
      <c r="O95" s="17" t="n">
        <v>0</v>
      </c>
      <c r="P95" s="18" t="n">
        <v>0</v>
      </c>
      <c r="Q95" s="19" t="n">
        <v>0</v>
      </c>
      <c r="R95" s="13" t="s">
        <v>648</v>
      </c>
      <c r="S95" s="24" t="s">
        <v>132</v>
      </c>
      <c r="T95" s="6" t="s">
        <v>82</v>
      </c>
      <c r="U95" s="13" t="s">
        <v>649</v>
      </c>
      <c r="V95" s="21"/>
      <c r="W95" s="22"/>
      <c r="X95" s="22"/>
      <c r="Y95" s="23"/>
    </row>
    <row r="96" customFormat="false" ht="30" hidden="false" customHeight="true" outlineLevel="0" collapsed="false">
      <c r="A96" s="6" t="n">
        <v>95</v>
      </c>
      <c r="B96" s="6" t="s">
        <v>643</v>
      </c>
      <c r="C96" s="6" t="s">
        <v>650</v>
      </c>
      <c r="D96" s="6" t="s">
        <v>651</v>
      </c>
      <c r="E96" s="6" t="s">
        <v>652</v>
      </c>
      <c r="F96" s="13" t="s">
        <v>653</v>
      </c>
      <c r="G96" s="6" t="s">
        <v>28</v>
      </c>
      <c r="H96" s="6" t="s">
        <v>30</v>
      </c>
      <c r="I96" s="14" t="n">
        <v>70000</v>
      </c>
      <c r="J96" s="15" t="n">
        <v>80000</v>
      </c>
      <c r="K96" s="15" t="n">
        <v>55000</v>
      </c>
      <c r="L96" s="6" t="s">
        <v>169</v>
      </c>
      <c r="M96" s="16" t="n">
        <v>9700000</v>
      </c>
      <c r="N96" s="17" t="n">
        <v>1</v>
      </c>
      <c r="O96" s="17" t="n">
        <v>8</v>
      </c>
      <c r="P96" s="18" t="n">
        <v>0.1</v>
      </c>
      <c r="Q96" s="19" t="n">
        <v>0.5</v>
      </c>
      <c r="R96" s="13" t="s">
        <v>654</v>
      </c>
      <c r="S96" s="20" t="s">
        <v>81</v>
      </c>
      <c r="T96" s="6" t="s">
        <v>82</v>
      </c>
      <c r="U96" s="13" t="s">
        <v>655</v>
      </c>
      <c r="V96" s="21"/>
      <c r="W96" s="22"/>
      <c r="X96" s="22"/>
      <c r="Y96" s="23"/>
    </row>
    <row r="97" customFormat="false" ht="30" hidden="false" customHeight="true" outlineLevel="0" collapsed="false">
      <c r="A97" s="6" t="n">
        <v>96</v>
      </c>
      <c r="B97" s="6" t="s">
        <v>643</v>
      </c>
      <c r="C97" s="6" t="s">
        <v>656</v>
      </c>
      <c r="D97" s="6" t="s">
        <v>657</v>
      </c>
      <c r="E97" s="6" t="s">
        <v>658</v>
      </c>
      <c r="F97" s="13" t="s">
        <v>659</v>
      </c>
      <c r="G97" s="6" t="s">
        <v>28</v>
      </c>
      <c r="H97" s="6" t="s">
        <v>30</v>
      </c>
      <c r="I97" s="14" t="n">
        <v>20000</v>
      </c>
      <c r="J97" s="15" t="n">
        <v>23000</v>
      </c>
      <c r="K97" s="15" t="n">
        <v>15000</v>
      </c>
      <c r="L97" s="6" t="s">
        <v>660</v>
      </c>
      <c r="M97" s="16" t="n">
        <v>2750000</v>
      </c>
      <c r="N97" s="17" t="n">
        <v>2</v>
      </c>
      <c r="O97" s="17" t="n">
        <v>8</v>
      </c>
      <c r="P97" s="18" t="n">
        <v>0.04</v>
      </c>
      <c r="Q97" s="19" t="n">
        <v>0</v>
      </c>
      <c r="R97" s="13" t="s">
        <v>661</v>
      </c>
      <c r="S97" s="24" t="s">
        <v>132</v>
      </c>
      <c r="T97" s="6" t="s">
        <v>82</v>
      </c>
      <c r="U97" s="13" t="s">
        <v>662</v>
      </c>
      <c r="V97" s="21"/>
      <c r="W97" s="22"/>
      <c r="X97" s="22"/>
      <c r="Y97" s="23"/>
    </row>
    <row r="98" customFormat="false" ht="30" hidden="false" customHeight="true" outlineLevel="0" collapsed="false">
      <c r="A98" s="6" t="n">
        <v>97</v>
      </c>
      <c r="B98" s="6" t="s">
        <v>643</v>
      </c>
      <c r="C98" s="6" t="s">
        <v>663</v>
      </c>
      <c r="D98" s="6" t="s">
        <v>664</v>
      </c>
      <c r="E98" s="6" t="s">
        <v>665</v>
      </c>
      <c r="F98" s="13" t="s">
        <v>666</v>
      </c>
      <c r="G98" s="6" t="s">
        <v>28</v>
      </c>
      <c r="H98" s="6" t="s">
        <v>30</v>
      </c>
      <c r="I98" s="14" t="n">
        <v>0</v>
      </c>
      <c r="J98" s="15" t="n">
        <v>0</v>
      </c>
      <c r="K98" s="15" t="n">
        <v>0</v>
      </c>
      <c r="L98" s="6" t="s">
        <v>193</v>
      </c>
      <c r="M98" s="16" t="n">
        <v>0</v>
      </c>
      <c r="N98" s="17" t="n">
        <v>0</v>
      </c>
      <c r="O98" s="17" t="n">
        <v>0</v>
      </c>
      <c r="P98" s="18" t="n">
        <v>0</v>
      </c>
      <c r="Q98" s="19" t="n">
        <v>0</v>
      </c>
      <c r="R98" s="13" t="s">
        <v>667</v>
      </c>
      <c r="S98" s="24" t="s">
        <v>132</v>
      </c>
      <c r="T98" s="6" t="s">
        <v>82</v>
      </c>
      <c r="U98" s="13" t="s">
        <v>668</v>
      </c>
      <c r="V98" s="21"/>
      <c r="W98" s="22"/>
      <c r="X98" s="22"/>
      <c r="Y98" s="23"/>
    </row>
    <row r="99" customFormat="false" ht="30" hidden="false" customHeight="true" outlineLevel="0" collapsed="false">
      <c r="A99" s="6" t="n">
        <v>98</v>
      </c>
      <c r="B99" s="6" t="s">
        <v>643</v>
      </c>
      <c r="C99" s="6" t="s">
        <v>669</v>
      </c>
      <c r="D99" s="6" t="s">
        <v>670</v>
      </c>
      <c r="E99" s="6" t="s">
        <v>671</v>
      </c>
      <c r="F99" s="13" t="s">
        <v>672</v>
      </c>
      <c r="G99" s="6" t="s">
        <v>28</v>
      </c>
      <c r="H99" s="6" t="s">
        <v>30</v>
      </c>
      <c r="I99" s="14" t="n">
        <v>35000</v>
      </c>
      <c r="J99" s="15" t="n">
        <v>40000</v>
      </c>
      <c r="K99" s="15" t="n">
        <v>25000</v>
      </c>
      <c r="L99" s="6" t="s">
        <v>169</v>
      </c>
      <c r="M99" s="16" t="n">
        <v>4800000</v>
      </c>
      <c r="N99" s="17" t="n">
        <v>1</v>
      </c>
      <c r="O99" s="17" t="n">
        <v>8</v>
      </c>
      <c r="P99" s="18" t="n">
        <v>0.1</v>
      </c>
      <c r="Q99" s="19" t="n">
        <v>0.2</v>
      </c>
      <c r="R99" s="13" t="s">
        <v>673</v>
      </c>
      <c r="S99" s="20" t="s">
        <v>81</v>
      </c>
      <c r="T99" s="6" t="s">
        <v>82</v>
      </c>
      <c r="U99" s="13" t="s">
        <v>674</v>
      </c>
      <c r="V99" s="21"/>
      <c r="W99" s="22"/>
      <c r="X99" s="22"/>
      <c r="Y99" s="23"/>
    </row>
    <row r="100" customFormat="false" ht="30" hidden="false" customHeight="true" outlineLevel="0" collapsed="false">
      <c r="A100" s="6" t="n">
        <v>99</v>
      </c>
      <c r="B100" s="6" t="s">
        <v>643</v>
      </c>
      <c r="C100" s="6" t="s">
        <v>675</v>
      </c>
      <c r="D100" s="6" t="s">
        <v>676</v>
      </c>
      <c r="E100" s="6" t="s">
        <v>677</v>
      </c>
      <c r="F100" s="13" t="s">
        <v>678</v>
      </c>
      <c r="G100" s="6" t="s">
        <v>28</v>
      </c>
      <c r="H100" s="6" t="s">
        <v>30</v>
      </c>
      <c r="I100" s="14" t="n">
        <v>0</v>
      </c>
      <c r="J100" s="15" t="n">
        <v>0</v>
      </c>
      <c r="K100" s="15" t="n">
        <v>0</v>
      </c>
      <c r="L100" s="6" t="s">
        <v>193</v>
      </c>
      <c r="M100" s="16" t="n">
        <v>0</v>
      </c>
      <c r="N100" s="17" t="n">
        <v>0</v>
      </c>
      <c r="O100" s="17" t="n">
        <v>0</v>
      </c>
      <c r="P100" s="18" t="n">
        <v>0</v>
      </c>
      <c r="Q100" s="19" t="n">
        <v>0</v>
      </c>
      <c r="R100" s="13" t="s">
        <v>679</v>
      </c>
      <c r="S100" s="24" t="s">
        <v>132</v>
      </c>
      <c r="T100" s="6" t="s">
        <v>82</v>
      </c>
      <c r="U100" s="13" t="s">
        <v>680</v>
      </c>
      <c r="V100" s="21"/>
      <c r="W100" s="22"/>
      <c r="X100" s="22"/>
      <c r="Y100" s="23"/>
    </row>
    <row r="101" customFormat="false" ht="30" hidden="false" customHeight="true" outlineLevel="0" collapsed="false">
      <c r="A101" s="6" t="n">
        <v>100</v>
      </c>
      <c r="B101" s="6" t="s">
        <v>643</v>
      </c>
      <c r="C101" s="6" t="s">
        <v>681</v>
      </c>
      <c r="D101" s="6" t="s">
        <v>682</v>
      </c>
      <c r="E101" s="6" t="s">
        <v>683</v>
      </c>
      <c r="F101" s="13" t="s">
        <v>684</v>
      </c>
      <c r="G101" s="6" t="s">
        <v>28</v>
      </c>
      <c r="H101" s="6" t="s">
        <v>30</v>
      </c>
      <c r="I101" s="14" t="n">
        <v>0</v>
      </c>
      <c r="J101" s="15" t="n">
        <v>0</v>
      </c>
      <c r="K101" s="15" t="n">
        <v>0</v>
      </c>
      <c r="L101" s="6" t="s">
        <v>193</v>
      </c>
      <c r="M101" s="16" t="n">
        <v>0</v>
      </c>
      <c r="N101" s="17" t="n">
        <v>0</v>
      </c>
      <c r="O101" s="17" t="n">
        <v>0</v>
      </c>
      <c r="P101" s="18" t="n">
        <v>0</v>
      </c>
      <c r="Q101" s="19" t="n">
        <v>0</v>
      </c>
      <c r="R101" s="13" t="s">
        <v>685</v>
      </c>
      <c r="S101" s="24" t="s">
        <v>132</v>
      </c>
      <c r="T101" s="6" t="s">
        <v>82</v>
      </c>
      <c r="U101" s="13" t="s">
        <v>686</v>
      </c>
      <c r="V101" s="21"/>
      <c r="W101" s="22"/>
      <c r="X101" s="22"/>
      <c r="Y101" s="23"/>
    </row>
    <row r="102" customFormat="false" ht="30" hidden="false" customHeight="true" outlineLevel="0" collapsed="false">
      <c r="A102" s="6" t="n">
        <v>101</v>
      </c>
      <c r="B102" s="6" t="s">
        <v>643</v>
      </c>
      <c r="C102" s="6" t="s">
        <v>687</v>
      </c>
      <c r="D102" s="6" t="s">
        <v>688</v>
      </c>
      <c r="E102" s="6" t="s">
        <v>689</v>
      </c>
      <c r="F102" s="13" t="s">
        <v>690</v>
      </c>
      <c r="G102" s="6" t="s">
        <v>28</v>
      </c>
      <c r="H102" s="6" t="s">
        <v>30</v>
      </c>
      <c r="I102" s="14" t="n">
        <v>45000</v>
      </c>
      <c r="J102" s="15" t="n">
        <v>50000</v>
      </c>
      <c r="K102" s="15" t="n">
        <v>35000</v>
      </c>
      <c r="L102" s="6" t="s">
        <v>169</v>
      </c>
      <c r="M102" s="16" t="n">
        <v>6200000</v>
      </c>
      <c r="N102" s="17" t="n">
        <v>1</v>
      </c>
      <c r="O102" s="17" t="n">
        <v>8</v>
      </c>
      <c r="P102" s="18" t="n">
        <v>0.1</v>
      </c>
      <c r="Q102" s="19" t="n">
        <v>0.5</v>
      </c>
      <c r="R102" s="13" t="s">
        <v>691</v>
      </c>
      <c r="S102" s="24" t="s">
        <v>132</v>
      </c>
      <c r="T102" s="6" t="s">
        <v>82</v>
      </c>
      <c r="U102" s="13" t="s">
        <v>692</v>
      </c>
      <c r="V102" s="21"/>
      <c r="W102" s="22"/>
      <c r="X102" s="22"/>
      <c r="Y102" s="23"/>
    </row>
    <row r="103" customFormat="false" ht="30" hidden="false" customHeight="true" outlineLevel="0" collapsed="false">
      <c r="A103" s="6" t="n">
        <v>102</v>
      </c>
      <c r="B103" s="6" t="s">
        <v>643</v>
      </c>
      <c r="C103" s="6" t="s">
        <v>693</v>
      </c>
      <c r="D103" s="6" t="s">
        <v>694</v>
      </c>
      <c r="E103" s="6" t="s">
        <v>695</v>
      </c>
      <c r="F103" s="13" t="s">
        <v>696</v>
      </c>
      <c r="G103" s="6" t="s">
        <v>28</v>
      </c>
      <c r="H103" s="6" t="s">
        <v>30</v>
      </c>
      <c r="I103" s="14" t="n">
        <v>75000</v>
      </c>
      <c r="J103" s="15" t="n">
        <v>85000</v>
      </c>
      <c r="K103" s="15" t="n">
        <v>60000</v>
      </c>
      <c r="L103" s="6" t="s">
        <v>169</v>
      </c>
      <c r="M103" s="16" t="n">
        <v>10400000</v>
      </c>
      <c r="N103" s="17" t="n">
        <v>1</v>
      </c>
      <c r="O103" s="17" t="n">
        <v>8</v>
      </c>
      <c r="P103" s="18" t="n">
        <v>0.1</v>
      </c>
      <c r="Q103" s="19" t="n">
        <v>0.3</v>
      </c>
      <c r="R103" s="13" t="s">
        <v>697</v>
      </c>
      <c r="S103" s="24" t="s">
        <v>132</v>
      </c>
      <c r="T103" s="6" t="s">
        <v>82</v>
      </c>
      <c r="U103" s="13" t="s">
        <v>698</v>
      </c>
      <c r="V103" s="21"/>
      <c r="W103" s="22"/>
      <c r="X103" s="22"/>
      <c r="Y103" s="23"/>
    </row>
    <row r="104" customFormat="false" ht="30" hidden="false" customHeight="true" outlineLevel="0" collapsed="false">
      <c r="A104" s="6" t="n">
        <v>103</v>
      </c>
      <c r="B104" s="6" t="s">
        <v>643</v>
      </c>
      <c r="C104" s="6" t="s">
        <v>699</v>
      </c>
      <c r="D104" s="6" t="s">
        <v>700</v>
      </c>
      <c r="E104" s="6" t="s">
        <v>701</v>
      </c>
      <c r="F104" s="13" t="s">
        <v>702</v>
      </c>
      <c r="G104" s="6" t="s">
        <v>28</v>
      </c>
      <c r="H104" s="6" t="s">
        <v>30</v>
      </c>
      <c r="I104" s="14" t="n">
        <v>0</v>
      </c>
      <c r="J104" s="15" t="n">
        <v>0</v>
      </c>
      <c r="K104" s="15" t="n">
        <v>0</v>
      </c>
      <c r="L104" s="6" t="s">
        <v>193</v>
      </c>
      <c r="M104" s="16" t="n">
        <v>0</v>
      </c>
      <c r="N104" s="17" t="n">
        <v>0</v>
      </c>
      <c r="O104" s="17" t="n">
        <v>0</v>
      </c>
      <c r="P104" s="18" t="n">
        <v>0</v>
      </c>
      <c r="Q104" s="19" t="n">
        <v>0</v>
      </c>
      <c r="R104" s="13" t="s">
        <v>703</v>
      </c>
      <c r="S104" s="24" t="s">
        <v>132</v>
      </c>
      <c r="T104" s="6" t="s">
        <v>82</v>
      </c>
      <c r="U104" s="13" t="s">
        <v>704</v>
      </c>
      <c r="V104" s="21"/>
      <c r="W104" s="22"/>
      <c r="X104" s="22"/>
      <c r="Y104" s="23"/>
    </row>
    <row r="105" customFormat="false" ht="30" hidden="false" customHeight="true" outlineLevel="0" collapsed="false">
      <c r="A105" s="6" t="n">
        <v>104</v>
      </c>
      <c r="B105" s="6" t="s">
        <v>705</v>
      </c>
      <c r="C105" s="6" t="s">
        <v>706</v>
      </c>
      <c r="D105" s="6" t="s">
        <v>707</v>
      </c>
      <c r="E105" s="6" t="s">
        <v>708</v>
      </c>
      <c r="F105" s="13" t="s">
        <v>709</v>
      </c>
      <c r="G105" s="6" t="s">
        <v>30</v>
      </c>
      <c r="H105" s="6" t="s">
        <v>30</v>
      </c>
      <c r="I105" s="14" t="n">
        <v>280000</v>
      </c>
      <c r="J105" s="15" t="n">
        <v>340000</v>
      </c>
      <c r="K105" s="15" t="n">
        <v>220000</v>
      </c>
      <c r="L105" s="6" t="s">
        <v>193</v>
      </c>
      <c r="M105" s="16" t="n">
        <v>36000000</v>
      </c>
      <c r="N105" s="17" t="n">
        <v>1</v>
      </c>
      <c r="O105" s="17" t="n">
        <v>20</v>
      </c>
      <c r="P105" s="18" t="n">
        <v>0.05</v>
      </c>
      <c r="Q105" s="19" t="n">
        <v>0</v>
      </c>
      <c r="R105" s="13" t="s">
        <v>710</v>
      </c>
      <c r="S105" s="25" t="s">
        <v>309</v>
      </c>
      <c r="T105" s="6" t="s">
        <v>82</v>
      </c>
      <c r="U105" s="13" t="s">
        <v>711</v>
      </c>
      <c r="V105" s="21"/>
      <c r="W105" s="22"/>
      <c r="X105" s="22"/>
      <c r="Y105" s="23"/>
    </row>
    <row r="106" customFormat="false" ht="30" hidden="false" customHeight="true" outlineLevel="0" collapsed="false">
      <c r="A106" s="6" t="n">
        <v>105</v>
      </c>
      <c r="B106" s="6" t="s">
        <v>705</v>
      </c>
      <c r="C106" s="6" t="s">
        <v>712</v>
      </c>
      <c r="D106" s="6" t="s">
        <v>713</v>
      </c>
      <c r="E106" s="6" t="s">
        <v>714</v>
      </c>
      <c r="F106" s="13" t="s">
        <v>715</v>
      </c>
      <c r="G106" s="6" t="s">
        <v>30</v>
      </c>
      <c r="H106" s="6" t="s">
        <v>30</v>
      </c>
      <c r="I106" s="14" t="n">
        <v>85000</v>
      </c>
      <c r="J106" s="15" t="n">
        <v>100000</v>
      </c>
      <c r="K106" s="15" t="n">
        <v>65000</v>
      </c>
      <c r="L106" s="6" t="s">
        <v>169</v>
      </c>
      <c r="M106" s="16" t="n">
        <v>11000000</v>
      </c>
      <c r="N106" s="17" t="n">
        <v>1</v>
      </c>
      <c r="O106" s="17" t="n">
        <v>12</v>
      </c>
      <c r="P106" s="18" t="n">
        <v>0.07</v>
      </c>
      <c r="Q106" s="19" t="n">
        <v>0</v>
      </c>
      <c r="R106" s="13" t="s">
        <v>716</v>
      </c>
      <c r="S106" s="20" t="s">
        <v>81</v>
      </c>
      <c r="T106" s="6" t="s">
        <v>82</v>
      </c>
      <c r="U106" s="13" t="s">
        <v>717</v>
      </c>
      <c r="V106" s="21"/>
      <c r="W106" s="22"/>
      <c r="X106" s="22"/>
      <c r="Y106" s="23"/>
    </row>
    <row r="107" customFormat="false" ht="30" hidden="false" customHeight="true" outlineLevel="0" collapsed="false">
      <c r="A107" s="6" t="n">
        <v>106</v>
      </c>
      <c r="B107" s="6" t="s">
        <v>705</v>
      </c>
      <c r="C107" s="6" t="s">
        <v>718</v>
      </c>
      <c r="D107" s="6" t="s">
        <v>719</v>
      </c>
      <c r="E107" s="6" t="s">
        <v>720</v>
      </c>
      <c r="F107" s="13" t="s">
        <v>721</v>
      </c>
      <c r="G107" s="6" t="s">
        <v>30</v>
      </c>
      <c r="H107" s="6" t="s">
        <v>30</v>
      </c>
      <c r="I107" s="14" t="n">
        <v>220000</v>
      </c>
      <c r="J107" s="15" t="n">
        <v>260000</v>
      </c>
      <c r="K107" s="15" t="n">
        <v>170000</v>
      </c>
      <c r="L107" s="6" t="s">
        <v>169</v>
      </c>
      <c r="M107" s="16" t="n">
        <v>24000000</v>
      </c>
      <c r="N107" s="17" t="n">
        <v>1</v>
      </c>
      <c r="O107" s="17" t="n">
        <v>25</v>
      </c>
      <c r="P107" s="18" t="n">
        <v>0.03</v>
      </c>
      <c r="Q107" s="19" t="n">
        <v>0</v>
      </c>
      <c r="R107" s="13" t="s">
        <v>722</v>
      </c>
      <c r="S107" s="24" t="s">
        <v>132</v>
      </c>
      <c r="T107" s="6" t="s">
        <v>82</v>
      </c>
      <c r="U107" s="13" t="s">
        <v>723</v>
      </c>
      <c r="V107" s="21"/>
      <c r="W107" s="22"/>
      <c r="X107" s="22"/>
      <c r="Y107" s="23"/>
    </row>
    <row r="108" customFormat="false" ht="30" hidden="false" customHeight="true" outlineLevel="0" collapsed="false">
      <c r="A108" s="6" t="n">
        <v>107</v>
      </c>
      <c r="B108" s="6" t="s">
        <v>705</v>
      </c>
      <c r="C108" s="6" t="s">
        <v>724</v>
      </c>
      <c r="D108" s="6" t="s">
        <v>725</v>
      </c>
      <c r="E108" s="6" t="s">
        <v>726</v>
      </c>
      <c r="F108" s="13" t="s">
        <v>727</v>
      </c>
      <c r="G108" s="6" t="s">
        <v>30</v>
      </c>
      <c r="H108" s="6" t="s">
        <v>30</v>
      </c>
      <c r="I108" s="14" t="n">
        <v>280000</v>
      </c>
      <c r="J108" s="15" t="n">
        <v>340000</v>
      </c>
      <c r="K108" s="15" t="n">
        <v>220000</v>
      </c>
      <c r="L108" s="6" t="s">
        <v>193</v>
      </c>
      <c r="M108" s="16" t="n">
        <v>36000000</v>
      </c>
      <c r="N108" s="17" t="n">
        <v>1</v>
      </c>
      <c r="O108" s="17" t="n">
        <v>25</v>
      </c>
      <c r="P108" s="18" t="n">
        <v>0.04</v>
      </c>
      <c r="Q108" s="19" t="n">
        <v>0</v>
      </c>
      <c r="R108" s="13" t="s">
        <v>728</v>
      </c>
      <c r="S108" s="25" t="s">
        <v>309</v>
      </c>
      <c r="T108" s="6" t="s">
        <v>82</v>
      </c>
      <c r="U108" s="13" t="s">
        <v>729</v>
      </c>
      <c r="V108" s="21"/>
      <c r="W108" s="22"/>
      <c r="X108" s="22"/>
      <c r="Y108" s="23"/>
    </row>
    <row r="109" customFormat="false" ht="30" hidden="false" customHeight="true" outlineLevel="0" collapsed="false">
      <c r="A109" s="6" t="n">
        <v>108</v>
      </c>
      <c r="B109" s="6" t="s">
        <v>705</v>
      </c>
      <c r="C109" s="6" t="s">
        <v>730</v>
      </c>
      <c r="D109" s="6" t="s">
        <v>731</v>
      </c>
      <c r="E109" s="6" t="s">
        <v>732</v>
      </c>
      <c r="F109" s="13" t="s">
        <v>733</v>
      </c>
      <c r="G109" s="6" t="s">
        <v>28</v>
      </c>
      <c r="H109" s="6" t="s">
        <v>30</v>
      </c>
      <c r="I109" s="14" t="n">
        <v>95000</v>
      </c>
      <c r="J109" s="15" t="n">
        <v>115000</v>
      </c>
      <c r="K109" s="15" t="n">
        <v>70000</v>
      </c>
      <c r="L109" s="6" t="s">
        <v>169</v>
      </c>
      <c r="M109" s="16" t="n">
        <v>12000000</v>
      </c>
      <c r="N109" s="17" t="n">
        <v>1</v>
      </c>
      <c r="O109" s="17" t="n">
        <v>15</v>
      </c>
      <c r="P109" s="18" t="n">
        <v>0.05</v>
      </c>
      <c r="Q109" s="19" t="n">
        <v>0.25</v>
      </c>
      <c r="R109" s="13" t="s">
        <v>734</v>
      </c>
      <c r="S109" s="25" t="s">
        <v>309</v>
      </c>
      <c r="T109" s="6" t="s">
        <v>82</v>
      </c>
      <c r="U109" s="13" t="s">
        <v>735</v>
      </c>
      <c r="V109" s="21"/>
      <c r="W109" s="22"/>
      <c r="X109" s="22"/>
      <c r="Y109" s="23"/>
    </row>
    <row r="110" customFormat="false" ht="30" hidden="false" customHeight="true" outlineLevel="0" collapsed="false">
      <c r="A110" s="6" t="n">
        <v>109</v>
      </c>
      <c r="B110" s="6" t="s">
        <v>705</v>
      </c>
      <c r="C110" s="6" t="s">
        <v>736</v>
      </c>
      <c r="D110" s="6" t="s">
        <v>737</v>
      </c>
      <c r="E110" s="6" t="s">
        <v>738</v>
      </c>
      <c r="F110" s="13" t="s">
        <v>739</v>
      </c>
      <c r="G110" s="6" t="s">
        <v>30</v>
      </c>
      <c r="H110" s="6" t="s">
        <v>30</v>
      </c>
      <c r="I110" s="14" t="n">
        <v>85000</v>
      </c>
      <c r="J110" s="15" t="n">
        <v>100000</v>
      </c>
      <c r="K110" s="15" t="n">
        <v>65000</v>
      </c>
      <c r="L110" s="6" t="s">
        <v>169</v>
      </c>
      <c r="M110" s="16" t="n">
        <v>11000000</v>
      </c>
      <c r="N110" s="17" t="n">
        <v>1</v>
      </c>
      <c r="O110" s="17" t="n">
        <v>15</v>
      </c>
      <c r="P110" s="18" t="n">
        <v>0.06</v>
      </c>
      <c r="Q110" s="19" t="n">
        <v>0</v>
      </c>
      <c r="R110" s="13" t="s">
        <v>740</v>
      </c>
      <c r="S110" s="24" t="s">
        <v>132</v>
      </c>
      <c r="T110" s="6" t="s">
        <v>82</v>
      </c>
      <c r="U110" s="13" t="s">
        <v>741</v>
      </c>
      <c r="V110" s="21"/>
      <c r="W110" s="22"/>
      <c r="X110" s="22"/>
      <c r="Y110" s="23"/>
    </row>
    <row r="111" customFormat="false" ht="30" hidden="false" customHeight="true" outlineLevel="0" collapsed="false">
      <c r="A111" s="6" t="n">
        <v>110</v>
      </c>
      <c r="B111" s="6" t="s">
        <v>705</v>
      </c>
      <c r="C111" s="6" t="s">
        <v>742</v>
      </c>
      <c r="D111" s="6" t="s">
        <v>743</v>
      </c>
      <c r="E111" s="6" t="s">
        <v>744</v>
      </c>
      <c r="F111" s="13" t="s">
        <v>745</v>
      </c>
      <c r="G111" s="6" t="s">
        <v>28</v>
      </c>
      <c r="H111" s="6" t="s">
        <v>28</v>
      </c>
      <c r="I111" s="14" t="n">
        <v>16000</v>
      </c>
      <c r="J111" s="15" t="n">
        <v>20000</v>
      </c>
      <c r="K111" s="15" t="n">
        <v>12000</v>
      </c>
      <c r="L111" s="6" t="s">
        <v>169</v>
      </c>
      <c r="M111" s="16" t="n">
        <v>2000000</v>
      </c>
      <c r="N111" s="17" t="n">
        <v>2</v>
      </c>
      <c r="O111" s="17" t="n">
        <v>10</v>
      </c>
      <c r="P111" s="18" t="n">
        <v>0.06</v>
      </c>
      <c r="Q111" s="19" t="n">
        <v>0</v>
      </c>
      <c r="R111" s="13" t="s">
        <v>746</v>
      </c>
      <c r="S111" s="24" t="s">
        <v>132</v>
      </c>
      <c r="T111" s="6" t="s">
        <v>82</v>
      </c>
      <c r="U111" s="13" t="s">
        <v>747</v>
      </c>
      <c r="V111" s="21"/>
      <c r="W111" s="22"/>
      <c r="X111" s="22"/>
      <c r="Y111" s="23"/>
    </row>
    <row r="112" customFormat="false" ht="30" hidden="false" customHeight="true" outlineLevel="0" collapsed="false">
      <c r="A112" s="6" t="n">
        <v>111</v>
      </c>
      <c r="B112" s="6" t="s">
        <v>748</v>
      </c>
      <c r="C112" s="6" t="s">
        <v>749</v>
      </c>
      <c r="D112" s="6" t="s">
        <v>750</v>
      </c>
      <c r="E112" s="6" t="s">
        <v>751</v>
      </c>
      <c r="F112" s="13" t="s">
        <v>752</v>
      </c>
      <c r="G112" s="6" t="s">
        <v>30</v>
      </c>
      <c r="H112" s="6" t="s">
        <v>30</v>
      </c>
      <c r="I112" s="14" t="n">
        <v>60000</v>
      </c>
      <c r="J112" s="15" t="n">
        <v>70000</v>
      </c>
      <c r="K112" s="15" t="n">
        <v>56000</v>
      </c>
      <c r="L112" s="6" t="s">
        <v>79</v>
      </c>
      <c r="M112" s="16" t="n">
        <v>8200000</v>
      </c>
      <c r="N112" s="17" t="n">
        <v>1</v>
      </c>
      <c r="O112" s="17" t="n">
        <v>10</v>
      </c>
      <c r="P112" s="18" t="n">
        <v>0.08</v>
      </c>
      <c r="Q112" s="19" t="n">
        <v>0.4</v>
      </c>
      <c r="R112" s="13" t="s">
        <v>753</v>
      </c>
      <c r="S112" s="20" t="s">
        <v>81</v>
      </c>
      <c r="T112" s="6" t="s">
        <v>82</v>
      </c>
      <c r="U112" s="13" t="s">
        <v>754</v>
      </c>
      <c r="V112" s="21"/>
      <c r="W112" s="22"/>
      <c r="X112" s="22"/>
      <c r="Y112" s="23"/>
    </row>
    <row r="113" customFormat="false" ht="30" hidden="false" customHeight="true" outlineLevel="0" collapsed="false">
      <c r="A113" s="6" t="n">
        <v>112</v>
      </c>
      <c r="B113" s="6" t="s">
        <v>748</v>
      </c>
      <c r="C113" s="6" t="s">
        <v>755</v>
      </c>
      <c r="D113" s="6" t="s">
        <v>756</v>
      </c>
      <c r="E113" s="6" t="s">
        <v>757</v>
      </c>
      <c r="F113" s="13" t="s">
        <v>758</v>
      </c>
      <c r="G113" s="6" t="s">
        <v>26</v>
      </c>
      <c r="H113" s="6" t="s">
        <v>28</v>
      </c>
      <c r="I113" s="14" t="n">
        <v>12000</v>
      </c>
      <c r="J113" s="15" t="n">
        <v>14000</v>
      </c>
      <c r="K113" s="15" t="n">
        <v>11000</v>
      </c>
      <c r="L113" s="6" t="s">
        <v>79</v>
      </c>
      <c r="M113" s="16" t="n">
        <v>1650000</v>
      </c>
      <c r="N113" s="17" t="n">
        <v>2</v>
      </c>
      <c r="O113" s="17" t="n">
        <v>15</v>
      </c>
      <c r="P113" s="18" t="n">
        <v>0.03</v>
      </c>
      <c r="Q113" s="19" t="n">
        <v>0.5</v>
      </c>
      <c r="R113" s="13" t="s">
        <v>759</v>
      </c>
      <c r="S113" s="25" t="s">
        <v>309</v>
      </c>
      <c r="T113" s="6" t="s">
        <v>82</v>
      </c>
      <c r="U113" s="13" t="s">
        <v>760</v>
      </c>
      <c r="V113" s="21"/>
      <c r="W113" s="22"/>
      <c r="X113" s="22"/>
      <c r="Y113" s="23"/>
    </row>
    <row r="114" customFormat="false" ht="30" hidden="false" customHeight="true" outlineLevel="0" collapsed="false">
      <c r="A114" s="6" t="n">
        <v>113</v>
      </c>
      <c r="B114" s="6" t="s">
        <v>748</v>
      </c>
      <c r="C114" s="6" t="s">
        <v>761</v>
      </c>
      <c r="D114" s="6" t="s">
        <v>762</v>
      </c>
      <c r="E114" s="6" t="s">
        <v>763</v>
      </c>
      <c r="F114" s="13" t="s">
        <v>764</v>
      </c>
      <c r="G114" s="6" t="s">
        <v>30</v>
      </c>
      <c r="H114" s="6" t="s">
        <v>30</v>
      </c>
      <c r="I114" s="14" t="n">
        <v>320000</v>
      </c>
      <c r="J114" s="15" t="n">
        <v>380000</v>
      </c>
      <c r="K114" s="15" t="n">
        <v>305000</v>
      </c>
      <c r="L114" s="6" t="s">
        <v>79</v>
      </c>
      <c r="M114" s="16" t="n">
        <v>44000000</v>
      </c>
      <c r="N114" s="17" t="n">
        <v>1</v>
      </c>
      <c r="O114" s="17" t="n">
        <v>20</v>
      </c>
      <c r="P114" s="18" t="n">
        <v>0.05</v>
      </c>
      <c r="Q114" s="19" t="n">
        <v>0.8</v>
      </c>
      <c r="R114" s="13" t="s">
        <v>765</v>
      </c>
      <c r="S114" s="25" t="s">
        <v>309</v>
      </c>
      <c r="T114" s="6" t="s">
        <v>82</v>
      </c>
      <c r="U114" s="13" t="s">
        <v>766</v>
      </c>
      <c r="V114" s="21"/>
      <c r="W114" s="22"/>
      <c r="X114" s="22"/>
      <c r="Y114" s="23"/>
    </row>
    <row r="115" customFormat="false" ht="30" hidden="false" customHeight="true" outlineLevel="0" collapsed="false">
      <c r="A115" s="6" t="n">
        <v>114</v>
      </c>
      <c r="B115" s="6" t="s">
        <v>748</v>
      </c>
      <c r="C115" s="6" t="s">
        <v>767</v>
      </c>
      <c r="D115" s="6" t="s">
        <v>768</v>
      </c>
      <c r="E115" s="6" t="s">
        <v>769</v>
      </c>
      <c r="F115" s="13" t="s">
        <v>770</v>
      </c>
      <c r="G115" s="6" t="s">
        <v>26</v>
      </c>
      <c r="H115" s="6" t="s">
        <v>28</v>
      </c>
      <c r="I115" s="14" t="n">
        <v>38000</v>
      </c>
      <c r="J115" s="15" t="n">
        <v>45000</v>
      </c>
      <c r="K115" s="15" t="n">
        <v>36000</v>
      </c>
      <c r="L115" s="6" t="s">
        <v>79</v>
      </c>
      <c r="M115" s="16" t="n">
        <v>5200000</v>
      </c>
      <c r="N115" s="17" t="n">
        <v>1</v>
      </c>
      <c r="O115" s="17" t="n">
        <v>12</v>
      </c>
      <c r="P115" s="18" t="n">
        <v>0.04</v>
      </c>
      <c r="Q115" s="19" t="n">
        <v>1.5</v>
      </c>
      <c r="R115" s="13" t="s">
        <v>771</v>
      </c>
      <c r="S115" s="24" t="s">
        <v>132</v>
      </c>
      <c r="T115" s="6" t="s">
        <v>82</v>
      </c>
      <c r="U115" s="13" t="s">
        <v>772</v>
      </c>
      <c r="V115" s="21"/>
      <c r="W115" s="22"/>
      <c r="X115" s="22"/>
      <c r="Y115" s="23"/>
    </row>
    <row r="116" customFormat="false" ht="30" hidden="false" customHeight="true" outlineLevel="0" collapsed="false">
      <c r="A116" s="6" t="n">
        <v>115</v>
      </c>
      <c r="B116" s="6" t="s">
        <v>748</v>
      </c>
      <c r="C116" s="6" t="s">
        <v>773</v>
      </c>
      <c r="D116" s="6" t="s">
        <v>774</v>
      </c>
      <c r="E116" s="6" t="s">
        <v>775</v>
      </c>
      <c r="F116" s="13" t="s">
        <v>776</v>
      </c>
      <c r="G116" s="6" t="s">
        <v>26</v>
      </c>
      <c r="H116" s="6" t="s">
        <v>28</v>
      </c>
      <c r="I116" s="14" t="n">
        <v>9000</v>
      </c>
      <c r="J116" s="15" t="n">
        <v>11000</v>
      </c>
      <c r="K116" s="15" t="n">
        <v>8500</v>
      </c>
      <c r="L116" s="6" t="s">
        <v>79</v>
      </c>
      <c r="M116" s="16" t="n">
        <v>1240000</v>
      </c>
      <c r="N116" s="17" t="n">
        <v>2</v>
      </c>
      <c r="O116" s="17" t="n">
        <v>15</v>
      </c>
      <c r="P116" s="18" t="n">
        <v>0.03</v>
      </c>
      <c r="Q116" s="19" t="n">
        <v>0</v>
      </c>
      <c r="R116" s="13" t="s">
        <v>777</v>
      </c>
      <c r="S116" s="20" t="s">
        <v>81</v>
      </c>
      <c r="T116" s="6" t="s">
        <v>82</v>
      </c>
      <c r="U116" s="13" t="s">
        <v>778</v>
      </c>
      <c r="V116" s="21"/>
      <c r="W116" s="22"/>
      <c r="X116" s="22"/>
      <c r="Y116" s="23"/>
    </row>
    <row r="117" customFormat="false" ht="30" hidden="false" customHeight="true" outlineLevel="0" collapsed="false">
      <c r="A117" s="6" t="n">
        <v>116</v>
      </c>
      <c r="B117" s="6" t="s">
        <v>748</v>
      </c>
      <c r="C117" s="6" t="s">
        <v>779</v>
      </c>
      <c r="D117" s="6" t="s">
        <v>780</v>
      </c>
      <c r="E117" s="6" t="s">
        <v>781</v>
      </c>
      <c r="F117" s="13" t="s">
        <v>782</v>
      </c>
      <c r="G117" s="6" t="s">
        <v>26</v>
      </c>
      <c r="H117" s="6" t="s">
        <v>26</v>
      </c>
      <c r="I117" s="14" t="n">
        <v>12000</v>
      </c>
      <c r="J117" s="15" t="n">
        <v>14000</v>
      </c>
      <c r="K117" s="15" t="n">
        <v>11000</v>
      </c>
      <c r="L117" s="6" t="s">
        <v>79</v>
      </c>
      <c r="M117" s="16" t="n">
        <v>1650000</v>
      </c>
      <c r="N117" s="17" t="n">
        <v>2</v>
      </c>
      <c r="O117" s="17" t="n">
        <v>5</v>
      </c>
      <c r="P117" s="18" t="n">
        <v>0.08</v>
      </c>
      <c r="Q117" s="19" t="n">
        <v>0.2</v>
      </c>
      <c r="R117" s="13" t="s">
        <v>783</v>
      </c>
      <c r="S117" s="24" t="s">
        <v>132</v>
      </c>
      <c r="T117" s="6" t="s">
        <v>82</v>
      </c>
      <c r="U117" s="13" t="s">
        <v>784</v>
      </c>
      <c r="V117" s="21"/>
      <c r="W117" s="22"/>
      <c r="X117" s="22"/>
      <c r="Y117" s="23"/>
    </row>
    <row r="118" customFormat="false" ht="30" hidden="false" customHeight="true" outlineLevel="0" collapsed="false">
      <c r="A118" s="6" t="n">
        <v>117</v>
      </c>
      <c r="B118" s="6" t="s">
        <v>748</v>
      </c>
      <c r="C118" s="6" t="s">
        <v>785</v>
      </c>
      <c r="D118" s="6" t="s">
        <v>786</v>
      </c>
      <c r="E118" s="6" t="s">
        <v>787</v>
      </c>
      <c r="F118" s="13" t="s">
        <v>788</v>
      </c>
      <c r="G118" s="6" t="s">
        <v>30</v>
      </c>
      <c r="H118" s="6" t="s">
        <v>30</v>
      </c>
      <c r="I118" s="14" t="n">
        <v>350000</v>
      </c>
      <c r="J118" s="15" t="n">
        <v>420000</v>
      </c>
      <c r="K118" s="15" t="n">
        <v>335000</v>
      </c>
      <c r="L118" s="6" t="s">
        <v>79</v>
      </c>
      <c r="M118" s="16" t="n">
        <v>48000000</v>
      </c>
      <c r="N118" s="17" t="n">
        <v>1</v>
      </c>
      <c r="O118" s="17" t="n">
        <v>12</v>
      </c>
      <c r="P118" s="18" t="n">
        <v>0.1</v>
      </c>
      <c r="Q118" s="19" t="n">
        <v>1</v>
      </c>
      <c r="R118" s="13" t="s">
        <v>789</v>
      </c>
      <c r="S118" s="20" t="s">
        <v>81</v>
      </c>
      <c r="T118" s="6" t="s">
        <v>82</v>
      </c>
      <c r="U118" s="13" t="s">
        <v>790</v>
      </c>
      <c r="V118" s="21"/>
      <c r="W118" s="22"/>
      <c r="X118" s="22"/>
      <c r="Y118" s="23"/>
    </row>
    <row r="119" customFormat="false" ht="30" hidden="false" customHeight="true" outlineLevel="0" collapsed="false">
      <c r="A119" s="6" t="n">
        <v>118</v>
      </c>
      <c r="B119" s="6" t="s">
        <v>748</v>
      </c>
      <c r="C119" s="6" t="s">
        <v>791</v>
      </c>
      <c r="D119" s="6" t="s">
        <v>792</v>
      </c>
      <c r="E119" s="6" t="s">
        <v>793</v>
      </c>
      <c r="F119" s="13" t="s">
        <v>794</v>
      </c>
      <c r="G119" s="6" t="s">
        <v>30</v>
      </c>
      <c r="H119" s="6" t="s">
        <v>28</v>
      </c>
      <c r="I119" s="14" t="n">
        <v>12000</v>
      </c>
      <c r="J119" s="15" t="n">
        <v>14000</v>
      </c>
      <c r="K119" s="15" t="n">
        <v>11000</v>
      </c>
      <c r="L119" s="6" t="s">
        <v>79</v>
      </c>
      <c r="M119" s="16" t="n">
        <v>1650000</v>
      </c>
      <c r="N119" s="17" t="n">
        <v>2</v>
      </c>
      <c r="O119" s="17" t="n">
        <v>12</v>
      </c>
      <c r="P119" s="18" t="n">
        <v>0.03</v>
      </c>
      <c r="Q119" s="19" t="n">
        <v>0.2</v>
      </c>
      <c r="R119" s="13" t="s">
        <v>795</v>
      </c>
      <c r="S119" s="20" t="s">
        <v>81</v>
      </c>
      <c r="T119" s="6" t="s">
        <v>82</v>
      </c>
      <c r="U119" s="13" t="s">
        <v>796</v>
      </c>
      <c r="V119" s="21"/>
      <c r="W119" s="22"/>
      <c r="X119" s="22"/>
      <c r="Y119" s="23"/>
    </row>
    <row r="120" customFormat="false" ht="30" hidden="false" customHeight="true" outlineLevel="0" collapsed="false">
      <c r="A120" s="6" t="n">
        <v>119</v>
      </c>
      <c r="B120" s="6" t="s">
        <v>748</v>
      </c>
      <c r="C120" s="6" t="s">
        <v>797</v>
      </c>
      <c r="D120" s="6" t="s">
        <v>798</v>
      </c>
      <c r="E120" s="6" t="s">
        <v>799</v>
      </c>
      <c r="F120" s="13" t="s">
        <v>800</v>
      </c>
      <c r="G120" s="6" t="s">
        <v>26</v>
      </c>
      <c r="H120" s="6" t="s">
        <v>26</v>
      </c>
      <c r="I120" s="14" t="n">
        <v>9000</v>
      </c>
      <c r="J120" s="15" t="n">
        <v>10500</v>
      </c>
      <c r="K120" s="15" t="n">
        <v>8500</v>
      </c>
      <c r="L120" s="6" t="s">
        <v>79</v>
      </c>
      <c r="M120" s="16" t="n">
        <v>1240000</v>
      </c>
      <c r="N120" s="17" t="n">
        <v>2</v>
      </c>
      <c r="O120" s="17" t="n">
        <v>8</v>
      </c>
      <c r="P120" s="18" t="n">
        <v>0.06</v>
      </c>
      <c r="Q120" s="19" t="n">
        <v>0.1</v>
      </c>
      <c r="R120" s="13" t="s">
        <v>801</v>
      </c>
      <c r="S120" s="20" t="s">
        <v>81</v>
      </c>
      <c r="T120" s="6" t="s">
        <v>82</v>
      </c>
      <c r="U120" s="13" t="s">
        <v>802</v>
      </c>
      <c r="V120" s="21"/>
      <c r="W120" s="22"/>
      <c r="X120" s="22"/>
      <c r="Y120" s="23"/>
    </row>
    <row r="121" customFormat="false" ht="30" hidden="false" customHeight="true" outlineLevel="0" collapsed="false">
      <c r="A121" s="6" t="n">
        <v>120</v>
      </c>
      <c r="B121" s="6" t="s">
        <v>748</v>
      </c>
      <c r="C121" s="6" t="s">
        <v>803</v>
      </c>
      <c r="D121" s="6" t="s">
        <v>804</v>
      </c>
      <c r="E121" s="6" t="s">
        <v>805</v>
      </c>
      <c r="F121" s="13" t="s">
        <v>806</v>
      </c>
      <c r="G121" s="6" t="s">
        <v>26</v>
      </c>
      <c r="H121" s="6" t="s">
        <v>26</v>
      </c>
      <c r="I121" s="14" t="n">
        <v>18000</v>
      </c>
      <c r="J121" s="15" t="n">
        <v>22000</v>
      </c>
      <c r="K121" s="15" t="n">
        <v>17000</v>
      </c>
      <c r="L121" s="6" t="s">
        <v>79</v>
      </c>
      <c r="M121" s="16" t="n">
        <v>2480000</v>
      </c>
      <c r="N121" s="17" t="n">
        <v>1</v>
      </c>
      <c r="O121" s="17" t="n">
        <v>8</v>
      </c>
      <c r="P121" s="18" t="n">
        <v>0.04</v>
      </c>
      <c r="Q121" s="19" t="n">
        <v>0.5</v>
      </c>
      <c r="R121" s="13" t="s">
        <v>807</v>
      </c>
      <c r="S121" s="20" t="s">
        <v>81</v>
      </c>
      <c r="T121" s="6" t="s">
        <v>82</v>
      </c>
      <c r="U121" s="13" t="s">
        <v>808</v>
      </c>
      <c r="V121" s="21"/>
      <c r="W121" s="22"/>
      <c r="X121" s="22"/>
      <c r="Y121" s="23"/>
    </row>
    <row r="122" customFormat="false" ht="30" hidden="false" customHeight="true" outlineLevel="0" collapsed="false">
      <c r="A122" s="6" t="n">
        <v>121</v>
      </c>
      <c r="B122" s="6" t="s">
        <v>809</v>
      </c>
      <c r="C122" s="6" t="s">
        <v>810</v>
      </c>
      <c r="D122" s="6" t="s">
        <v>811</v>
      </c>
      <c r="E122" s="6" t="s">
        <v>812</v>
      </c>
      <c r="F122" s="13" t="s">
        <v>813</v>
      </c>
      <c r="G122" s="6" t="s">
        <v>28</v>
      </c>
      <c r="H122" s="6" t="s">
        <v>28</v>
      </c>
      <c r="I122" s="14" t="n">
        <v>11000</v>
      </c>
      <c r="J122" s="15" t="n">
        <v>13000</v>
      </c>
      <c r="K122" s="15" t="n">
        <v>10000</v>
      </c>
      <c r="L122" s="6" t="s">
        <v>79</v>
      </c>
      <c r="M122" s="16" t="n">
        <v>1500000</v>
      </c>
      <c r="N122" s="17" t="n">
        <v>2</v>
      </c>
      <c r="O122" s="17" t="n">
        <v>12</v>
      </c>
      <c r="P122" s="18" t="n">
        <v>0.05</v>
      </c>
      <c r="Q122" s="19" t="n">
        <v>0.8</v>
      </c>
      <c r="R122" s="13" t="s">
        <v>814</v>
      </c>
      <c r="S122" s="24" t="s">
        <v>132</v>
      </c>
      <c r="T122" s="6" t="s">
        <v>82</v>
      </c>
      <c r="U122" s="13" t="s">
        <v>815</v>
      </c>
      <c r="V122" s="21"/>
      <c r="W122" s="22"/>
      <c r="X122" s="22"/>
      <c r="Y122" s="23"/>
    </row>
    <row r="123" customFormat="false" ht="30" hidden="false" customHeight="true" outlineLevel="0" collapsed="false">
      <c r="A123" s="6" t="n">
        <v>122</v>
      </c>
      <c r="B123" s="6" t="s">
        <v>809</v>
      </c>
      <c r="C123" s="6" t="s">
        <v>816</v>
      </c>
      <c r="D123" s="6" t="s">
        <v>817</v>
      </c>
      <c r="E123" s="6" t="s">
        <v>818</v>
      </c>
      <c r="F123" s="13" t="s">
        <v>819</v>
      </c>
      <c r="G123" s="6" t="s">
        <v>28</v>
      </c>
      <c r="H123" s="6" t="s">
        <v>28</v>
      </c>
      <c r="I123" s="14" t="n">
        <v>9000</v>
      </c>
      <c r="J123" s="15" t="n">
        <v>11000</v>
      </c>
      <c r="K123" s="15" t="n">
        <v>8500</v>
      </c>
      <c r="L123" s="6" t="s">
        <v>79</v>
      </c>
      <c r="M123" s="16" t="n">
        <v>1240000</v>
      </c>
      <c r="N123" s="17" t="n">
        <v>1</v>
      </c>
      <c r="O123" s="17" t="n">
        <v>8</v>
      </c>
      <c r="P123" s="18" t="n">
        <v>0.06</v>
      </c>
      <c r="Q123" s="19" t="n">
        <v>0.1</v>
      </c>
      <c r="R123" s="13" t="s">
        <v>820</v>
      </c>
      <c r="S123" s="20" t="s">
        <v>81</v>
      </c>
      <c r="T123" s="6" t="s">
        <v>82</v>
      </c>
      <c r="U123" s="13" t="s">
        <v>821</v>
      </c>
      <c r="V123" s="21"/>
      <c r="W123" s="22"/>
      <c r="X123" s="22"/>
      <c r="Y123" s="23"/>
    </row>
    <row r="124" customFormat="false" ht="30" hidden="false" customHeight="true" outlineLevel="0" collapsed="false">
      <c r="A124" s="6" t="n">
        <v>123</v>
      </c>
      <c r="B124" s="6" t="s">
        <v>809</v>
      </c>
      <c r="C124" s="6" t="s">
        <v>822</v>
      </c>
      <c r="D124" s="6" t="s">
        <v>823</v>
      </c>
      <c r="E124" s="6" t="s">
        <v>824</v>
      </c>
      <c r="F124" s="13" t="s">
        <v>825</v>
      </c>
      <c r="G124" s="6" t="s">
        <v>28</v>
      </c>
      <c r="H124" s="6" t="s">
        <v>28</v>
      </c>
      <c r="I124" s="14" t="n">
        <v>7000</v>
      </c>
      <c r="J124" s="15" t="n">
        <v>8500</v>
      </c>
      <c r="K124" s="15" t="n">
        <v>6700</v>
      </c>
      <c r="L124" s="6" t="s">
        <v>79</v>
      </c>
      <c r="M124" s="16" t="n">
        <v>970000</v>
      </c>
      <c r="N124" s="17" t="n">
        <v>1</v>
      </c>
      <c r="O124" s="17" t="n">
        <v>8</v>
      </c>
      <c r="P124" s="18" t="n">
        <v>0.05</v>
      </c>
      <c r="Q124" s="19" t="n">
        <v>0.1</v>
      </c>
      <c r="R124" s="13" t="s">
        <v>826</v>
      </c>
      <c r="S124" s="24" t="s">
        <v>132</v>
      </c>
      <c r="T124" s="6" t="s">
        <v>82</v>
      </c>
      <c r="U124" s="13" t="s">
        <v>827</v>
      </c>
      <c r="V124" s="21"/>
      <c r="W124" s="22"/>
      <c r="X124" s="22"/>
      <c r="Y124" s="23"/>
    </row>
    <row r="125" customFormat="false" ht="30" hidden="false" customHeight="true" outlineLevel="0" collapsed="false">
      <c r="A125" s="6" t="n">
        <v>124</v>
      </c>
      <c r="B125" s="6" t="s">
        <v>809</v>
      </c>
      <c r="C125" s="6" t="s">
        <v>828</v>
      </c>
      <c r="D125" s="6" t="s">
        <v>829</v>
      </c>
      <c r="E125" s="6" t="s">
        <v>830</v>
      </c>
      <c r="F125" s="13" t="s">
        <v>831</v>
      </c>
      <c r="G125" s="6" t="s">
        <v>28</v>
      </c>
      <c r="H125" s="6" t="s">
        <v>30</v>
      </c>
      <c r="I125" s="14" t="n">
        <v>70000</v>
      </c>
      <c r="J125" s="15" t="n">
        <v>82000</v>
      </c>
      <c r="K125" s="15" t="n">
        <v>65000</v>
      </c>
      <c r="L125" s="6" t="s">
        <v>79</v>
      </c>
      <c r="M125" s="16" t="n">
        <v>9700000</v>
      </c>
      <c r="N125" s="17" t="n">
        <v>1</v>
      </c>
      <c r="O125" s="17" t="n">
        <v>8</v>
      </c>
      <c r="P125" s="18" t="n">
        <v>0.07</v>
      </c>
      <c r="Q125" s="19" t="n">
        <v>0.3</v>
      </c>
      <c r="R125" s="13" t="s">
        <v>832</v>
      </c>
      <c r="S125" s="20" t="s">
        <v>81</v>
      </c>
      <c r="T125" s="6" t="s">
        <v>82</v>
      </c>
      <c r="U125" s="13" t="s">
        <v>833</v>
      </c>
      <c r="V125" s="21"/>
      <c r="W125" s="22"/>
      <c r="X125" s="22"/>
      <c r="Y125" s="23"/>
    </row>
    <row r="126" customFormat="false" ht="30" hidden="false" customHeight="true" outlineLevel="0" collapsed="false">
      <c r="A126" s="6" t="n">
        <v>125</v>
      </c>
      <c r="B126" s="6" t="s">
        <v>834</v>
      </c>
      <c r="C126" s="6" t="s">
        <v>835</v>
      </c>
      <c r="D126" s="6" t="s">
        <v>836</v>
      </c>
      <c r="E126" s="6" t="s">
        <v>837</v>
      </c>
      <c r="F126" s="13" t="s">
        <v>838</v>
      </c>
      <c r="G126" s="6" t="s">
        <v>30</v>
      </c>
      <c r="H126" s="6" t="s">
        <v>30</v>
      </c>
      <c r="I126" s="14" t="n">
        <v>15000</v>
      </c>
      <c r="J126" s="15" t="n">
        <v>17000</v>
      </c>
      <c r="K126" s="15" t="n">
        <v>12000</v>
      </c>
      <c r="L126" s="6" t="s">
        <v>193</v>
      </c>
      <c r="M126" s="16" t="n">
        <v>2100000</v>
      </c>
      <c r="N126" s="17" t="n">
        <v>1</v>
      </c>
      <c r="O126" s="17" t="n">
        <v>5</v>
      </c>
      <c r="P126" s="18" t="n">
        <v>0.2</v>
      </c>
      <c r="Q126" s="19" t="n">
        <v>0</v>
      </c>
      <c r="R126" s="13" t="s">
        <v>839</v>
      </c>
      <c r="S126" s="25" t="s">
        <v>309</v>
      </c>
      <c r="T126" s="6" t="s">
        <v>82</v>
      </c>
      <c r="U126" s="13" t="s">
        <v>840</v>
      </c>
      <c r="V126" s="21"/>
      <c r="W126" s="22"/>
      <c r="X126" s="22"/>
      <c r="Y126" s="23"/>
    </row>
    <row r="127" customFormat="false" ht="30" hidden="false" customHeight="true" outlineLevel="0" collapsed="false">
      <c r="A127" s="6" t="n">
        <v>126</v>
      </c>
      <c r="B127" s="6" t="s">
        <v>834</v>
      </c>
      <c r="C127" s="6" t="s">
        <v>841</v>
      </c>
      <c r="D127" s="6" t="s">
        <v>842</v>
      </c>
      <c r="E127" s="6" t="s">
        <v>843</v>
      </c>
      <c r="F127" s="13" t="s">
        <v>844</v>
      </c>
      <c r="G127" s="6" t="s">
        <v>30</v>
      </c>
      <c r="H127" s="6" t="s">
        <v>30</v>
      </c>
      <c r="I127" s="14" t="n">
        <v>45000</v>
      </c>
      <c r="J127" s="15" t="n">
        <v>52000</v>
      </c>
      <c r="K127" s="15" t="n">
        <v>38000</v>
      </c>
      <c r="L127" s="6" t="s">
        <v>169</v>
      </c>
      <c r="M127" s="16" t="n">
        <v>6200000</v>
      </c>
      <c r="N127" s="17" t="n">
        <v>1</v>
      </c>
      <c r="O127" s="17" t="n">
        <v>8</v>
      </c>
      <c r="P127" s="18" t="n">
        <v>0.07</v>
      </c>
      <c r="Q127" s="19" t="n">
        <v>0.3</v>
      </c>
      <c r="R127" s="13" t="s">
        <v>845</v>
      </c>
      <c r="S127" s="20" t="s">
        <v>81</v>
      </c>
      <c r="T127" s="6" t="s">
        <v>82</v>
      </c>
      <c r="U127" s="13" t="s">
        <v>846</v>
      </c>
      <c r="V127" s="21"/>
      <c r="W127" s="22"/>
      <c r="X127" s="22"/>
      <c r="Y127" s="23"/>
    </row>
    <row r="128" customFormat="false" ht="30" hidden="false" customHeight="true" outlineLevel="0" collapsed="false">
      <c r="A128" s="6" t="n">
        <v>127</v>
      </c>
      <c r="B128" s="6" t="s">
        <v>834</v>
      </c>
      <c r="C128" s="6" t="s">
        <v>847</v>
      </c>
      <c r="D128" s="6" t="s">
        <v>848</v>
      </c>
      <c r="E128" s="6" t="s">
        <v>849</v>
      </c>
      <c r="F128" s="13" t="s">
        <v>850</v>
      </c>
      <c r="G128" s="6" t="s">
        <v>28</v>
      </c>
      <c r="H128" s="6" t="s">
        <v>30</v>
      </c>
      <c r="I128" s="14" t="n">
        <v>18000</v>
      </c>
      <c r="J128" s="15" t="n">
        <v>20000</v>
      </c>
      <c r="K128" s="15" t="n">
        <v>14000</v>
      </c>
      <c r="L128" s="6" t="s">
        <v>169</v>
      </c>
      <c r="M128" s="16" t="n">
        <v>2500000</v>
      </c>
      <c r="N128" s="17" t="n">
        <v>5</v>
      </c>
      <c r="O128" s="17" t="n">
        <v>5</v>
      </c>
      <c r="P128" s="18" t="n">
        <v>0.05</v>
      </c>
      <c r="Q128" s="19" t="n">
        <v>0</v>
      </c>
      <c r="R128" s="13" t="s">
        <v>851</v>
      </c>
      <c r="S128" s="20" t="s">
        <v>81</v>
      </c>
      <c r="T128" s="6" t="s">
        <v>82</v>
      </c>
      <c r="U128" s="13" t="s">
        <v>852</v>
      </c>
      <c r="V128" s="21"/>
      <c r="W128" s="22"/>
      <c r="X128" s="22"/>
      <c r="Y128" s="23"/>
    </row>
    <row r="129" customFormat="false" ht="30" hidden="false" customHeight="true" outlineLevel="0" collapsed="false">
      <c r="A129" s="6" t="n">
        <v>128</v>
      </c>
      <c r="B129" s="6" t="s">
        <v>834</v>
      </c>
      <c r="C129" s="6" t="s">
        <v>853</v>
      </c>
      <c r="D129" s="6" t="s">
        <v>854</v>
      </c>
      <c r="E129" s="6" t="s">
        <v>855</v>
      </c>
      <c r="F129" s="13" t="s">
        <v>856</v>
      </c>
      <c r="G129" s="6" t="s">
        <v>30</v>
      </c>
      <c r="H129" s="6" t="s">
        <v>30</v>
      </c>
      <c r="I129" s="14" t="n">
        <v>90000</v>
      </c>
      <c r="J129" s="15" t="n">
        <v>105000</v>
      </c>
      <c r="K129" s="15" t="n">
        <v>70000</v>
      </c>
      <c r="L129" s="6" t="s">
        <v>169</v>
      </c>
      <c r="M129" s="16" t="n">
        <v>12500000</v>
      </c>
      <c r="N129" s="17" t="n">
        <v>1</v>
      </c>
      <c r="O129" s="17" t="n">
        <v>8</v>
      </c>
      <c r="P129" s="18" t="n">
        <v>0.08</v>
      </c>
      <c r="Q129" s="19" t="n">
        <v>0.5</v>
      </c>
      <c r="R129" s="13" t="s">
        <v>857</v>
      </c>
      <c r="S129" s="20" t="s">
        <v>81</v>
      </c>
      <c r="T129" s="6" t="s">
        <v>82</v>
      </c>
      <c r="U129" s="13" t="s">
        <v>858</v>
      </c>
      <c r="V129" s="21"/>
      <c r="W129" s="22"/>
      <c r="X129" s="22"/>
      <c r="Y129" s="23"/>
    </row>
    <row r="130" customFormat="false" ht="30" hidden="false" customHeight="true" outlineLevel="0" collapsed="false">
      <c r="A130" s="6" t="n">
        <v>129</v>
      </c>
      <c r="B130" s="6" t="s">
        <v>834</v>
      </c>
      <c r="C130" s="6" t="s">
        <v>859</v>
      </c>
      <c r="D130" s="6" t="s">
        <v>860</v>
      </c>
      <c r="E130" s="6" t="s">
        <v>861</v>
      </c>
      <c r="F130" s="13" t="s">
        <v>862</v>
      </c>
      <c r="G130" s="6" t="s">
        <v>28</v>
      </c>
      <c r="H130" s="6" t="s">
        <v>30</v>
      </c>
      <c r="I130" s="14" t="n">
        <v>8000</v>
      </c>
      <c r="J130" s="15" t="n">
        <v>9000</v>
      </c>
      <c r="K130" s="15" t="n">
        <v>6500</v>
      </c>
      <c r="L130" s="6" t="s">
        <v>169</v>
      </c>
      <c r="M130" s="16" t="n">
        <v>1100000</v>
      </c>
      <c r="N130" s="17" t="n">
        <v>25</v>
      </c>
      <c r="O130" s="17" t="n">
        <v>3</v>
      </c>
      <c r="P130" s="18" t="n">
        <v>0.1</v>
      </c>
      <c r="Q130" s="19" t="n">
        <v>0</v>
      </c>
      <c r="R130" s="13" t="s">
        <v>863</v>
      </c>
      <c r="S130" s="24" t="s">
        <v>132</v>
      </c>
      <c r="T130" s="6" t="s">
        <v>82</v>
      </c>
      <c r="U130" s="13" t="s">
        <v>864</v>
      </c>
      <c r="V130" s="21"/>
      <c r="W130" s="22"/>
      <c r="X130" s="22"/>
      <c r="Y130" s="23"/>
    </row>
    <row r="131" customFormat="false" ht="30" hidden="false" customHeight="true" outlineLevel="0" collapsed="false">
      <c r="A131" s="6" t="n">
        <v>130</v>
      </c>
      <c r="B131" s="6" t="s">
        <v>865</v>
      </c>
      <c r="C131" s="6" t="s">
        <v>866</v>
      </c>
      <c r="D131" s="6" t="s">
        <v>867</v>
      </c>
      <c r="E131" s="6" t="s">
        <v>868</v>
      </c>
      <c r="F131" s="13" t="s">
        <v>869</v>
      </c>
      <c r="G131" s="6" t="s">
        <v>26</v>
      </c>
      <c r="H131" s="6" t="s">
        <v>28</v>
      </c>
      <c r="I131" s="14" t="n">
        <v>18000</v>
      </c>
      <c r="J131" s="15" t="n">
        <v>22000</v>
      </c>
      <c r="K131" s="15" t="n">
        <v>15000</v>
      </c>
      <c r="L131" s="6" t="s">
        <v>193</v>
      </c>
      <c r="M131" s="16" t="n">
        <v>2200000</v>
      </c>
      <c r="N131" s="17" t="n">
        <v>1</v>
      </c>
      <c r="O131" s="17" t="n">
        <v>5</v>
      </c>
      <c r="P131" s="18" t="n">
        <v>0</v>
      </c>
      <c r="Q131" s="19" t="n">
        <v>0</v>
      </c>
      <c r="R131" s="13" t="s">
        <v>870</v>
      </c>
      <c r="S131" s="25" t="s">
        <v>309</v>
      </c>
      <c r="T131" s="6" t="s">
        <v>82</v>
      </c>
      <c r="U131" s="13" t="s">
        <v>871</v>
      </c>
      <c r="V131" s="14" t="n">
        <v>14000</v>
      </c>
      <c r="W131" s="15" t="n">
        <v>17000</v>
      </c>
      <c r="X131" s="15" t="n">
        <v>11000</v>
      </c>
      <c r="Y131" s="16" t="n">
        <v>1400000</v>
      </c>
    </row>
    <row r="132" customFormat="false" ht="30" hidden="false" customHeight="true" outlineLevel="0" collapsed="false">
      <c r="A132" s="6" t="n">
        <v>131</v>
      </c>
      <c r="B132" s="6" t="s">
        <v>865</v>
      </c>
      <c r="C132" s="6" t="s">
        <v>872</v>
      </c>
      <c r="D132" s="6" t="s">
        <v>873</v>
      </c>
      <c r="E132" s="6" t="s">
        <v>874</v>
      </c>
      <c r="F132" s="13" t="s">
        <v>875</v>
      </c>
      <c r="G132" s="6" t="s">
        <v>26</v>
      </c>
      <c r="H132" s="6" t="s">
        <v>30</v>
      </c>
      <c r="I132" s="14" t="n">
        <v>65000</v>
      </c>
      <c r="J132" s="15" t="n">
        <v>80000</v>
      </c>
      <c r="K132" s="15" t="n">
        <v>55000</v>
      </c>
      <c r="L132" s="6" t="s">
        <v>193</v>
      </c>
      <c r="M132" s="16" t="n">
        <v>7500000</v>
      </c>
      <c r="N132" s="17" t="n">
        <v>1</v>
      </c>
      <c r="O132" s="17" t="n">
        <v>5</v>
      </c>
      <c r="P132" s="18" t="n">
        <v>0</v>
      </c>
      <c r="Q132" s="19" t="n">
        <v>1</v>
      </c>
      <c r="R132" s="13" t="s">
        <v>876</v>
      </c>
      <c r="S132" s="25" t="s">
        <v>309</v>
      </c>
      <c r="T132" s="6" t="s">
        <v>82</v>
      </c>
      <c r="U132" s="13" t="s">
        <v>877</v>
      </c>
      <c r="V132" s="14" t="n">
        <v>30000</v>
      </c>
      <c r="W132" s="15" t="n">
        <v>38000</v>
      </c>
      <c r="X132" s="15" t="n">
        <v>24000</v>
      </c>
      <c r="Y132" s="16" t="n">
        <v>2400000</v>
      </c>
    </row>
    <row r="133" customFormat="false" ht="30" hidden="false" customHeight="true" outlineLevel="0" collapsed="false">
      <c r="A133" s="6" t="n">
        <v>132</v>
      </c>
      <c r="B133" s="6" t="s">
        <v>865</v>
      </c>
      <c r="C133" s="6" t="s">
        <v>878</v>
      </c>
      <c r="D133" s="6" t="s">
        <v>879</v>
      </c>
      <c r="E133" s="6" t="s">
        <v>880</v>
      </c>
      <c r="F133" s="13" t="s">
        <v>881</v>
      </c>
      <c r="G133" s="6" t="s">
        <v>26</v>
      </c>
      <c r="H133" s="6" t="s">
        <v>30</v>
      </c>
      <c r="I133" s="14" t="n">
        <v>25000</v>
      </c>
      <c r="J133" s="15" t="n">
        <v>32000</v>
      </c>
      <c r="K133" s="15" t="n">
        <v>22000</v>
      </c>
      <c r="L133" s="6" t="s">
        <v>193</v>
      </c>
      <c r="M133" s="16" t="n">
        <v>2500000</v>
      </c>
      <c r="N133" s="17" t="n">
        <v>1</v>
      </c>
      <c r="O133" s="17" t="n">
        <v>5</v>
      </c>
      <c r="P133" s="18" t="n">
        <v>0</v>
      </c>
      <c r="Q133" s="19" t="n">
        <v>0</v>
      </c>
      <c r="R133" s="13" t="s">
        <v>882</v>
      </c>
      <c r="S133" s="24" t="s">
        <v>132</v>
      </c>
      <c r="T133" s="6" t="s">
        <v>82</v>
      </c>
      <c r="U133" s="13" t="s">
        <v>883</v>
      </c>
      <c r="V133" s="14" t="n">
        <v>22000</v>
      </c>
      <c r="W133" s="15" t="n">
        <v>28000</v>
      </c>
      <c r="X133" s="15" t="n">
        <v>18000</v>
      </c>
      <c r="Y133" s="16" t="n">
        <v>1800000</v>
      </c>
    </row>
    <row r="134" customFormat="false" ht="30" hidden="false" customHeight="true" outlineLevel="0" collapsed="false">
      <c r="A134" s="6" t="n">
        <v>133</v>
      </c>
      <c r="B134" s="6" t="s">
        <v>865</v>
      </c>
      <c r="C134" s="6" t="s">
        <v>884</v>
      </c>
      <c r="D134" s="6" t="s">
        <v>885</v>
      </c>
      <c r="E134" s="6" t="s">
        <v>886</v>
      </c>
      <c r="F134" s="13" t="s">
        <v>887</v>
      </c>
      <c r="G134" s="6" t="s">
        <v>32</v>
      </c>
      <c r="H134" s="6" t="s">
        <v>32</v>
      </c>
      <c r="I134" s="14" t="n">
        <v>35000</v>
      </c>
      <c r="J134" s="15" t="n">
        <v>42000</v>
      </c>
      <c r="K134" s="15" t="n">
        <v>28000</v>
      </c>
      <c r="L134" s="6" t="s">
        <v>193</v>
      </c>
      <c r="M134" s="16" t="n">
        <v>4200000</v>
      </c>
      <c r="N134" s="17" t="n">
        <v>1</v>
      </c>
      <c r="O134" s="17" t="n">
        <v>4</v>
      </c>
      <c r="P134" s="18" t="n">
        <v>0</v>
      </c>
      <c r="Q134" s="19" t="n">
        <v>0</v>
      </c>
      <c r="R134" s="13" t="s">
        <v>888</v>
      </c>
      <c r="S134" s="25" t="s">
        <v>309</v>
      </c>
      <c r="T134" s="6" t="s">
        <v>82</v>
      </c>
      <c r="U134" s="13" t="s">
        <v>889</v>
      </c>
      <c r="V134" s="14" t="n">
        <v>25000</v>
      </c>
      <c r="W134" s="15" t="n">
        <v>30000</v>
      </c>
      <c r="X134" s="15" t="n">
        <v>20000</v>
      </c>
      <c r="Y134" s="16" t="n">
        <v>2400000</v>
      </c>
    </row>
    <row r="135" customFormat="false" ht="30" hidden="false" customHeight="true" outlineLevel="0" collapsed="false">
      <c r="A135" s="6" t="n">
        <v>134</v>
      </c>
      <c r="B135" s="6" t="s">
        <v>865</v>
      </c>
      <c r="C135" s="6" t="s">
        <v>890</v>
      </c>
      <c r="D135" s="6" t="s">
        <v>891</v>
      </c>
      <c r="E135" s="6" t="s">
        <v>892</v>
      </c>
      <c r="F135" s="13" t="s">
        <v>893</v>
      </c>
      <c r="G135" s="6" t="s">
        <v>26</v>
      </c>
      <c r="H135" s="6" t="s">
        <v>30</v>
      </c>
      <c r="I135" s="14" t="n">
        <v>65000</v>
      </c>
      <c r="J135" s="15" t="n">
        <v>80000</v>
      </c>
      <c r="K135" s="15" t="n">
        <v>55000</v>
      </c>
      <c r="L135" s="6" t="s">
        <v>193</v>
      </c>
      <c r="M135" s="16" t="n">
        <v>7500000</v>
      </c>
      <c r="N135" s="17" t="n">
        <v>1</v>
      </c>
      <c r="O135" s="17" t="n">
        <v>4</v>
      </c>
      <c r="P135" s="18" t="n">
        <v>0</v>
      </c>
      <c r="Q135" s="19" t="n">
        <v>0</v>
      </c>
      <c r="R135" s="13" t="s">
        <v>894</v>
      </c>
      <c r="S135" s="20" t="s">
        <v>81</v>
      </c>
      <c r="T135" s="6" t="s">
        <v>82</v>
      </c>
      <c r="U135" s="13" t="s">
        <v>895</v>
      </c>
      <c r="V135" s="14" t="n">
        <v>18000</v>
      </c>
      <c r="W135" s="15" t="n">
        <v>22000</v>
      </c>
      <c r="X135" s="15" t="n">
        <v>14000</v>
      </c>
      <c r="Y135" s="16" t="n">
        <v>1800000</v>
      </c>
    </row>
  </sheetData>
  <autoFilter ref="A1:Y1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28"/>
  </cols>
  <sheetData>
    <row r="1" customFormat="false" ht="21.75" hidden="false" customHeight="true" outlineLevel="0" collapsed="false">
      <c r="A1" s="3" t="s">
        <v>896</v>
      </c>
      <c r="B1" s="2"/>
      <c r="C1" s="2"/>
      <c r="D1" s="2"/>
    </row>
    <row r="2" customFormat="false" ht="15" hidden="false" customHeight="true" outlineLevel="0" collapsed="false">
      <c r="A2" s="4" t="s">
        <v>897</v>
      </c>
      <c r="B2" s="2"/>
      <c r="C2" s="2"/>
      <c r="D2" s="2"/>
    </row>
    <row r="3" customFormat="false" ht="15" hidden="false" customHeight="true" outlineLevel="0" collapsed="false">
      <c r="A3" s="2" t="s">
        <v>898</v>
      </c>
      <c r="B3" s="26" t="n">
        <v>90</v>
      </c>
      <c r="C3" s="4" t="s">
        <v>899</v>
      </c>
      <c r="D3" s="2"/>
    </row>
    <row r="4" customFormat="false" ht="15" hidden="false" customHeight="true" outlineLevel="0" collapsed="false">
      <c r="A4" s="2" t="s">
        <v>900</v>
      </c>
      <c r="B4" s="27" t="n">
        <v>92</v>
      </c>
      <c r="C4" s="2"/>
      <c r="D4" s="2"/>
    </row>
    <row r="5" customFormat="false" ht="15" hidden="false" customHeight="true" outlineLevel="0" collapsed="false">
      <c r="A5" s="2" t="s">
        <v>901</v>
      </c>
      <c r="B5" s="27" t="n">
        <v>85</v>
      </c>
      <c r="C5" s="2"/>
      <c r="D5" s="2"/>
    </row>
    <row r="6" customFormat="false" ht="15" hidden="false" customHeight="true" outlineLevel="0" collapsed="false">
      <c r="A6" s="2"/>
      <c r="B6" s="2"/>
      <c r="C6" s="2"/>
      <c r="D6" s="2"/>
    </row>
    <row r="7" customFormat="false" ht="15" hidden="false" customHeight="true" outlineLevel="0" collapsed="false">
      <c r="A7" s="7" t="s">
        <v>902</v>
      </c>
      <c r="B7" s="2"/>
      <c r="C7" s="2"/>
      <c r="D7" s="2"/>
    </row>
    <row r="8" customFormat="false" ht="15" hidden="false" customHeight="true" outlineLevel="0" collapsed="false">
      <c r="A8" s="28" t="s">
        <v>903</v>
      </c>
      <c r="B8" s="29" t="s">
        <v>30</v>
      </c>
      <c r="C8" s="29" t="s">
        <v>28</v>
      </c>
      <c r="D8" s="29" t="s">
        <v>26</v>
      </c>
    </row>
    <row r="9" customFormat="false" ht="15" hidden="false" customHeight="true" outlineLevel="0" collapsed="false">
      <c r="A9" s="6" t="s">
        <v>904</v>
      </c>
      <c r="B9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List'!$B$2:$B$135="Diagnostic Imaging")+('Equipment Master List'!$B$2:$B$135="Laboratory &amp; Biomarkers")+('Equipment Master List'!$B$2:$B$135="Cardiology &amp; Pulmonology")+('Equipment Master List'!$B$2:$B$135="Sleep &amp; Neurology")+('Equipment Master List'!$B$2:$B$135="IV &amp; Infusion")+('Equipment Master List'!$B$2:$B$135="Aesthetic &amp; Regenerative")+('Equipment Master List'!$B$2:$B$135="Nutrition &amp; GI Diagnostics")+('Equipment Master List'!$B$2:$B$135="Body Composition &amp; Performance")+('Equipment Master List'!$B$2:$B$135="Telemedicine &amp; Digital Health"))*IFERROR('Equipment Master List'!$N$2:$N$135+0,0)*IFERROR('Equipment Master List'!$I$2:$I$135+0,0))</f>
        <v>7636500</v>
      </c>
      <c r="C9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List'!$B$2:$B$135="Diagnostic Imaging")+('Equipment Master List'!$B$2:$B$135="Laboratory &amp; Biomarkers")+('Equipment Master List'!$B$2:$B$135="Cardiology &amp; Pulmonology")+('Equipment Master List'!$B$2:$B$135="Sleep &amp; Neurology")+('Equipment Master List'!$B$2:$B$135="IV &amp; Infusion")+('Equipment Master List'!$B$2:$B$135="Aesthetic &amp; Regenerative")+('Equipment Master List'!$B$2:$B$135="Nutrition &amp; GI Diagnostics")+('Equipment Master List'!$B$2:$B$135="Body Composition &amp; Performance")+('Equipment Master List'!$B$2:$B$135="Telemedicine &amp; Digital Health"))*IFERROR('Equipment Master List'!$N$2:$N$135+0,0)*IFERROR('Equipment Master List'!$I$2:$I$135+0,0))</f>
        <v>2222500</v>
      </c>
      <c r="D9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List'!$B$2:$B$135="Diagnostic Imaging")+('Equipment Master List'!$B$2:$B$135="Laboratory &amp; Biomarkers")+('Equipment Master List'!$B$2:$B$135="Cardiology &amp; Pulmonology")+('Equipment Master List'!$B$2:$B$135="Sleep &amp; Neurology")+('Equipment Master List'!$B$2:$B$135="IV &amp; Infusion")+('Equipment Master List'!$B$2:$B$135="Aesthetic &amp; Regenerative")+('Equipment Master List'!$B$2:$B$135="Nutrition &amp; GI Diagnostics")+('Equipment Master List'!$B$2:$B$135="Body Composition &amp; Performance")+('Equipment Master List'!$B$2:$B$135="Telemedicine &amp; Digital Health"))*IFERROR('Equipment Master List'!$N$2:$N$135+0,0)*IFERROR('Equipment Master List'!$I$2:$I$135+0,0))</f>
        <v>279000</v>
      </c>
    </row>
    <row r="10" customFormat="false" ht="15" hidden="false" customHeight="true" outlineLevel="0" collapsed="false">
      <c r="A10" s="6" t="s">
        <v>905</v>
      </c>
      <c r="B10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List'!$B$2:$B$135="Hydrotherapy &amp; Spa")+('Equipment Master List'!$B$2:$B$135="Cryo &amp; Thermal"))*IFERROR('Equipment Master List'!$N$2:$N$135+0,0)*IFERROR('Equipment Master List'!$I$2:$I$135+0,0))</f>
        <v>1626000</v>
      </c>
      <c r="C10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List'!$B$2:$B$135="Hydrotherapy &amp; Spa")+('Equipment Master List'!$B$2:$B$135="Cryo &amp; Thermal"))*IFERROR('Equipment Master List'!$N$2:$N$135+0,0)*IFERROR('Equipment Master List'!$I$2:$I$135+0,0))</f>
        <v>1626000</v>
      </c>
      <c r="D10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List'!$B$2:$B$135="Hydrotherapy &amp; Spa")+('Equipment Master List'!$B$2:$B$135="Cryo &amp; Thermal"))*IFERROR('Equipment Master List'!$N$2:$N$135+0,0)*IFERROR('Equipment Master List'!$I$2:$I$135+0,0))</f>
        <v>1626000</v>
      </c>
    </row>
    <row r="11" customFormat="false" ht="15" hidden="false" customHeight="true" outlineLevel="0" collapsed="false">
      <c r="A11" s="6" t="s">
        <v>906</v>
      </c>
      <c r="B11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List'!$B$2:$B$135="Movement &amp; Rehab")+('Equipment Master List'!$B$2:$B$135="Gym &amp; Strength"))*IFERROR('Equipment Master List'!$N$2:$N$135+0,0)*IFERROR('Equipment Master List'!$I$2:$I$135+0,0))</f>
        <v>1335000</v>
      </c>
      <c r="C11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List'!$B$2:$B$135="Movement &amp; Rehab")+('Equipment Master List'!$B$2:$B$135="Gym &amp; Strength"))*IFERROR('Equipment Master List'!$N$2:$N$135+0,0)*IFERROR('Equipment Master List'!$I$2:$I$135+0,0))</f>
        <v>581000</v>
      </c>
      <c r="D11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List'!$B$2:$B$135="Movement &amp; Rehab")+('Equipment Master List'!$B$2:$B$135="Gym &amp; Strength"))*IFERROR('Equipment Master List'!$N$2:$N$135+0,0)*IFERROR('Equipment Master List'!$I$2:$I$135+0,0))</f>
        <v>581000</v>
      </c>
    </row>
    <row r="12" customFormat="false" ht="15" hidden="false" customHeight="true" outlineLevel="0" collapsed="false">
      <c r="A12" s="6" t="s">
        <v>907</v>
      </c>
      <c r="B12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List'!$B$2:$B$135="IT, EHR, Patient Software"))*IFERROR('Equipment Master List'!$N$2:$N$135+0,0)*IFERROR('Equipment Master List'!$I$2:$I$135+0,0))</f>
        <v>1000000</v>
      </c>
      <c r="C12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List'!$B$2:$B$135="IT, EHR, Patient Software"))*IFERROR('Equipment Master List'!$N$2:$N$135+0,0)*IFERROR('Equipment Master List'!$I$2:$I$135+0,0))</f>
        <v>1000000</v>
      </c>
      <c r="D12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List'!$B$2:$B$135="IT, EHR, Patient Software"))*IFERROR('Equipment Master List'!$N$2:$N$135+0,0)*IFERROR('Equipment Master List'!$I$2:$I$135+0,0))</f>
        <v>820000</v>
      </c>
    </row>
    <row r="13" customFormat="false" ht="15" hidden="false" customHeight="true" outlineLevel="0" collapsed="false">
      <c r="A13" s="6" t="s">
        <v>908</v>
      </c>
      <c r="B13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List'!$B$2:$B$135="Kitchen &amp; F&amp;B"))*IFERROR('Equipment Master List'!$N$2:$N$135+0,0)*IFERROR('Equipment Master List'!$I$2:$I$135+0,0))</f>
        <v>1056000</v>
      </c>
      <c r="C13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List'!$B$2:$B$135="Kitchen &amp; F&amp;B"))*IFERROR('Equipment Master List'!$N$2:$N$135+0,0)*IFERROR('Equipment Master List'!$I$2:$I$135+0,0))</f>
        <v>1056000</v>
      </c>
      <c r="D13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List'!$B$2:$B$135="Kitchen &amp; F&amp;B"))*IFERROR('Equipment Master List'!$N$2:$N$135+0,0)*IFERROR('Equipment Master List'!$I$2:$I$135+0,0))</f>
        <v>1056000</v>
      </c>
    </row>
    <row r="14" customFormat="false" ht="15" hidden="false" customHeight="true" outlineLevel="0" collapsed="false">
      <c r="A14" s="6" t="s">
        <v>909</v>
      </c>
      <c r="B14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List'!$B$2:$B$135="Medical Infrastructure"))*IFERROR('Equipment Master List'!$N$2:$N$135+0,0)*IFERROR('Equipment Master List'!$I$2:$I$135+0,0))</f>
        <v>1077000</v>
      </c>
      <c r="C14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List'!$B$2:$B$135="Medical Infrastructure"))*IFERROR('Equipment Master List'!$N$2:$N$135+0,0)*IFERROR('Equipment Master List'!$I$2:$I$135+0,0))</f>
        <v>127000</v>
      </c>
      <c r="D14" s="30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List'!$B$2:$B$135="Medical Infrastructure"))*IFERROR('Equipment Master List'!$N$2:$N$135+0,0)*IFERROR('Equipment Master List'!$I$2:$I$135+0,0))</f>
        <v>0</v>
      </c>
    </row>
    <row r="15" customFormat="false" ht="15" hidden="false" customHeight="true" outlineLevel="0" collapsed="false">
      <c r="A15" s="31" t="s">
        <v>910</v>
      </c>
      <c r="B15" s="32" t="n">
        <f aca="false">SUM(B9:B14)</f>
        <v>13730500</v>
      </c>
      <c r="C15" s="32" t="n">
        <f aca="false">SUM(C9:C14)</f>
        <v>6612500</v>
      </c>
      <c r="D15" s="32" t="n">
        <f aca="false">SUM(D9:D14)</f>
        <v>4362000</v>
      </c>
    </row>
    <row r="16" customFormat="false" ht="15" hidden="false" customHeight="true" outlineLevel="0" collapsed="false">
      <c r="A16" s="6" t="s">
        <v>911</v>
      </c>
      <c r="B16" s="33" t="n">
        <f aca="false">B15/$B$3</f>
        <v>152561.111111111</v>
      </c>
      <c r="C16" s="33" t="n">
        <f aca="false">C15/$B$3</f>
        <v>73472.2222222222</v>
      </c>
      <c r="D16" s="33" t="n">
        <f aca="false">D15/$B$3</f>
        <v>48466.6666666667</v>
      </c>
    </row>
    <row r="17" customFormat="false" ht="15" hidden="false" customHeight="true" outlineLevel="0" collapsed="false">
      <c r="A17" s="2"/>
      <c r="B17" s="2"/>
      <c r="C17" s="2"/>
      <c r="D17" s="2"/>
    </row>
    <row r="18" customFormat="false" ht="15" hidden="false" customHeight="true" outlineLevel="0" collapsed="false">
      <c r="A18" s="7" t="s">
        <v>912</v>
      </c>
      <c r="B18" s="2"/>
      <c r="C18" s="2"/>
      <c r="D18" s="2"/>
    </row>
    <row r="19" customFormat="false" ht="15" hidden="false" customHeight="true" outlineLevel="0" collapsed="false">
      <c r="A19" s="28" t="s">
        <v>903</v>
      </c>
      <c r="B19" s="29" t="s">
        <v>30</v>
      </c>
      <c r="C19" s="29" t="s">
        <v>28</v>
      </c>
      <c r="D19" s="29" t="s">
        <v>26</v>
      </c>
    </row>
    <row r="20" customFormat="false" ht="15" hidden="false" customHeight="true" outlineLevel="0" collapsed="false">
      <c r="A20" s="6" t="s">
        <v>904</v>
      </c>
      <c r="B20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List'!$B$2:$B$135="Diagnostic Imaging")+('Equipment Master List'!$B$2:$B$135="Laboratory &amp; Biomarkers")+('Equipment Master List'!$B$2:$B$135="Cardiology &amp; Pulmonology")+('Equipment Master List'!$B$2:$B$135="Sleep &amp; Neurology")+('Equipment Master List'!$B$2:$B$135="IV &amp; Infusion")+('Equipment Master List'!$B$2:$B$135="Aesthetic &amp; Regenerative")+('Equipment Master List'!$B$2:$B$135="Nutrition &amp; GI Diagnostics")+('Equipment Master List'!$B$2:$B$135="Body Composition &amp; Performance")+('Equipment Master List'!$B$2:$B$135="Telemedicine &amp; Digital Health"))*IFERROR('Equipment Master List'!$N$2:$N$135+0,0)*IFERROR('Equipment Master List'!$J$2:$J$135+0,0))</f>
        <v>8738700</v>
      </c>
      <c r="C20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List'!$B$2:$B$135="Diagnostic Imaging")+('Equipment Master List'!$B$2:$B$135="Laboratory &amp; Biomarkers")+('Equipment Master List'!$B$2:$B$135="Cardiology &amp; Pulmonology")+('Equipment Master List'!$B$2:$B$135="Sleep &amp; Neurology")+('Equipment Master List'!$B$2:$B$135="IV &amp; Infusion")+('Equipment Master List'!$B$2:$B$135="Aesthetic &amp; Regenerative")+('Equipment Master List'!$B$2:$B$135="Nutrition &amp; GI Diagnostics")+('Equipment Master List'!$B$2:$B$135="Body Composition &amp; Performance")+('Equipment Master List'!$B$2:$B$135="Telemedicine &amp; Digital Health"))*IFERROR('Equipment Master List'!$N$2:$N$135+0,0)*IFERROR('Equipment Master List'!$J$2:$J$135+0,0))</f>
        <v>2577700</v>
      </c>
      <c r="D20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List'!$B$2:$B$135="Diagnostic Imaging")+('Equipment Master List'!$B$2:$B$135="Laboratory &amp; Biomarkers")+('Equipment Master List'!$B$2:$B$135="Cardiology &amp; Pulmonology")+('Equipment Master List'!$B$2:$B$135="Sleep &amp; Neurology")+('Equipment Master List'!$B$2:$B$135="IV &amp; Infusion")+('Equipment Master List'!$B$2:$B$135="Aesthetic &amp; Regenerative")+('Equipment Master List'!$B$2:$B$135="Nutrition &amp; GI Diagnostics")+('Equipment Master List'!$B$2:$B$135="Body Composition &amp; Performance")+('Equipment Master List'!$B$2:$B$135="Telemedicine &amp; Digital Health"))*IFERROR('Equipment Master List'!$N$2:$N$135+0,0)*IFERROR('Equipment Master List'!$J$2:$J$135+0,0))</f>
        <v>337200</v>
      </c>
    </row>
    <row r="21" customFormat="false" ht="15" hidden="false" customHeight="true" outlineLevel="0" collapsed="false">
      <c r="A21" s="6" t="s">
        <v>905</v>
      </c>
      <c r="B21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List'!$B$2:$B$135="Hydrotherapy &amp; Spa")+('Equipment Master List'!$B$2:$B$135="Cryo &amp; Thermal"))*IFERROR('Equipment Master List'!$N$2:$N$135+0,0)*IFERROR('Equipment Master List'!$J$2:$J$135+0,0))</f>
        <v>1945200</v>
      </c>
      <c r="C21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List'!$B$2:$B$135="Hydrotherapy &amp; Spa")+('Equipment Master List'!$B$2:$B$135="Cryo &amp; Thermal"))*IFERROR('Equipment Master List'!$N$2:$N$135+0,0)*IFERROR('Equipment Master List'!$J$2:$J$135+0,0))</f>
        <v>1945200</v>
      </c>
      <c r="D21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List'!$B$2:$B$135="Hydrotherapy &amp; Spa")+('Equipment Master List'!$B$2:$B$135="Cryo &amp; Thermal"))*IFERROR('Equipment Master List'!$N$2:$N$135+0,0)*IFERROR('Equipment Master List'!$J$2:$J$135+0,0))</f>
        <v>1945200</v>
      </c>
    </row>
    <row r="22" customFormat="false" ht="15" hidden="false" customHeight="true" outlineLevel="0" collapsed="false">
      <c r="A22" s="6" t="s">
        <v>906</v>
      </c>
      <c r="B22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List'!$B$2:$B$135="Movement &amp; Rehab")+('Equipment Master List'!$B$2:$B$135="Gym &amp; Strength"))*IFERROR('Equipment Master List'!$N$2:$N$135+0,0)*IFERROR('Equipment Master List'!$J$2:$J$135+0,0))</f>
        <v>1585000</v>
      </c>
      <c r="C22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List'!$B$2:$B$135="Movement &amp; Rehab")+('Equipment Master List'!$B$2:$B$135="Gym &amp; Strength"))*IFERROR('Equipment Master List'!$N$2:$N$135+0,0)*IFERROR('Equipment Master List'!$J$2:$J$135+0,0))</f>
        <v>687000</v>
      </c>
      <c r="D22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List'!$B$2:$B$135="Movement &amp; Rehab")+('Equipment Master List'!$B$2:$B$135="Gym &amp; Strength"))*IFERROR('Equipment Master List'!$N$2:$N$135+0,0)*IFERROR('Equipment Master List'!$J$2:$J$135+0,0))</f>
        <v>687000</v>
      </c>
    </row>
    <row r="23" customFormat="false" ht="15" hidden="false" customHeight="true" outlineLevel="0" collapsed="false">
      <c r="A23" s="6" t="s">
        <v>907</v>
      </c>
      <c r="B23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List'!$B$2:$B$135="IT, EHR, Patient Software"))*IFERROR('Equipment Master List'!$N$2:$N$135+0,0)*IFERROR('Equipment Master List'!$J$2:$J$135+0,0))</f>
        <v>1208000</v>
      </c>
      <c r="C23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List'!$B$2:$B$135="IT, EHR, Patient Software"))*IFERROR('Equipment Master List'!$N$2:$N$135+0,0)*IFERROR('Equipment Master List'!$J$2:$J$135+0,0))</f>
        <v>1208000</v>
      </c>
      <c r="D23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List'!$B$2:$B$135="IT, EHR, Patient Software"))*IFERROR('Equipment Master List'!$N$2:$N$135+0,0)*IFERROR('Equipment Master List'!$J$2:$J$135+0,0))</f>
        <v>988000</v>
      </c>
    </row>
    <row r="24" customFormat="false" ht="15" hidden="false" customHeight="true" outlineLevel="0" collapsed="false">
      <c r="A24" s="6" t="s">
        <v>908</v>
      </c>
      <c r="B24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List'!$B$2:$B$135="Kitchen &amp; F&amp;B"))*IFERROR('Equipment Master List'!$N$2:$N$135+0,0)*IFERROR('Equipment Master List'!$J$2:$J$135+0,0))</f>
        <v>1243800</v>
      </c>
      <c r="C24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List'!$B$2:$B$135="Kitchen &amp; F&amp;B"))*IFERROR('Equipment Master List'!$N$2:$N$135+0,0)*IFERROR('Equipment Master List'!$J$2:$J$135+0,0))</f>
        <v>1243800</v>
      </c>
      <c r="D24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List'!$B$2:$B$135="Kitchen &amp; F&amp;B"))*IFERROR('Equipment Master List'!$N$2:$N$135+0,0)*IFERROR('Equipment Master List'!$J$2:$J$135+0,0))</f>
        <v>1243800</v>
      </c>
    </row>
    <row r="25" customFormat="false" ht="15" hidden="false" customHeight="true" outlineLevel="0" collapsed="false">
      <c r="A25" s="6" t="s">
        <v>909</v>
      </c>
      <c r="B25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List'!$B$2:$B$135="Medical Infrastructure"))*IFERROR('Equipment Master List'!$N$2:$N$135+0,0)*IFERROR('Equipment Master List'!$J$2:$J$135+0,0))</f>
        <v>1295000</v>
      </c>
      <c r="C25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List'!$B$2:$B$135="Medical Infrastructure"))*IFERROR('Equipment Master List'!$N$2:$N$135+0,0)*IFERROR('Equipment Master List'!$J$2:$J$135+0,0))</f>
        <v>155000</v>
      </c>
      <c r="D25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List'!$B$2:$B$135="Medical Infrastructure"))*IFERROR('Equipment Master List'!$N$2:$N$135+0,0)*IFERROR('Equipment Master List'!$J$2:$J$135+0,0))</f>
        <v>0</v>
      </c>
    </row>
    <row r="26" customFormat="false" ht="15" hidden="false" customHeight="true" outlineLevel="0" collapsed="false">
      <c r="A26" s="31" t="s">
        <v>910</v>
      </c>
      <c r="B26" s="35" t="n">
        <f aca="false">SUM(B20:B25)</f>
        <v>16015700</v>
      </c>
      <c r="C26" s="35" t="n">
        <f aca="false">SUM(C20:C25)</f>
        <v>7816700</v>
      </c>
      <c r="D26" s="35" t="n">
        <f aca="false">SUM(D20:D25)</f>
        <v>5201200</v>
      </c>
    </row>
    <row r="27" customFormat="false" ht="15" hidden="false" customHeight="true" outlineLevel="0" collapsed="false">
      <c r="A27" s="6" t="s">
        <v>911</v>
      </c>
      <c r="B27" s="36" t="n">
        <f aca="false">B26/$B$3</f>
        <v>177952.222222222</v>
      </c>
      <c r="C27" s="36" t="n">
        <f aca="false">C26/$B$3</f>
        <v>86852.2222222222</v>
      </c>
      <c r="D27" s="36" t="n">
        <f aca="false">D26/$B$3</f>
        <v>57791.1111111111</v>
      </c>
    </row>
    <row r="28" customFormat="false" ht="15" hidden="false" customHeight="true" outlineLevel="0" collapsed="false">
      <c r="A28" s="2"/>
      <c r="B28" s="2"/>
      <c r="C28" s="2"/>
      <c r="D28" s="2"/>
    </row>
    <row r="29" customFormat="false" ht="15" hidden="false" customHeight="true" outlineLevel="0" collapsed="false">
      <c r="A29" s="7" t="s">
        <v>913</v>
      </c>
      <c r="B29" s="2"/>
      <c r="C29" s="2"/>
      <c r="D29" s="2"/>
    </row>
    <row r="30" customFormat="false" ht="15" hidden="false" customHeight="true" outlineLevel="0" collapsed="false">
      <c r="A30" s="28" t="s">
        <v>903</v>
      </c>
      <c r="B30" s="29" t="s">
        <v>30</v>
      </c>
      <c r="C30" s="29" t="s">
        <v>28</v>
      </c>
      <c r="D30" s="29" t="s">
        <v>26</v>
      </c>
    </row>
    <row r="31" customFormat="false" ht="15" hidden="false" customHeight="true" outlineLevel="0" collapsed="false">
      <c r="A31" s="6" t="s">
        <v>904</v>
      </c>
      <c r="B31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List'!$B$2:$B$135="Diagnostic Imaging")+('Equipment Master List'!$B$2:$B$135="Laboratory &amp; Biomarkers")+('Equipment Master List'!$B$2:$B$135="Cardiology &amp; Pulmonology")+('Equipment Master List'!$B$2:$B$135="Sleep &amp; Neurology")+('Equipment Master List'!$B$2:$B$135="IV &amp; Infusion")+('Equipment Master List'!$B$2:$B$135="Aesthetic &amp; Regenerative")+('Equipment Master List'!$B$2:$B$135="Nutrition &amp; GI Diagnostics")+('Equipment Master List'!$B$2:$B$135="Body Composition &amp; Performance")+('Equipment Master List'!$B$2:$B$135="Telemedicine &amp; Digital Health"))*IFERROR('Equipment Master List'!$N$2:$N$135+0,0)*IFERROR('Equipment Master List'!$K$2:$K$135+0,0))</f>
        <v>6556200</v>
      </c>
      <c r="C31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List'!$B$2:$B$135="Diagnostic Imaging")+('Equipment Master List'!$B$2:$B$135="Laboratory &amp; Biomarkers")+('Equipment Master List'!$B$2:$B$135="Cardiology &amp; Pulmonology")+('Equipment Master List'!$B$2:$B$135="Sleep &amp; Neurology")+('Equipment Master List'!$B$2:$B$135="IV &amp; Infusion")+('Equipment Master List'!$B$2:$B$135="Aesthetic &amp; Regenerative")+('Equipment Master List'!$B$2:$B$135="Nutrition &amp; GI Diagnostics")+('Equipment Master List'!$B$2:$B$135="Body Composition &amp; Performance")+('Equipment Master List'!$B$2:$B$135="Telemedicine &amp; Digital Health"))*IFERROR('Equipment Master List'!$N$2:$N$135+0,0)*IFERROR('Equipment Master List'!$K$2:$K$135+0,0))</f>
        <v>1883200</v>
      </c>
      <c r="D31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List'!$B$2:$B$135="Diagnostic Imaging")+('Equipment Master List'!$B$2:$B$135="Laboratory &amp; Biomarkers")+('Equipment Master List'!$B$2:$B$135="Cardiology &amp; Pulmonology")+('Equipment Master List'!$B$2:$B$135="Sleep &amp; Neurology")+('Equipment Master List'!$B$2:$B$135="IV &amp; Infusion")+('Equipment Master List'!$B$2:$B$135="Aesthetic &amp; Regenerative")+('Equipment Master List'!$B$2:$B$135="Nutrition &amp; GI Diagnostics")+('Equipment Master List'!$B$2:$B$135="Body Composition &amp; Performance")+('Equipment Master List'!$B$2:$B$135="Telemedicine &amp; Digital Health"))*IFERROR('Equipment Master List'!$N$2:$N$135+0,0)*IFERROR('Equipment Master List'!$K$2:$K$135+0,0))</f>
        <v>247000</v>
      </c>
    </row>
    <row r="32" customFormat="false" ht="15" hidden="false" customHeight="true" outlineLevel="0" collapsed="false">
      <c r="A32" s="6" t="s">
        <v>905</v>
      </c>
      <c r="B32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List'!$B$2:$B$135="Hydrotherapy &amp; Spa")+('Equipment Master List'!$B$2:$B$135="Cryo &amp; Thermal"))*IFERROR('Equipment Master List'!$N$2:$N$135+0,0)*IFERROR('Equipment Master List'!$K$2:$K$135+0,0))</f>
        <v>1528800</v>
      </c>
      <c r="C32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List'!$B$2:$B$135="Hydrotherapy &amp; Spa")+('Equipment Master List'!$B$2:$B$135="Cryo &amp; Thermal"))*IFERROR('Equipment Master List'!$N$2:$N$135+0,0)*IFERROR('Equipment Master List'!$K$2:$K$135+0,0))</f>
        <v>1528800</v>
      </c>
      <c r="D32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List'!$B$2:$B$135="Hydrotherapy &amp; Spa")+('Equipment Master List'!$B$2:$B$135="Cryo &amp; Thermal"))*IFERROR('Equipment Master List'!$N$2:$N$135+0,0)*IFERROR('Equipment Master List'!$K$2:$K$135+0,0))</f>
        <v>1528800</v>
      </c>
    </row>
    <row r="33" customFormat="false" ht="15" hidden="false" customHeight="true" outlineLevel="0" collapsed="false">
      <c r="A33" s="6" t="s">
        <v>906</v>
      </c>
      <c r="B33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List'!$B$2:$B$135="Movement &amp; Rehab")+('Equipment Master List'!$B$2:$B$135="Gym &amp; Strength"))*IFERROR('Equipment Master List'!$N$2:$N$135+0,0)*IFERROR('Equipment Master List'!$K$2:$K$135+0,0))</f>
        <v>1265000</v>
      </c>
      <c r="C33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List'!$B$2:$B$135="Movement &amp; Rehab")+('Equipment Master List'!$B$2:$B$135="Gym &amp; Strength"))*IFERROR('Equipment Master List'!$N$2:$N$135+0,0)*IFERROR('Equipment Master List'!$K$2:$K$135+0,0))</f>
        <v>547000</v>
      </c>
      <c r="D33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List'!$B$2:$B$135="Movement &amp; Rehab")+('Equipment Master List'!$B$2:$B$135="Gym &amp; Strength"))*IFERROR('Equipment Master List'!$N$2:$N$135+0,0)*IFERROR('Equipment Master List'!$K$2:$K$135+0,0))</f>
        <v>547000</v>
      </c>
    </row>
    <row r="34" customFormat="false" ht="15" hidden="false" customHeight="true" outlineLevel="0" collapsed="false">
      <c r="A34" s="6" t="s">
        <v>907</v>
      </c>
      <c r="B34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List'!$B$2:$B$135="IT, EHR, Patient Software"))*IFERROR('Equipment Master List'!$N$2:$N$135+0,0)*IFERROR('Equipment Master List'!$K$2:$K$135+0,0))</f>
        <v>803000</v>
      </c>
      <c r="C34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List'!$B$2:$B$135="IT, EHR, Patient Software"))*IFERROR('Equipment Master List'!$N$2:$N$135+0,0)*IFERROR('Equipment Master List'!$K$2:$K$135+0,0))</f>
        <v>803000</v>
      </c>
      <c r="D34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List'!$B$2:$B$135="IT, EHR, Patient Software"))*IFERROR('Equipment Master List'!$N$2:$N$135+0,0)*IFERROR('Equipment Master List'!$K$2:$K$135+0,0))</f>
        <v>653000</v>
      </c>
    </row>
    <row r="35" customFormat="false" ht="15" hidden="false" customHeight="true" outlineLevel="0" collapsed="false">
      <c r="A35" s="6" t="s">
        <v>908</v>
      </c>
      <c r="B35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List'!$B$2:$B$135="Kitchen &amp; F&amp;B"))*IFERROR('Equipment Master List'!$N$2:$N$135+0,0)*IFERROR('Equipment Master List'!$K$2:$K$135+0,0))</f>
        <v>823000</v>
      </c>
      <c r="C35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List'!$B$2:$B$135="Kitchen &amp; F&amp;B"))*IFERROR('Equipment Master List'!$N$2:$N$135+0,0)*IFERROR('Equipment Master List'!$K$2:$K$135+0,0))</f>
        <v>823000</v>
      </c>
      <c r="D35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List'!$B$2:$B$135="Kitchen &amp; F&amp;B"))*IFERROR('Equipment Master List'!$N$2:$N$135+0,0)*IFERROR('Equipment Master List'!$K$2:$K$135+0,0))</f>
        <v>823000</v>
      </c>
    </row>
    <row r="36" customFormat="false" ht="15" hidden="false" customHeight="true" outlineLevel="0" collapsed="false">
      <c r="A36" s="6" t="s">
        <v>909</v>
      </c>
      <c r="B36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List'!$B$2:$B$135="Medical Infrastructure"))*IFERROR('Equipment Master List'!$N$2:$N$135+0,0)*IFERROR('Equipment Master List'!$K$2:$K$135+0,0))</f>
        <v>834000</v>
      </c>
      <c r="C36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List'!$B$2:$B$135="Medical Infrastructure"))*IFERROR('Equipment Master List'!$N$2:$N$135+0,0)*IFERROR('Equipment Master List'!$K$2:$K$135+0,0))</f>
        <v>94000</v>
      </c>
      <c r="D36" s="34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List'!$B$2:$B$135="Medical Infrastructure"))*IFERROR('Equipment Master List'!$N$2:$N$135+0,0)*IFERROR('Equipment Master List'!$K$2:$K$135+0,0))</f>
        <v>0</v>
      </c>
    </row>
    <row r="37" customFormat="false" ht="15" hidden="false" customHeight="true" outlineLevel="0" collapsed="false">
      <c r="A37" s="31" t="s">
        <v>910</v>
      </c>
      <c r="B37" s="35" t="n">
        <f aca="false">SUM(B31:B36)</f>
        <v>11810000</v>
      </c>
      <c r="C37" s="35" t="n">
        <f aca="false">SUM(C31:C36)</f>
        <v>5679000</v>
      </c>
      <c r="D37" s="35" t="n">
        <f aca="false">SUM(D31:D36)</f>
        <v>3798800</v>
      </c>
    </row>
    <row r="38" customFormat="false" ht="15" hidden="false" customHeight="true" outlineLevel="0" collapsed="false">
      <c r="A38" s="6" t="s">
        <v>911</v>
      </c>
      <c r="B38" s="36" t="n">
        <f aca="false">B37/$B$3</f>
        <v>131222.222222222</v>
      </c>
      <c r="C38" s="36" t="n">
        <f aca="false">C37/$B$3</f>
        <v>63100</v>
      </c>
      <c r="D38" s="36" t="n">
        <f aca="false">D37/$B$3</f>
        <v>42208.8888888889</v>
      </c>
    </row>
    <row r="39" customFormat="false" ht="15" hidden="false" customHeight="true" outlineLevel="0" collapsed="false">
      <c r="A39" s="2"/>
      <c r="B39" s="2"/>
      <c r="C39" s="2"/>
      <c r="D39" s="2"/>
    </row>
    <row r="40" customFormat="false" ht="15" hidden="false" customHeight="true" outlineLevel="0" collapsed="false">
      <c r="A40" s="7" t="s">
        <v>914</v>
      </c>
      <c r="B40" s="2"/>
      <c r="C40" s="2"/>
      <c r="D40" s="2"/>
    </row>
    <row r="41" customFormat="false" ht="15" hidden="false" customHeight="true" outlineLevel="0" collapsed="false">
      <c r="A41" s="28" t="s">
        <v>903</v>
      </c>
      <c r="B41" s="29" t="s">
        <v>30</v>
      </c>
      <c r="C41" s="29" t="s">
        <v>28</v>
      </c>
      <c r="D41" s="29" t="s">
        <v>26</v>
      </c>
    </row>
    <row r="42" customFormat="false" ht="15" hidden="false" customHeight="true" outlineLevel="0" collapsed="false">
      <c r="A42" s="6" t="s">
        <v>904</v>
      </c>
      <c r="B42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List'!$B$2:$B$135="Diagnostic Imaging")+('Equipment Master List'!$B$2:$B$135="Laboratory &amp; Biomarkers")+('Equipment Master List'!$B$2:$B$135="Cardiology &amp; Pulmonology")+('Equipment Master List'!$B$2:$B$135="Sleep &amp; Neurology")+('Equipment Master List'!$B$2:$B$135="IV &amp; Infusion")+('Equipment Master List'!$B$2:$B$135="Aesthetic &amp; Regenerative")+('Equipment Master List'!$B$2:$B$135="Nutrition &amp; GI Diagnostics")+('Equipment Master List'!$B$2:$B$135="Body Composition &amp; Performance")+('Equipment Master List'!$B$2:$B$135="Telemedicine &amp; Digital Health"))*IFERROR('Equipment Master List'!$N$2:$N$135+0,0)*IFERROR('Equipment Master List'!$M$2:$M$135+0,0))</f>
        <v>1046550000</v>
      </c>
      <c r="C42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List'!$B$2:$B$135="Diagnostic Imaging")+('Equipment Master List'!$B$2:$B$135="Laboratory &amp; Biomarkers")+('Equipment Master List'!$B$2:$B$135="Cardiology &amp; Pulmonology")+('Equipment Master List'!$B$2:$B$135="Sleep &amp; Neurology")+('Equipment Master List'!$B$2:$B$135="IV &amp; Infusion")+('Equipment Master List'!$B$2:$B$135="Aesthetic &amp; Regenerative")+('Equipment Master List'!$B$2:$B$135="Nutrition &amp; GI Diagnostics")+('Equipment Master List'!$B$2:$B$135="Body Composition &amp; Performance")+('Equipment Master List'!$B$2:$B$135="Telemedicine &amp; Digital Health"))*IFERROR('Equipment Master List'!$N$2:$N$135+0,0)*IFERROR('Equipment Master List'!$M$2:$M$135+0,0))</f>
        <v>300450000</v>
      </c>
      <c r="D42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List'!$B$2:$B$135="Diagnostic Imaging")+('Equipment Master List'!$B$2:$B$135="Laboratory &amp; Biomarkers")+('Equipment Master List'!$B$2:$B$135="Cardiology &amp; Pulmonology")+('Equipment Master List'!$B$2:$B$135="Sleep &amp; Neurology")+('Equipment Master List'!$B$2:$B$135="IV &amp; Infusion")+('Equipment Master List'!$B$2:$B$135="Aesthetic &amp; Regenerative")+('Equipment Master List'!$B$2:$B$135="Nutrition &amp; GI Diagnostics")+('Equipment Master List'!$B$2:$B$135="Body Composition &amp; Performance")+('Equipment Master List'!$B$2:$B$135="Telemedicine &amp; Digital Health"))*IFERROR('Equipment Master List'!$N$2:$N$135+0,0)*IFERROR('Equipment Master List'!$M$2:$M$135+0,0))</f>
        <v>33700000</v>
      </c>
    </row>
    <row r="43" customFormat="false" ht="15" hidden="false" customHeight="true" outlineLevel="0" collapsed="false">
      <c r="A43" s="6" t="s">
        <v>905</v>
      </c>
      <c r="B43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List'!$B$2:$B$135="Hydrotherapy &amp; Spa")+('Equipment Master List'!$B$2:$B$135="Cryo &amp; Thermal"))*IFERROR('Equipment Master List'!$N$2:$N$135+0,0)*IFERROR('Equipment Master List'!$M$2:$M$135+0,0))</f>
        <v>215440000</v>
      </c>
      <c r="C43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List'!$B$2:$B$135="Hydrotherapy &amp; Spa")+('Equipment Master List'!$B$2:$B$135="Cryo &amp; Thermal"))*IFERROR('Equipment Master List'!$N$2:$N$135+0,0)*IFERROR('Equipment Master List'!$M$2:$M$135+0,0))</f>
        <v>215440000</v>
      </c>
      <c r="D43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List'!$B$2:$B$135="Hydrotherapy &amp; Spa")+('Equipment Master List'!$B$2:$B$135="Cryo &amp; Thermal"))*IFERROR('Equipment Master List'!$N$2:$N$135+0,0)*IFERROR('Equipment Master List'!$M$2:$M$135+0,0))</f>
        <v>215440000</v>
      </c>
    </row>
    <row r="44" customFormat="false" ht="15" hidden="false" customHeight="true" outlineLevel="0" collapsed="false">
      <c r="A44" s="6" t="s">
        <v>906</v>
      </c>
      <c r="B44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List'!$B$2:$B$135="Movement &amp; Rehab")+('Equipment Master List'!$B$2:$B$135="Gym &amp; Strength"))*IFERROR('Equipment Master List'!$N$2:$N$135+0,0)*IFERROR('Equipment Master List'!$M$2:$M$135+0,0))</f>
        <v>183670000</v>
      </c>
      <c r="C44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List'!$B$2:$B$135="Movement &amp; Rehab")+('Equipment Master List'!$B$2:$B$135="Gym &amp; Strength"))*IFERROR('Equipment Master List'!$N$2:$N$135+0,0)*IFERROR('Equipment Master List'!$M$2:$M$135+0,0))</f>
        <v>80170000</v>
      </c>
      <c r="D44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List'!$B$2:$B$135="Movement &amp; Rehab")+('Equipment Master List'!$B$2:$B$135="Gym &amp; Strength"))*IFERROR('Equipment Master List'!$N$2:$N$135+0,0)*IFERROR('Equipment Master List'!$M$2:$M$135+0,0))</f>
        <v>80170000</v>
      </c>
    </row>
    <row r="45" customFormat="false" ht="15" hidden="false" customHeight="true" outlineLevel="0" collapsed="false">
      <c r="A45" s="6" t="s">
        <v>907</v>
      </c>
      <c r="B45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List'!$B$2:$B$135="IT, EHR, Patient Software"))*IFERROR('Equipment Master List'!$N$2:$N$135+0,0)*IFERROR('Equipment Master List'!$M$2:$M$135+0,0))</f>
        <v>104800000</v>
      </c>
      <c r="C45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List'!$B$2:$B$135="IT, EHR, Patient Software"))*IFERROR('Equipment Master List'!$N$2:$N$135+0,0)*IFERROR('Equipment Master List'!$M$2:$M$135+0,0))</f>
        <v>104800000</v>
      </c>
      <c r="D45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List'!$B$2:$B$135="IT, EHR, Patient Software"))*IFERROR('Equipment Master List'!$N$2:$N$135+0,0)*IFERROR('Equipment Master List'!$M$2:$M$135+0,0))</f>
        <v>92800000</v>
      </c>
    </row>
    <row r="46" customFormat="false" ht="15" hidden="false" customHeight="true" outlineLevel="0" collapsed="false">
      <c r="A46" s="6" t="s">
        <v>908</v>
      </c>
      <c r="B46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List'!$B$2:$B$135="Kitchen &amp; F&amp;B"))*IFERROR('Equipment Master List'!$N$2:$N$135+0,0)*IFERROR('Equipment Master List'!$M$2:$M$135+0,0))</f>
        <v>130950000</v>
      </c>
      <c r="C46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List'!$B$2:$B$135="Kitchen &amp; F&amp;B"))*IFERROR('Equipment Master List'!$N$2:$N$135+0,0)*IFERROR('Equipment Master List'!$M$2:$M$135+0,0))</f>
        <v>130950000</v>
      </c>
      <c r="D46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List'!$B$2:$B$135="Kitchen &amp; F&amp;B"))*IFERROR('Equipment Master List'!$N$2:$N$135+0,0)*IFERROR('Equipment Master List'!$M$2:$M$135+0,0))</f>
        <v>130950000</v>
      </c>
    </row>
    <row r="47" customFormat="false" ht="15" hidden="false" customHeight="true" outlineLevel="0" collapsed="false">
      <c r="A47" s="6" t="s">
        <v>909</v>
      </c>
      <c r="B47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List'!$G$2:$G$135="Lanserhof/CLP-tier"))&lt;=3))*(('Equipment Master List'!$B$2:$B$135="Medical Infrastructure"))*IFERROR('Equipment Master List'!$N$2:$N$135+0,0)*IFERROR('Equipment Master List'!$M$2:$M$135+0,0))</f>
        <v>134000000</v>
      </c>
      <c r="C47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List'!$G$2:$G$135="Lanserhof/CLP-tier"))&lt;=2))*(('Equipment Master List'!$B$2:$B$135="Medical Infrastructure"))*IFERROR('Equipment Master List'!$N$2:$N$135+0,0)*IFERROR('Equipment Master List'!$M$2:$M$135+0,0))</f>
        <v>16000000</v>
      </c>
      <c r="D47" s="37" t="n">
        <f aca="false">SUMPRODUCT((((1*('Equipment Master List'!$G$2:$G$135="Six Senses Place-tier")+2*('Equipment Master List'!$G$2:$G$135="SHA/Chenot-tier")+3*('Equipment Master List'!$G$2:$G$135="Lanserhof/CLP-tier"))&gt;0)*((1*('Equipment Master List'!$G$2:$G$135="Six Senses Place-tier")+2*('Equipment Master List'!$G$2:$G$135="SHA/Chenot-tier")+3*('Equipment Master List'!$G$2:$G$135="Lanserhof/CLP-tier"))&lt;=1))*(('Equipment Master List'!$B$2:$B$135="Medical Infrastructure"))*IFERROR('Equipment Master List'!$N$2:$N$135+0,0)*IFERROR('Equipment Master List'!$M$2:$M$135+0,0))</f>
        <v>0</v>
      </c>
    </row>
    <row r="48" customFormat="false" ht="15" hidden="false" customHeight="true" outlineLevel="0" collapsed="false">
      <c r="A48" s="31" t="s">
        <v>910</v>
      </c>
      <c r="B48" s="38" t="n">
        <f aca="false">SUM(B42:B47)</f>
        <v>1815410000</v>
      </c>
      <c r="C48" s="38" t="n">
        <f aca="false">SUM(C42:C47)</f>
        <v>847810000</v>
      </c>
      <c r="D48" s="38" t="n">
        <f aca="false">SUM(D42:D47)</f>
        <v>553060000</v>
      </c>
    </row>
    <row r="49" customFormat="false" ht="15" hidden="false" customHeight="true" outlineLevel="0" collapsed="false">
      <c r="A49" s="6" t="s">
        <v>911</v>
      </c>
      <c r="B49" s="39" t="n">
        <f aca="false">B48/$B$3</f>
        <v>20171222.2222222</v>
      </c>
      <c r="C49" s="39" t="n">
        <f aca="false">C48/$B$3</f>
        <v>9420111.11111111</v>
      </c>
      <c r="D49" s="39" t="n">
        <f aca="false">D48/$B$3</f>
        <v>6145111.11111111</v>
      </c>
    </row>
    <row r="50" customFormat="false" ht="15" hidden="false" customHeight="true" outlineLevel="0" collapsed="false">
      <c r="A50" s="2"/>
      <c r="B50" s="2"/>
      <c r="C50" s="2"/>
      <c r="D50" s="2"/>
    </row>
    <row r="51" customFormat="false" ht="15" hidden="false" customHeight="true" outlineLevel="0" collapsed="false">
      <c r="A51" s="7" t="s">
        <v>915</v>
      </c>
      <c r="B51" s="2"/>
      <c r="C51" s="2"/>
      <c r="D51" s="2"/>
    </row>
    <row r="52" customFormat="false" ht="26.25" hidden="false" customHeight="true" outlineLevel="0" collapsed="false">
      <c r="A52" s="5" t="s">
        <v>916</v>
      </c>
      <c r="B52" s="13" t="s">
        <v>917</v>
      </c>
      <c r="C52" s="2"/>
      <c r="D52" s="40" t="s">
        <v>918</v>
      </c>
    </row>
    <row r="53" customFormat="false" ht="39" hidden="false" customHeight="true" outlineLevel="0" collapsed="false">
      <c r="A53" s="5" t="s">
        <v>919</v>
      </c>
      <c r="B53" s="13" t="s">
        <v>920</v>
      </c>
      <c r="C53" s="2"/>
      <c r="D53" s="40" t="s">
        <v>921</v>
      </c>
    </row>
    <row r="54" customFormat="false" ht="26.25" hidden="false" customHeight="true" outlineLevel="0" collapsed="false">
      <c r="A54" s="5" t="s">
        <v>922</v>
      </c>
      <c r="B54" s="13" t="s">
        <v>923</v>
      </c>
      <c r="C54" s="2"/>
      <c r="D54" s="40" t="s">
        <v>924</v>
      </c>
    </row>
    <row r="55" customFormat="false" ht="51.75" hidden="false" customHeight="true" outlineLevel="0" collapsed="false">
      <c r="A55" s="5" t="s">
        <v>925</v>
      </c>
      <c r="B55" s="13" t="s">
        <v>926</v>
      </c>
      <c r="C55" s="2"/>
      <c r="D55" s="40" t="s">
        <v>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0" min="2" style="1" width="22"/>
    <col collapsed="false" customWidth="true" hidden="false" outlineLevel="0" max="11" min="11" style="1" width="50"/>
  </cols>
  <sheetData>
    <row r="1" customFormat="false" ht="21.75" hidden="false" customHeight="true" outlineLevel="0" collapsed="false">
      <c r="A1" s="3" t="s">
        <v>928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4" t="s">
        <v>929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7" t="s">
        <v>930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true" outlineLevel="0" collapsed="false">
      <c r="A5" s="6" t="s">
        <v>931</v>
      </c>
      <c r="B5" s="26" t="n">
        <v>90</v>
      </c>
      <c r="C5" s="2"/>
      <c r="D5" s="2"/>
      <c r="E5" s="2"/>
      <c r="F5" s="2"/>
      <c r="G5" s="2"/>
      <c r="H5" s="2"/>
      <c r="I5" s="2"/>
      <c r="J5" s="2"/>
      <c r="K5" s="2"/>
    </row>
    <row r="6" customFormat="false" ht="15" hidden="false" customHeight="true" outlineLevel="0" collapsed="false">
      <c r="A6" s="6" t="s">
        <v>932</v>
      </c>
      <c r="B6" s="41" t="n">
        <v>0.65</v>
      </c>
      <c r="C6" s="2"/>
      <c r="D6" s="2"/>
      <c r="E6" s="2"/>
      <c r="F6" s="2"/>
      <c r="G6" s="2"/>
      <c r="H6" s="2"/>
      <c r="I6" s="2"/>
      <c r="J6" s="2"/>
      <c r="K6" s="2"/>
    </row>
    <row r="7" customFormat="false" ht="15" hidden="false" customHeight="true" outlineLevel="0" collapsed="false">
      <c r="A7" s="6" t="s">
        <v>933</v>
      </c>
      <c r="B7" s="42" t="n">
        <v>21352</v>
      </c>
      <c r="C7" s="2"/>
      <c r="D7" s="2"/>
      <c r="E7" s="2"/>
      <c r="F7" s="2"/>
      <c r="G7" s="2"/>
      <c r="H7" s="2"/>
      <c r="I7" s="2"/>
      <c r="J7" s="2"/>
      <c r="K7" s="2"/>
    </row>
    <row r="8" customFormat="false" ht="15" hidden="false" customHeight="true" outlineLevel="0" collapsed="false">
      <c r="A8" s="6" t="s">
        <v>934</v>
      </c>
      <c r="B8" s="42" t="n">
        <v>3050</v>
      </c>
      <c r="C8" s="2"/>
      <c r="D8" s="2"/>
      <c r="E8" s="2"/>
      <c r="F8" s="2"/>
      <c r="G8" s="2"/>
      <c r="H8" s="2"/>
      <c r="I8" s="2"/>
      <c r="J8" s="2"/>
      <c r="K8" s="2"/>
    </row>
    <row r="9" customFormat="false" ht="15" hidden="false" customHeight="true" outlineLevel="0" collapsed="false">
      <c r="A9" s="6" t="s">
        <v>900</v>
      </c>
      <c r="B9" s="27" t="n">
        <v>92</v>
      </c>
      <c r="C9" s="2"/>
      <c r="D9" s="2"/>
      <c r="E9" s="2"/>
      <c r="F9" s="2"/>
      <c r="G9" s="2"/>
      <c r="H9" s="2"/>
      <c r="I9" s="2"/>
      <c r="J9" s="2"/>
      <c r="K9" s="2"/>
    </row>
    <row r="10" customFormat="false" ht="15" hidden="false" customHeight="true" outlineLevel="0" collapsed="false">
      <c r="A10" s="6" t="s">
        <v>935</v>
      </c>
      <c r="B10" s="26" t="n">
        <v>320</v>
      </c>
      <c r="C10" s="2"/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true" outlineLevel="0" collapsed="false">
      <c r="A11" s="6" t="s">
        <v>936</v>
      </c>
      <c r="B11" s="26" t="n">
        <v>10</v>
      </c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5" hidden="false" customHeight="true" outlineLevel="0" collapsed="false">
      <c r="A12" s="6" t="s">
        <v>937</v>
      </c>
      <c r="B12" s="42" t="n">
        <v>3200</v>
      </c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5" hidden="false" customHeight="true" outlineLevel="0" collapsed="false">
      <c r="A14" s="7" t="s">
        <v>938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36" hidden="false" customHeight="true" outlineLevel="0" collapsed="false">
      <c r="A15" s="12" t="s">
        <v>939</v>
      </c>
      <c r="B15" s="12" t="s">
        <v>940</v>
      </c>
      <c r="C15" s="12" t="s">
        <v>941</v>
      </c>
      <c r="D15" s="12" t="s">
        <v>942</v>
      </c>
      <c r="E15" s="12" t="s">
        <v>943</v>
      </c>
      <c r="F15" s="12" t="s">
        <v>944</v>
      </c>
      <c r="G15" s="12" t="s">
        <v>945</v>
      </c>
      <c r="H15" s="12" t="s">
        <v>946</v>
      </c>
      <c r="I15" s="12" t="s">
        <v>947</v>
      </c>
      <c r="J15" s="12" t="s">
        <v>948</v>
      </c>
      <c r="K15" s="12" t="s">
        <v>69</v>
      </c>
    </row>
    <row r="16" customFormat="false" ht="30" hidden="false" customHeight="true" outlineLevel="0" collapsed="false">
      <c r="A16" s="8" t="s">
        <v>949</v>
      </c>
      <c r="B16" s="2" t="s">
        <v>30</v>
      </c>
      <c r="C16" s="16" t="n">
        <v>290000000</v>
      </c>
      <c r="D16" s="16" t="n">
        <v>32200000</v>
      </c>
      <c r="E16" s="16" t="n">
        <v>110000</v>
      </c>
      <c r="F16" s="42" t="n">
        <v>1210</v>
      </c>
      <c r="G16" s="16" t="n">
        <v>133100000</v>
      </c>
      <c r="H16" s="16" t="n">
        <v>100900000</v>
      </c>
      <c r="I16" s="27" t="n">
        <v>2.87</v>
      </c>
      <c r="J16" s="8" t="s">
        <v>950</v>
      </c>
      <c r="K16" s="8" t="s">
        <v>951</v>
      </c>
    </row>
    <row r="17" customFormat="false" ht="30" hidden="false" customHeight="true" outlineLevel="0" collapsed="false">
      <c r="A17" s="8" t="s">
        <v>952</v>
      </c>
      <c r="B17" s="2" t="s">
        <v>30</v>
      </c>
      <c r="C17" s="16" t="n">
        <v>130000000</v>
      </c>
      <c r="D17" s="16" t="n">
        <v>16300000</v>
      </c>
      <c r="E17" s="16" t="n">
        <v>70000</v>
      </c>
      <c r="F17" s="42" t="n">
        <v>810</v>
      </c>
      <c r="G17" s="16" t="n">
        <v>56700000</v>
      </c>
      <c r="H17" s="16" t="n">
        <v>40400000</v>
      </c>
      <c r="I17" s="27" t="n">
        <v>3.22</v>
      </c>
      <c r="J17" s="8" t="s">
        <v>950</v>
      </c>
      <c r="K17" s="8" t="s">
        <v>953</v>
      </c>
    </row>
    <row r="18" customFormat="false" ht="30" hidden="false" customHeight="true" outlineLevel="0" collapsed="false">
      <c r="A18" s="8" t="s">
        <v>954</v>
      </c>
      <c r="B18" s="2" t="s">
        <v>30</v>
      </c>
      <c r="C18" s="16" t="n">
        <v>117000000</v>
      </c>
      <c r="D18" s="16" t="n">
        <v>16660000</v>
      </c>
      <c r="E18" s="16" t="n">
        <v>45000</v>
      </c>
      <c r="F18" s="42" t="n">
        <v>800</v>
      </c>
      <c r="G18" s="16" t="n">
        <v>36000000</v>
      </c>
      <c r="H18" s="16" t="n">
        <v>19340000</v>
      </c>
      <c r="I18" s="27" t="n">
        <v>6.05</v>
      </c>
      <c r="J18" s="8" t="s">
        <v>950</v>
      </c>
      <c r="K18" s="8" t="s">
        <v>955</v>
      </c>
    </row>
    <row r="19" customFormat="false" ht="30" hidden="false" customHeight="true" outlineLevel="0" collapsed="false">
      <c r="A19" s="8" t="s">
        <v>956</v>
      </c>
      <c r="B19" s="2" t="s">
        <v>30</v>
      </c>
      <c r="C19" s="16" t="n">
        <v>13000000</v>
      </c>
      <c r="D19" s="16" t="n">
        <v>2010000</v>
      </c>
      <c r="E19" s="16" t="n">
        <v>12000</v>
      </c>
      <c r="F19" s="42" t="n">
        <v>1375</v>
      </c>
      <c r="G19" s="16" t="n">
        <v>16500000</v>
      </c>
      <c r="H19" s="16" t="n">
        <v>14490000</v>
      </c>
      <c r="I19" s="27" t="n">
        <v>0.9</v>
      </c>
      <c r="J19" s="8" t="s">
        <v>950</v>
      </c>
      <c r="K19" s="8" t="s">
        <v>957</v>
      </c>
    </row>
    <row r="20" customFormat="false" ht="30" hidden="false" customHeight="true" outlineLevel="0" collapsed="false">
      <c r="A20" s="8" t="s">
        <v>958</v>
      </c>
      <c r="B20" s="2" t="s">
        <v>30</v>
      </c>
      <c r="C20" s="16" t="n">
        <v>12500000</v>
      </c>
      <c r="D20" s="16" t="n">
        <v>4950000</v>
      </c>
      <c r="E20" s="16" t="n">
        <v>80000</v>
      </c>
      <c r="F20" s="42" t="n">
        <v>192</v>
      </c>
      <c r="G20" s="16" t="n">
        <v>15360000</v>
      </c>
      <c r="H20" s="16" t="n">
        <v>10410000</v>
      </c>
      <c r="I20" s="27" t="n">
        <v>1.2</v>
      </c>
      <c r="J20" s="8" t="s">
        <v>950</v>
      </c>
      <c r="K20" s="8" t="s">
        <v>959</v>
      </c>
    </row>
    <row r="21" customFormat="false" ht="30" hidden="false" customHeight="true" outlineLevel="0" collapsed="false">
      <c r="A21" s="8" t="s">
        <v>179</v>
      </c>
      <c r="B21" s="2" t="s">
        <v>30</v>
      </c>
      <c r="C21" s="16" t="n">
        <v>9000000</v>
      </c>
      <c r="D21" s="16" t="n">
        <v>4450000</v>
      </c>
      <c r="E21" s="16" t="n">
        <v>25000</v>
      </c>
      <c r="F21" s="42" t="n">
        <v>990</v>
      </c>
      <c r="G21" s="16" t="n">
        <v>24750000</v>
      </c>
      <c r="H21" s="16" t="n">
        <v>20300000</v>
      </c>
      <c r="I21" s="27" t="n">
        <v>0.44</v>
      </c>
      <c r="J21" s="8" t="s">
        <v>950</v>
      </c>
      <c r="K21" s="8" t="s">
        <v>960</v>
      </c>
    </row>
    <row r="22" customFormat="false" ht="30" hidden="false" customHeight="true" outlineLevel="0" collapsed="false">
      <c r="A22" s="8" t="s">
        <v>961</v>
      </c>
      <c r="B22" s="2" t="s">
        <v>30</v>
      </c>
      <c r="C22" s="16" t="n">
        <v>18000000</v>
      </c>
      <c r="D22" s="16" t="n">
        <v>6040000</v>
      </c>
      <c r="E22" s="16" t="n">
        <v>15000</v>
      </c>
      <c r="F22" s="42" t="n">
        <v>800</v>
      </c>
      <c r="G22" s="16" t="n">
        <v>12000000</v>
      </c>
      <c r="H22" s="16" t="n">
        <v>5960000</v>
      </c>
      <c r="I22" s="27" t="n">
        <v>3.02</v>
      </c>
      <c r="J22" s="8" t="s">
        <v>950</v>
      </c>
      <c r="K22" s="8" t="s">
        <v>962</v>
      </c>
    </row>
    <row r="23" customFormat="false" ht="30" hidden="false" customHeight="true" outlineLevel="0" collapsed="false">
      <c r="A23" s="8" t="s">
        <v>963</v>
      </c>
      <c r="B23" s="2" t="s">
        <v>30</v>
      </c>
      <c r="C23" s="16" t="n">
        <v>10400000</v>
      </c>
      <c r="D23" s="16" t="n">
        <v>4840000</v>
      </c>
      <c r="E23" s="16" t="n">
        <v>8000</v>
      </c>
      <c r="F23" s="42" t="n">
        <v>1600</v>
      </c>
      <c r="G23" s="16" t="n">
        <v>12800000</v>
      </c>
      <c r="H23" s="16" t="n">
        <v>15960000</v>
      </c>
      <c r="I23" s="27" t="n">
        <v>0.65</v>
      </c>
      <c r="J23" s="8" t="s">
        <v>950</v>
      </c>
      <c r="K23" s="8" t="s">
        <v>964</v>
      </c>
    </row>
    <row r="24" customFormat="false" ht="30" hidden="false" customHeight="true" outlineLevel="0" collapsed="false">
      <c r="A24" s="8" t="s">
        <v>688</v>
      </c>
      <c r="B24" s="2" t="s">
        <v>30</v>
      </c>
      <c r="C24" s="16" t="n">
        <v>6200000</v>
      </c>
      <c r="D24" s="16" t="n">
        <v>3020000</v>
      </c>
      <c r="E24" s="16" t="n">
        <v>2500</v>
      </c>
      <c r="F24" s="42" t="n">
        <v>2000</v>
      </c>
      <c r="G24" s="16" t="n">
        <v>5000000</v>
      </c>
      <c r="H24" s="16" t="n">
        <v>5980000</v>
      </c>
      <c r="I24" s="27" t="n">
        <v>1.04</v>
      </c>
      <c r="J24" s="8" t="s">
        <v>950</v>
      </c>
      <c r="K24" s="8" t="s">
        <v>965</v>
      </c>
    </row>
    <row r="25" customFormat="false" ht="30" hidden="false" customHeight="true" outlineLevel="0" collapsed="false">
      <c r="A25" s="8" t="s">
        <v>966</v>
      </c>
      <c r="B25" s="2" t="s">
        <v>30</v>
      </c>
      <c r="C25" s="16" t="n">
        <v>2880000</v>
      </c>
      <c r="D25" s="16" t="n">
        <v>7715200</v>
      </c>
      <c r="E25" s="16" t="n">
        <v>22000</v>
      </c>
      <c r="F25" s="42" t="n">
        <v>2880</v>
      </c>
      <c r="G25" s="16" t="n">
        <v>63360000</v>
      </c>
      <c r="H25" s="16" t="n">
        <v>55644800</v>
      </c>
      <c r="I25" s="27" t="n">
        <v>0.05</v>
      </c>
      <c r="J25" s="8" t="s">
        <v>967</v>
      </c>
      <c r="K25" s="8" t="s">
        <v>968</v>
      </c>
    </row>
    <row r="26" customFormat="false" ht="30" hidden="false" customHeight="true" outlineLevel="0" collapsed="false">
      <c r="A26" s="8" t="s">
        <v>969</v>
      </c>
      <c r="B26" s="2" t="s">
        <v>30</v>
      </c>
      <c r="C26" s="16" t="n">
        <v>28000000</v>
      </c>
      <c r="D26" s="16" t="n">
        <v>4080000</v>
      </c>
      <c r="E26" s="16" t="n">
        <v>4500</v>
      </c>
      <c r="F26" s="42" t="n">
        <v>2400</v>
      </c>
      <c r="G26" s="16" t="n">
        <v>10800000</v>
      </c>
      <c r="H26" s="16" t="n">
        <v>6720000</v>
      </c>
      <c r="I26" s="27" t="n">
        <v>4.17</v>
      </c>
      <c r="J26" s="8" t="s">
        <v>950</v>
      </c>
      <c r="K26" s="8" t="s">
        <v>970</v>
      </c>
    </row>
    <row r="27" customFormat="false" ht="30" hidden="false" customHeight="true" outlineLevel="0" collapsed="false">
      <c r="A27" s="8" t="s">
        <v>971</v>
      </c>
      <c r="B27" s="2" t="s">
        <v>30</v>
      </c>
      <c r="C27" s="16" t="n">
        <v>44000000</v>
      </c>
      <c r="D27" s="16" t="n">
        <v>4800000</v>
      </c>
      <c r="E27" s="16" t="n">
        <v>0</v>
      </c>
      <c r="F27" s="42" t="n">
        <v>0</v>
      </c>
      <c r="G27" s="16" t="n">
        <v>0</v>
      </c>
      <c r="H27" s="16" t="n">
        <v>0</v>
      </c>
      <c r="I27" s="2" t="s">
        <v>972</v>
      </c>
      <c r="J27" s="8" t="s">
        <v>973</v>
      </c>
      <c r="K27" s="8" t="s">
        <v>974</v>
      </c>
    </row>
    <row r="28" customFormat="false" ht="30" hidden="false" customHeight="true" outlineLevel="0" collapsed="false">
      <c r="A28" s="8" t="s">
        <v>975</v>
      </c>
      <c r="B28" s="2" t="s">
        <v>30</v>
      </c>
      <c r="C28" s="16" t="n">
        <v>48000000</v>
      </c>
      <c r="D28" s="16" t="n">
        <v>5580000</v>
      </c>
      <c r="E28" s="16" t="n">
        <v>8500</v>
      </c>
      <c r="F28" s="42" t="n">
        <v>200</v>
      </c>
      <c r="G28" s="16" t="n">
        <v>1700000</v>
      </c>
      <c r="H28" s="16" t="n">
        <v>-3880000</v>
      </c>
      <c r="I28" s="2" t="s">
        <v>976</v>
      </c>
      <c r="J28" s="8" t="s">
        <v>977</v>
      </c>
      <c r="K28" s="8" t="s">
        <v>978</v>
      </c>
    </row>
    <row r="29" customFormat="false" ht="30" hidden="false" customHeight="true" outlineLevel="0" collapsed="false">
      <c r="A29" s="8" t="s">
        <v>979</v>
      </c>
      <c r="B29" s="2" t="s">
        <v>28</v>
      </c>
      <c r="C29" s="16" t="n">
        <v>5200000</v>
      </c>
      <c r="D29" s="16" t="n">
        <v>4058000</v>
      </c>
      <c r="E29" s="16" t="n">
        <v>0</v>
      </c>
      <c r="F29" s="42" t="n">
        <v>0</v>
      </c>
      <c r="G29" s="16" t="n">
        <v>0</v>
      </c>
      <c r="H29" s="16" t="n">
        <v>0</v>
      </c>
      <c r="I29" s="2" t="s">
        <v>972</v>
      </c>
      <c r="J29" s="8" t="s">
        <v>980</v>
      </c>
      <c r="K29" s="8" t="s">
        <v>981</v>
      </c>
    </row>
    <row r="30" customFormat="false" ht="30" hidden="false" customHeight="true" outlineLevel="0" collapsed="false">
      <c r="A30" s="8" t="s">
        <v>982</v>
      </c>
      <c r="B30" s="2" t="s">
        <v>26</v>
      </c>
      <c r="C30" s="16" t="n">
        <v>60930000</v>
      </c>
      <c r="D30" s="16" t="n">
        <v>5846500</v>
      </c>
      <c r="E30" s="16" t="n">
        <v>0</v>
      </c>
      <c r="F30" s="42" t="n">
        <v>0</v>
      </c>
      <c r="G30" s="16" t="n">
        <v>0</v>
      </c>
      <c r="H30" s="16" t="n">
        <v>0</v>
      </c>
      <c r="I30" s="2" t="s">
        <v>972</v>
      </c>
      <c r="J30" s="8" t="s">
        <v>972</v>
      </c>
      <c r="K30" s="8" t="s">
        <v>983</v>
      </c>
    </row>
    <row r="31" customFormat="false" ht="30" hidden="false" customHeight="true" outlineLevel="0" collapsed="false">
      <c r="A31" s="8" t="s">
        <v>984</v>
      </c>
      <c r="B31" s="2" t="s">
        <v>28</v>
      </c>
      <c r="C31" s="16" t="n">
        <v>17700000</v>
      </c>
      <c r="D31" s="16" t="n">
        <v>4185000</v>
      </c>
      <c r="E31" s="16" t="n">
        <v>15000</v>
      </c>
      <c r="F31" s="42" t="n">
        <v>600</v>
      </c>
      <c r="G31" s="16" t="n">
        <v>9000000</v>
      </c>
      <c r="H31" s="16" t="n">
        <v>4815000</v>
      </c>
      <c r="I31" s="27" t="n">
        <v>3.68</v>
      </c>
      <c r="J31" s="8" t="s">
        <v>985</v>
      </c>
      <c r="K31" s="8" t="s">
        <v>986</v>
      </c>
    </row>
    <row r="32" customFormat="false" ht="30" hidden="false" customHeight="true" outlineLevel="0" collapsed="false">
      <c r="A32" s="8" t="s">
        <v>987</v>
      </c>
      <c r="B32" s="2" t="s">
        <v>28</v>
      </c>
      <c r="C32" s="16" t="n">
        <v>35000000</v>
      </c>
      <c r="D32" s="16" t="n">
        <v>4250000</v>
      </c>
      <c r="E32" s="16" t="n">
        <v>11000</v>
      </c>
      <c r="F32" s="42" t="n">
        <v>800</v>
      </c>
      <c r="G32" s="16" t="n">
        <v>8800000</v>
      </c>
      <c r="H32" s="16" t="n">
        <v>4550000</v>
      </c>
      <c r="I32" s="27" t="n">
        <v>7.69</v>
      </c>
      <c r="J32" s="8" t="s">
        <v>988</v>
      </c>
      <c r="K32" s="8" t="s">
        <v>989</v>
      </c>
    </row>
    <row r="33" customFormat="false" ht="30" hidden="false" customHeight="true" outlineLevel="0" collapsed="false">
      <c r="A33" s="8" t="s">
        <v>990</v>
      </c>
      <c r="B33" s="2" t="s">
        <v>26</v>
      </c>
      <c r="C33" s="16" t="n">
        <v>130950000</v>
      </c>
      <c r="D33" s="16" t="n">
        <v>7857000</v>
      </c>
      <c r="E33" s="16" t="n">
        <v>0</v>
      </c>
      <c r="F33" s="42" t="n">
        <v>0</v>
      </c>
      <c r="G33" s="16" t="n">
        <v>0</v>
      </c>
      <c r="H33" s="16" t="n">
        <v>0</v>
      </c>
      <c r="I33" s="2" t="s">
        <v>991</v>
      </c>
      <c r="J33" s="8" t="s">
        <v>991</v>
      </c>
      <c r="K33" s="8" t="s">
        <v>992</v>
      </c>
    </row>
    <row r="34" customFormat="false" ht="30" hidden="false" customHeight="true" outlineLevel="0" collapsed="false">
      <c r="A34" s="8" t="s">
        <v>993</v>
      </c>
      <c r="B34" s="2" t="s">
        <v>30</v>
      </c>
      <c r="C34" s="16" t="n">
        <v>12000000</v>
      </c>
      <c r="D34" s="16" t="n">
        <v>6900000</v>
      </c>
      <c r="E34" s="16" t="n">
        <v>0</v>
      </c>
      <c r="F34" s="42" t="n">
        <v>0</v>
      </c>
      <c r="G34" s="16" t="n">
        <v>0</v>
      </c>
      <c r="H34" s="16" t="n">
        <v>0</v>
      </c>
      <c r="I34" s="2" t="s">
        <v>991</v>
      </c>
      <c r="J34" s="8" t="s">
        <v>991</v>
      </c>
      <c r="K34" s="8" t="s">
        <v>994</v>
      </c>
    </row>
    <row r="35" customFormat="false" ht="30" hidden="false" customHeight="true" outlineLevel="0" collapsed="false">
      <c r="A35" s="8" t="s">
        <v>995</v>
      </c>
      <c r="B35" s="2" t="s">
        <v>26</v>
      </c>
      <c r="C35" s="16" t="n">
        <v>15500000</v>
      </c>
      <c r="D35" s="16" t="n">
        <v>5800000</v>
      </c>
      <c r="E35" s="16" t="n">
        <v>0</v>
      </c>
      <c r="F35" s="42" t="n">
        <v>0</v>
      </c>
      <c r="G35" s="16" t="n">
        <v>0</v>
      </c>
      <c r="H35" s="16" t="n">
        <v>0</v>
      </c>
      <c r="I35" s="2" t="s">
        <v>991</v>
      </c>
      <c r="J35" s="8" t="s">
        <v>991</v>
      </c>
      <c r="K35" s="8" t="s">
        <v>996</v>
      </c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true" outlineLevel="0" collapsed="false">
      <c r="A37" s="7" t="s">
        <v>997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36" hidden="false" customHeight="true" outlineLevel="0" collapsed="false">
      <c r="A38" s="12" t="s">
        <v>998</v>
      </c>
      <c r="B38" s="12" t="s">
        <v>999</v>
      </c>
      <c r="C38" s="12" t="s">
        <v>1000</v>
      </c>
      <c r="D38" s="12" t="s">
        <v>1001</v>
      </c>
      <c r="E38" s="12" t="s">
        <v>1002</v>
      </c>
      <c r="F38" s="12" t="s">
        <v>1003</v>
      </c>
      <c r="G38" s="12" t="s">
        <v>69</v>
      </c>
      <c r="H38" s="2"/>
      <c r="I38" s="2"/>
      <c r="J38" s="2"/>
      <c r="K38" s="2"/>
    </row>
    <row r="39" customFormat="false" ht="30" hidden="false" customHeight="true" outlineLevel="0" collapsed="false">
      <c r="A39" s="8" t="s">
        <v>1004</v>
      </c>
      <c r="B39" s="14" t="n">
        <v>2200</v>
      </c>
      <c r="C39" s="14" t="n">
        <v>1800</v>
      </c>
      <c r="D39" s="14" t="n">
        <v>2500</v>
      </c>
      <c r="E39" s="16" t="n">
        <v>111000</v>
      </c>
      <c r="F39" s="14" t="n">
        <v>1207</v>
      </c>
      <c r="G39" s="8" t="s">
        <v>1005</v>
      </c>
      <c r="H39" s="2"/>
      <c r="I39" s="2"/>
      <c r="J39" s="2"/>
      <c r="K39" s="2"/>
    </row>
    <row r="40" customFormat="false" ht="30" hidden="false" customHeight="true" outlineLevel="0" collapsed="false">
      <c r="A40" s="8" t="s">
        <v>1006</v>
      </c>
      <c r="B40" s="14" t="n">
        <v>200</v>
      </c>
      <c r="C40" s="14" t="n">
        <v>180</v>
      </c>
      <c r="D40" s="14" t="n">
        <v>250</v>
      </c>
      <c r="E40" s="16" t="n">
        <v>10000</v>
      </c>
      <c r="F40" s="14" t="n">
        <v>109</v>
      </c>
      <c r="G40" s="8" t="s">
        <v>1007</v>
      </c>
      <c r="H40" s="2"/>
      <c r="I40" s="2"/>
      <c r="J40" s="2"/>
      <c r="K40" s="2"/>
    </row>
    <row r="41" customFormat="false" ht="30" hidden="false" customHeight="true" outlineLevel="0" collapsed="false">
      <c r="A41" s="8" t="s">
        <v>1008</v>
      </c>
      <c r="B41" s="14" t="n">
        <v>400</v>
      </c>
      <c r="C41" s="14" t="n">
        <v>350</v>
      </c>
      <c r="D41" s="14" t="n">
        <v>500</v>
      </c>
      <c r="E41" s="16" t="n">
        <v>20000</v>
      </c>
      <c r="F41" s="14" t="n">
        <v>217</v>
      </c>
      <c r="G41" s="8" t="s">
        <v>1009</v>
      </c>
      <c r="H41" s="2"/>
      <c r="I41" s="2"/>
      <c r="J41" s="2"/>
      <c r="K41" s="2"/>
    </row>
    <row r="42" customFormat="false" ht="30" hidden="false" customHeight="true" outlineLevel="0" collapsed="false">
      <c r="A42" s="8" t="s">
        <v>1010</v>
      </c>
      <c r="B42" s="14" t="n">
        <v>1500</v>
      </c>
      <c r="C42" s="14" t="n">
        <v>1300</v>
      </c>
      <c r="D42" s="14" t="n">
        <v>1800</v>
      </c>
      <c r="E42" s="16" t="n">
        <v>76000</v>
      </c>
      <c r="F42" s="14" t="n">
        <v>826</v>
      </c>
      <c r="G42" s="8" t="s">
        <v>1011</v>
      </c>
      <c r="H42" s="2"/>
      <c r="I42" s="2"/>
      <c r="J42" s="2"/>
      <c r="K42" s="2"/>
    </row>
    <row r="43" customFormat="false" ht="30" hidden="false" customHeight="true" outlineLevel="0" collapsed="false">
      <c r="A43" s="8" t="s">
        <v>1012</v>
      </c>
      <c r="B43" s="14" t="n">
        <v>4046</v>
      </c>
      <c r="C43" s="14" t="n">
        <v>3825</v>
      </c>
      <c r="D43" s="14" t="n">
        <v>8500</v>
      </c>
      <c r="E43" s="16" t="n">
        <v>223000</v>
      </c>
      <c r="F43" s="14" t="n">
        <v>2424</v>
      </c>
      <c r="G43" s="8" t="s">
        <v>1013</v>
      </c>
      <c r="H43" s="2"/>
      <c r="I43" s="2"/>
      <c r="J43" s="2"/>
      <c r="K43" s="2"/>
    </row>
    <row r="44" customFormat="false" ht="30" hidden="false" customHeight="true" outlineLevel="0" collapsed="false">
      <c r="A44" s="8" t="s">
        <v>1014</v>
      </c>
      <c r="B44" s="14" t="n">
        <v>8053</v>
      </c>
      <c r="C44" s="14" t="n">
        <v>7500</v>
      </c>
      <c r="D44" s="14" t="n">
        <v>21300</v>
      </c>
      <c r="E44" s="16" t="n">
        <v>407000</v>
      </c>
      <c r="F44" s="14" t="n">
        <v>4424</v>
      </c>
      <c r="G44" s="8" t="s">
        <v>1015</v>
      </c>
      <c r="H44" s="2"/>
      <c r="I44" s="2"/>
      <c r="J44" s="2"/>
      <c r="K44" s="2"/>
    </row>
    <row r="45" customFormat="false" ht="30" hidden="false" customHeight="true" outlineLevel="0" collapsed="false">
      <c r="A45" s="8" t="s">
        <v>1016</v>
      </c>
      <c r="B45" s="14" t="n">
        <v>600</v>
      </c>
      <c r="C45" s="14" t="n">
        <v>500</v>
      </c>
      <c r="D45" s="14" t="n">
        <v>800</v>
      </c>
      <c r="E45" s="16" t="n">
        <v>33000</v>
      </c>
      <c r="F45" s="14" t="n">
        <v>359</v>
      </c>
      <c r="G45" s="8" t="s">
        <v>1017</v>
      </c>
      <c r="H45" s="2"/>
      <c r="I45" s="2"/>
      <c r="J45" s="2"/>
      <c r="K45" s="2"/>
    </row>
    <row r="46" customFormat="false" ht="30" hidden="false" customHeight="true" outlineLevel="0" collapsed="false">
      <c r="A46" s="8" t="s">
        <v>1018</v>
      </c>
      <c r="B46" s="14" t="n">
        <v>450</v>
      </c>
      <c r="C46" s="14" t="n">
        <v>400</v>
      </c>
      <c r="D46" s="14" t="n">
        <v>600</v>
      </c>
      <c r="E46" s="16" t="n">
        <v>23000</v>
      </c>
      <c r="F46" s="14" t="n">
        <v>250</v>
      </c>
      <c r="G46" s="8" t="s">
        <v>1019</v>
      </c>
      <c r="H46" s="2"/>
      <c r="I46" s="2"/>
      <c r="J46" s="2"/>
      <c r="K46" s="2"/>
    </row>
    <row r="47" customFormat="false" ht="30" hidden="false" customHeight="true" outlineLevel="0" collapsed="false">
      <c r="A47" s="8" t="s">
        <v>1020</v>
      </c>
      <c r="B47" s="14" t="n">
        <v>5000</v>
      </c>
      <c r="C47" s="14" t="n">
        <v>4000</v>
      </c>
      <c r="D47" s="14" t="n">
        <v>7000</v>
      </c>
      <c r="E47" s="16" t="n">
        <v>253000</v>
      </c>
      <c r="F47" s="14" t="n">
        <v>2750</v>
      </c>
      <c r="G47" s="8" t="s">
        <v>1021</v>
      </c>
      <c r="H47" s="2"/>
      <c r="I47" s="2"/>
      <c r="J47" s="2"/>
      <c r="K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15" hidden="false" customHeight="true" outlineLevel="0" collapsed="false">
      <c r="A49" s="7" t="s">
        <v>1022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36" hidden="false" customHeight="true" outlineLevel="0" collapsed="false">
      <c r="A50" s="12" t="s">
        <v>1023</v>
      </c>
      <c r="B50" s="12" t="s">
        <v>1024</v>
      </c>
      <c r="C50" s="12" t="s">
        <v>1025</v>
      </c>
      <c r="D50" s="12" t="s">
        <v>1026</v>
      </c>
      <c r="E50" s="12" t="s">
        <v>1027</v>
      </c>
      <c r="F50" s="12" t="s">
        <v>66</v>
      </c>
      <c r="G50" s="2"/>
      <c r="H50" s="2"/>
      <c r="I50" s="2"/>
      <c r="J50" s="2"/>
      <c r="K50" s="2"/>
    </row>
    <row r="51" customFormat="false" ht="36" hidden="false" customHeight="true" outlineLevel="0" collapsed="false">
      <c r="A51" s="2" t="s">
        <v>1028</v>
      </c>
      <c r="B51" s="8" t="s">
        <v>1029</v>
      </c>
      <c r="C51" s="14" t="n">
        <v>8053</v>
      </c>
      <c r="D51" s="14" t="n">
        <v>8175</v>
      </c>
      <c r="E51" s="8" t="s">
        <v>1030</v>
      </c>
      <c r="F51" s="8" t="s">
        <v>1031</v>
      </c>
      <c r="G51" s="2"/>
      <c r="H51" s="2"/>
      <c r="I51" s="2"/>
      <c r="J51" s="2"/>
      <c r="K51" s="2"/>
    </row>
    <row r="52" customFormat="false" ht="36" hidden="false" customHeight="true" outlineLevel="0" collapsed="false">
      <c r="A52" s="2" t="s">
        <v>1032</v>
      </c>
      <c r="B52" s="8" t="s">
        <v>1033</v>
      </c>
      <c r="C52" s="14" t="n">
        <v>12520</v>
      </c>
      <c r="D52" s="2"/>
      <c r="E52" s="8" t="s">
        <v>1034</v>
      </c>
      <c r="F52" s="8" t="s">
        <v>1035</v>
      </c>
      <c r="G52" s="2"/>
      <c r="H52" s="2"/>
      <c r="I52" s="2"/>
      <c r="J52" s="2"/>
      <c r="K52" s="2"/>
    </row>
    <row r="53" customFormat="false" ht="36" hidden="false" customHeight="true" outlineLevel="0" collapsed="false">
      <c r="A53" s="2" t="s">
        <v>1036</v>
      </c>
      <c r="B53" s="8" t="s">
        <v>1037</v>
      </c>
      <c r="C53" s="2"/>
      <c r="D53" s="2"/>
      <c r="E53" s="8" t="s">
        <v>1038</v>
      </c>
      <c r="F53" s="8" t="s">
        <v>1039</v>
      </c>
      <c r="G53" s="2"/>
      <c r="H53" s="2"/>
      <c r="I53" s="2"/>
      <c r="J53" s="2"/>
      <c r="K53" s="2"/>
    </row>
    <row r="54" customFormat="false" ht="36" hidden="false" customHeight="true" outlineLevel="0" collapsed="false">
      <c r="A54" s="2" t="s">
        <v>1036</v>
      </c>
      <c r="B54" s="8" t="s">
        <v>1040</v>
      </c>
      <c r="C54" s="2"/>
      <c r="D54" s="2"/>
      <c r="E54" s="8" t="s">
        <v>1041</v>
      </c>
      <c r="F54" s="8" t="s">
        <v>1042</v>
      </c>
      <c r="G54" s="2"/>
      <c r="H54" s="2"/>
      <c r="I54" s="2"/>
      <c r="J54" s="2"/>
      <c r="K54" s="2"/>
    </row>
    <row r="55" customFormat="false" ht="36" hidden="false" customHeight="true" outlineLevel="0" collapsed="false">
      <c r="A55" s="2" t="s">
        <v>1043</v>
      </c>
      <c r="B55" s="8" t="s">
        <v>1044</v>
      </c>
      <c r="C55" s="2"/>
      <c r="D55" s="2"/>
      <c r="E55" s="8" t="s">
        <v>1045</v>
      </c>
      <c r="F55" s="8" t="s">
        <v>1046</v>
      </c>
      <c r="G55" s="2"/>
      <c r="H55" s="2"/>
      <c r="I55" s="2"/>
      <c r="J55" s="2"/>
      <c r="K55" s="2"/>
    </row>
    <row r="56" customFormat="false" ht="36" hidden="false" customHeight="true" outlineLevel="0" collapsed="false">
      <c r="A56" s="2" t="s">
        <v>1047</v>
      </c>
      <c r="B56" s="8" t="s">
        <v>1048</v>
      </c>
      <c r="C56" s="2"/>
      <c r="D56" s="2"/>
      <c r="E56" s="8" t="s">
        <v>1049</v>
      </c>
      <c r="F56" s="8" t="s">
        <v>1050</v>
      </c>
      <c r="G56" s="2"/>
      <c r="H56" s="2"/>
      <c r="I56" s="2"/>
      <c r="J56" s="2"/>
      <c r="K56" s="2"/>
    </row>
    <row r="57" customFormat="false" ht="36" hidden="false" customHeight="true" outlineLevel="0" collapsed="false">
      <c r="A57" s="2" t="s">
        <v>1051</v>
      </c>
      <c r="B57" s="8" t="s">
        <v>1052</v>
      </c>
      <c r="C57" s="2"/>
      <c r="D57" s="2"/>
      <c r="E57" s="8" t="s">
        <v>1053</v>
      </c>
      <c r="F57" s="8" t="s">
        <v>1054</v>
      </c>
      <c r="G57" s="2"/>
      <c r="H57" s="2"/>
      <c r="I57" s="2"/>
      <c r="J57" s="2"/>
      <c r="K57" s="2"/>
    </row>
    <row r="58" customFormat="false" ht="36" hidden="false" customHeight="true" outlineLevel="0" collapsed="false">
      <c r="A58" s="2" t="s">
        <v>1055</v>
      </c>
      <c r="B58" s="8" t="s">
        <v>1056</v>
      </c>
      <c r="C58" s="2"/>
      <c r="D58" s="2"/>
      <c r="E58" s="8" t="s">
        <v>1057</v>
      </c>
      <c r="F58" s="8" t="s">
        <v>1058</v>
      </c>
      <c r="G58" s="2"/>
      <c r="H58" s="2"/>
      <c r="I58" s="2"/>
      <c r="J58" s="2"/>
      <c r="K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customFormat="false" ht="15" hidden="false" customHeight="true" outlineLevel="0" collapsed="false">
      <c r="A60" s="7" t="s">
        <v>1059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customFormat="false" ht="15" hidden="false" customHeight="true" outlineLevel="0" collapsed="false">
      <c r="A61" s="12" t="s">
        <v>1060</v>
      </c>
      <c r="B61" s="12" t="s">
        <v>1061</v>
      </c>
      <c r="C61" s="12" t="s">
        <v>1062</v>
      </c>
      <c r="D61" s="12" t="s">
        <v>69</v>
      </c>
      <c r="E61" s="2"/>
      <c r="F61" s="2"/>
      <c r="G61" s="2"/>
      <c r="H61" s="2"/>
      <c r="I61" s="2"/>
      <c r="J61" s="2"/>
      <c r="K61" s="2"/>
    </row>
    <row r="62" customFormat="false" ht="26.25" hidden="false" customHeight="true" outlineLevel="0" collapsed="false">
      <c r="A62" s="2" t="s">
        <v>1063</v>
      </c>
      <c r="B62" s="41" t="n">
        <v>0.3</v>
      </c>
      <c r="C62" s="14" t="n">
        <v>4500</v>
      </c>
      <c r="D62" s="8" t="s">
        <v>1064</v>
      </c>
      <c r="E62" s="2"/>
      <c r="F62" s="2"/>
      <c r="G62" s="2"/>
      <c r="H62" s="2"/>
      <c r="I62" s="2"/>
      <c r="J62" s="2"/>
      <c r="K62" s="2"/>
    </row>
    <row r="63" customFormat="false" ht="39" hidden="false" customHeight="true" outlineLevel="0" collapsed="false">
      <c r="A63" s="2" t="s">
        <v>1065</v>
      </c>
      <c r="B63" s="41" t="n">
        <v>0.25</v>
      </c>
      <c r="C63" s="14" t="n">
        <v>3750</v>
      </c>
      <c r="D63" s="8" t="s">
        <v>1066</v>
      </c>
      <c r="E63" s="2"/>
      <c r="F63" s="2"/>
      <c r="G63" s="2"/>
      <c r="H63" s="2"/>
      <c r="I63" s="2"/>
      <c r="J63" s="2"/>
      <c r="K63" s="2"/>
    </row>
    <row r="64" customFormat="false" ht="39" hidden="false" customHeight="true" outlineLevel="0" collapsed="false">
      <c r="A64" s="2" t="s">
        <v>1067</v>
      </c>
      <c r="B64" s="41" t="n">
        <v>0.15</v>
      </c>
      <c r="C64" s="14" t="n">
        <v>2250</v>
      </c>
      <c r="D64" s="8" t="s">
        <v>1068</v>
      </c>
      <c r="E64" s="2"/>
      <c r="F64" s="2"/>
      <c r="G64" s="2"/>
      <c r="H64" s="2"/>
      <c r="I64" s="2"/>
      <c r="J64" s="2"/>
      <c r="K64" s="2"/>
    </row>
    <row r="65" customFormat="false" ht="26.25" hidden="false" customHeight="true" outlineLevel="0" collapsed="false">
      <c r="A65" s="2" t="s">
        <v>1069</v>
      </c>
      <c r="B65" s="41" t="n">
        <v>0.12</v>
      </c>
      <c r="C65" s="14" t="n">
        <v>1800</v>
      </c>
      <c r="D65" s="8" t="s">
        <v>1070</v>
      </c>
      <c r="E65" s="2"/>
      <c r="F65" s="2"/>
      <c r="G65" s="2"/>
      <c r="H65" s="2"/>
      <c r="I65" s="2"/>
      <c r="J65" s="2"/>
      <c r="K65" s="2"/>
    </row>
    <row r="66" customFormat="false" ht="39" hidden="false" customHeight="true" outlineLevel="0" collapsed="false">
      <c r="A66" s="2" t="s">
        <v>1071</v>
      </c>
      <c r="B66" s="41" t="n">
        <v>0.13</v>
      </c>
      <c r="C66" s="14" t="n">
        <v>1950</v>
      </c>
      <c r="D66" s="8" t="s">
        <v>1072</v>
      </c>
      <c r="E66" s="2"/>
      <c r="F66" s="2"/>
      <c r="G66" s="2"/>
      <c r="H66" s="2"/>
      <c r="I66" s="2"/>
      <c r="J66" s="2"/>
      <c r="K66" s="2"/>
    </row>
    <row r="67" customFormat="false" ht="26.25" hidden="false" customHeight="true" outlineLevel="0" collapsed="false">
      <c r="A67" s="2" t="s">
        <v>1073</v>
      </c>
      <c r="B67" s="41" t="n">
        <v>0.05</v>
      </c>
      <c r="C67" s="14" t="n">
        <v>750</v>
      </c>
      <c r="D67" s="8" t="s">
        <v>1074</v>
      </c>
      <c r="E67" s="2"/>
      <c r="F67" s="2"/>
      <c r="G67" s="2"/>
      <c r="H67" s="2"/>
      <c r="I67" s="2"/>
      <c r="J67" s="2"/>
      <c r="K67" s="2"/>
    </row>
    <row r="68" customFormat="false" ht="15" hidden="false" customHeight="true" outlineLevel="0" collapsed="false">
      <c r="A68" s="31" t="s">
        <v>1075</v>
      </c>
      <c r="B68" s="43" t="n">
        <f aca="false">SUM(B62:B67)</f>
        <v>1</v>
      </c>
      <c r="C68" s="32" t="n">
        <f aca="false">SUM(C62:C67)</f>
        <v>15000</v>
      </c>
      <c r="D68" s="2"/>
      <c r="E68" s="2"/>
      <c r="F68" s="2"/>
      <c r="G68" s="2"/>
      <c r="H68" s="2"/>
      <c r="I68" s="2"/>
      <c r="J68" s="2"/>
      <c r="K68" s="2"/>
    </row>
    <row r="69" customFormat="false" ht="1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customFormat="false" ht="15" hidden="false" customHeight="true" outlineLevel="0" collapsed="false">
      <c r="A70" s="7" t="s">
        <v>1076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customFormat="false" ht="60" hidden="false" customHeight="true" outlineLevel="0" collapsed="false">
      <c r="A71" s="5" t="s">
        <v>1077</v>
      </c>
      <c r="B71" s="8" t="s">
        <v>1078</v>
      </c>
      <c r="C71" s="2"/>
      <c r="D71" s="2"/>
      <c r="E71" s="2"/>
      <c r="F71" s="2"/>
      <c r="G71" s="2"/>
      <c r="H71" s="2"/>
      <c r="I71" s="2"/>
      <c r="J71" s="2"/>
      <c r="K71" s="2"/>
    </row>
    <row r="72" customFormat="false" ht="15" hidden="false" customHeight="true" outlineLevel="0" collapsed="false">
      <c r="A72" s="6" t="s">
        <v>1079</v>
      </c>
      <c r="B72" s="14" t="n">
        <v>250</v>
      </c>
      <c r="C72" s="2"/>
      <c r="D72" s="2"/>
      <c r="E72" s="2"/>
      <c r="F72" s="2"/>
      <c r="G72" s="2"/>
      <c r="H72" s="2"/>
      <c r="I72" s="2"/>
      <c r="J72" s="2"/>
      <c r="K72" s="2"/>
    </row>
    <row r="73" customFormat="false" ht="15" hidden="false" customHeight="true" outlineLevel="0" collapsed="false">
      <c r="A73" s="6" t="s">
        <v>1080</v>
      </c>
      <c r="B73" s="16" t="n">
        <v>23000</v>
      </c>
      <c r="C73" s="2"/>
      <c r="D73" s="2"/>
      <c r="E73" s="2"/>
      <c r="F73" s="2"/>
      <c r="G73" s="2"/>
      <c r="H73" s="2"/>
      <c r="I73" s="2"/>
      <c r="J73" s="2"/>
      <c r="K73" s="2"/>
    </row>
    <row r="74" customFormat="false" ht="15" hidden="false" customHeight="true" outlineLevel="0" collapsed="false">
      <c r="A74" s="6" t="s">
        <v>1081</v>
      </c>
      <c r="B74" s="42" t="n">
        <v>21352</v>
      </c>
      <c r="C74" s="2"/>
      <c r="D74" s="2"/>
      <c r="E74" s="2"/>
      <c r="F74" s="2"/>
      <c r="G74" s="2"/>
      <c r="H74" s="2"/>
      <c r="I74" s="2"/>
      <c r="J74" s="2"/>
      <c r="K74" s="2"/>
    </row>
    <row r="75" customFormat="false" ht="15" hidden="false" customHeight="true" outlineLevel="0" collapsed="false">
      <c r="A75" s="6" t="s">
        <v>1082</v>
      </c>
      <c r="B75" s="16" t="n">
        <v>491096000</v>
      </c>
      <c r="C75" s="2"/>
      <c r="D75" s="2"/>
      <c r="E75" s="2"/>
      <c r="F75" s="2"/>
      <c r="G75" s="2"/>
      <c r="H75" s="2"/>
      <c r="I75" s="2"/>
      <c r="J75" s="2"/>
      <c r="K75" s="2"/>
    </row>
    <row r="76" customFormat="false" ht="15" hidden="false" customHeight="true" outlineLevel="0" collapsed="false">
      <c r="A76" s="6" t="s">
        <v>1083</v>
      </c>
      <c r="B76" s="14" t="n">
        <v>5338000</v>
      </c>
      <c r="C76" s="2"/>
      <c r="D76" s="2"/>
      <c r="E76" s="2"/>
      <c r="F76" s="2"/>
      <c r="G76" s="2"/>
      <c r="H76" s="2"/>
      <c r="I76" s="2"/>
      <c r="J76" s="2"/>
      <c r="K76" s="2"/>
    </row>
    <row r="77" customFormat="false" ht="60" hidden="false" customHeight="true" outlineLevel="0" collapsed="false">
      <c r="A77" s="5" t="s">
        <v>69</v>
      </c>
      <c r="B77" s="8" t="s">
        <v>1084</v>
      </c>
      <c r="C77" s="2"/>
      <c r="D77" s="2"/>
      <c r="E77" s="2"/>
      <c r="F77" s="2"/>
      <c r="G77" s="2"/>
      <c r="H77" s="2"/>
      <c r="I77" s="2"/>
      <c r="J77" s="2"/>
      <c r="K77" s="2"/>
    </row>
    <row r="78" customFormat="false" ht="1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customFormat="false" ht="15" hidden="false" customHeight="true" outlineLevel="0" collapsed="false">
      <c r="A79" s="7" t="s">
        <v>1085</v>
      </c>
      <c r="B79" s="2"/>
      <c r="C79" s="2"/>
      <c r="D79" s="2"/>
      <c r="E79" s="2"/>
      <c r="F79" s="2"/>
      <c r="G79" s="2"/>
      <c r="H79" s="2"/>
      <c r="I79" s="2"/>
      <c r="J79" s="2"/>
      <c r="K79" s="2"/>
    </row>
    <row r="80" customFormat="false" ht="60" hidden="false" customHeight="true" outlineLevel="0" collapsed="false">
      <c r="A80" s="5" t="s">
        <v>1086</v>
      </c>
      <c r="B80" s="8" t="s">
        <v>1087</v>
      </c>
      <c r="C80" s="2"/>
      <c r="D80" s="2"/>
      <c r="E80" s="2"/>
      <c r="F80" s="2"/>
      <c r="G80" s="2"/>
      <c r="H80" s="2"/>
      <c r="I80" s="2"/>
      <c r="J80" s="2"/>
      <c r="K80" s="2"/>
    </row>
    <row r="81" customFormat="false" ht="60" hidden="false" customHeight="true" outlineLevel="0" collapsed="false">
      <c r="A81" s="5" t="s">
        <v>1088</v>
      </c>
      <c r="B81" s="8" t="s">
        <v>1089</v>
      </c>
      <c r="C81" s="2"/>
      <c r="D81" s="2"/>
      <c r="E81" s="2"/>
      <c r="F81" s="2"/>
      <c r="G81" s="2"/>
      <c r="H81" s="2"/>
      <c r="I81" s="2"/>
      <c r="J81" s="2"/>
      <c r="K81" s="2"/>
    </row>
    <row r="82" customFormat="false" ht="60" hidden="false" customHeight="true" outlineLevel="0" collapsed="false">
      <c r="A82" s="5" t="s">
        <v>1090</v>
      </c>
      <c r="B82" s="8" t="s">
        <v>1091</v>
      </c>
      <c r="C82" s="2"/>
      <c r="D82" s="2"/>
      <c r="E82" s="2"/>
      <c r="F82" s="2"/>
      <c r="G82" s="2"/>
      <c r="H82" s="2"/>
      <c r="I82" s="2"/>
      <c r="J82" s="2"/>
      <c r="K82" s="2"/>
    </row>
    <row r="83" customFormat="false" ht="60" hidden="false" customHeight="true" outlineLevel="0" collapsed="false">
      <c r="A83" s="5" t="s">
        <v>1092</v>
      </c>
      <c r="B83" s="8" t="s">
        <v>1093</v>
      </c>
      <c r="C83" s="2"/>
      <c r="D83" s="2"/>
      <c r="E83" s="2"/>
      <c r="F83" s="2"/>
      <c r="G83" s="2"/>
      <c r="H83" s="2"/>
      <c r="I83" s="2"/>
      <c r="J83" s="2"/>
      <c r="K8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0"/>
  </cols>
  <sheetData>
    <row r="1" customFormat="false" ht="21.75" hidden="false" customHeight="true" outlineLevel="0" collapsed="false">
      <c r="A1" s="3" t="s">
        <v>1094</v>
      </c>
      <c r="B1" s="2"/>
    </row>
    <row r="2" customFormat="false" ht="15" hidden="false" customHeight="true" outlineLevel="0" collapsed="false">
      <c r="A2" s="4" t="s">
        <v>1095</v>
      </c>
      <c r="B2" s="2"/>
    </row>
    <row r="3" customFormat="false" ht="15" hidden="false" customHeight="true" outlineLevel="0" collapsed="false">
      <c r="A3" s="2"/>
      <c r="B3" s="2"/>
    </row>
    <row r="4" customFormat="false" ht="15" hidden="false" customHeight="true" outlineLevel="0" collapsed="false">
      <c r="A4" s="44" t="s">
        <v>1096</v>
      </c>
      <c r="B4" s="45"/>
    </row>
    <row r="5" customFormat="false" ht="87.75" hidden="false" customHeight="true" outlineLevel="0" collapsed="false">
      <c r="A5" s="46" t="s">
        <v>1097</v>
      </c>
      <c r="B5" s="8" t="s">
        <v>1098</v>
      </c>
    </row>
    <row r="6" customFormat="false" ht="39.75" hidden="false" customHeight="true" outlineLevel="0" collapsed="false">
      <c r="A6" s="46" t="s">
        <v>1099</v>
      </c>
      <c r="B6" s="8" t="s">
        <v>1100</v>
      </c>
    </row>
    <row r="7" customFormat="false" ht="39.75" hidden="false" customHeight="true" outlineLevel="0" collapsed="false">
      <c r="A7" s="46" t="s">
        <v>1101</v>
      </c>
      <c r="B7" s="8" t="s">
        <v>1102</v>
      </c>
    </row>
    <row r="8" customFormat="false" ht="69.75" hidden="false" customHeight="true" outlineLevel="0" collapsed="false">
      <c r="A8" s="46" t="s">
        <v>1103</v>
      </c>
      <c r="B8" s="8" t="s">
        <v>1104</v>
      </c>
    </row>
    <row r="9" customFormat="false" ht="61.5" hidden="false" customHeight="true" outlineLevel="0" collapsed="false">
      <c r="A9" s="46" t="s">
        <v>1105</v>
      </c>
      <c r="B9" s="8" t="s">
        <v>1106</v>
      </c>
    </row>
    <row r="10" customFormat="false" ht="39.75" hidden="false" customHeight="true" outlineLevel="0" collapsed="false">
      <c r="A10" s="46" t="s">
        <v>1107</v>
      </c>
      <c r="B10" s="8" t="s">
        <v>1108</v>
      </c>
    </row>
    <row r="11" customFormat="false" ht="15" hidden="false" customHeight="true" outlineLevel="0" collapsed="false">
      <c r="A11" s="2"/>
      <c r="B11" s="2"/>
    </row>
    <row r="12" customFormat="false" ht="15" hidden="false" customHeight="true" outlineLevel="0" collapsed="false">
      <c r="A12" s="44" t="s">
        <v>1109</v>
      </c>
      <c r="B12" s="45"/>
    </row>
    <row r="13" customFormat="false" ht="54" hidden="false" customHeight="true" outlineLevel="0" collapsed="false">
      <c r="A13" s="46" t="s">
        <v>1110</v>
      </c>
      <c r="B13" s="8" t="s">
        <v>1111</v>
      </c>
    </row>
    <row r="14" customFormat="false" ht="61.5" hidden="false" customHeight="true" outlineLevel="0" collapsed="false">
      <c r="A14" s="46" t="s">
        <v>1112</v>
      </c>
      <c r="B14" s="8" t="s">
        <v>1113</v>
      </c>
    </row>
    <row r="15" customFormat="false" ht="57" hidden="false" customHeight="true" outlineLevel="0" collapsed="false">
      <c r="A15" s="46" t="s">
        <v>1114</v>
      </c>
      <c r="B15" s="8" t="s">
        <v>1115</v>
      </c>
    </row>
    <row r="16" customFormat="false" ht="39.75" hidden="false" customHeight="true" outlineLevel="0" collapsed="false">
      <c r="A16" s="46" t="s">
        <v>1116</v>
      </c>
      <c r="B16" s="8" t="s">
        <v>1117</v>
      </c>
    </row>
    <row r="17" customFormat="false" ht="45" hidden="false" customHeight="true" outlineLevel="0" collapsed="false">
      <c r="A17" s="46" t="s">
        <v>1105</v>
      </c>
      <c r="B17" s="8" t="s">
        <v>1118</v>
      </c>
    </row>
    <row r="18" customFormat="false" ht="15" hidden="false" customHeight="true" outlineLevel="0" collapsed="false">
      <c r="A18" s="2"/>
      <c r="B18" s="2"/>
    </row>
    <row r="19" customFormat="false" ht="15" hidden="false" customHeight="true" outlineLevel="0" collapsed="false">
      <c r="A19" s="44" t="s">
        <v>1119</v>
      </c>
      <c r="B19" s="45"/>
    </row>
    <row r="20" customFormat="false" ht="81.75" hidden="false" customHeight="true" outlineLevel="0" collapsed="false">
      <c r="A20" s="46" t="s">
        <v>1120</v>
      </c>
      <c r="B20" s="8" t="s">
        <v>1121</v>
      </c>
    </row>
    <row r="21" customFormat="false" ht="48.75" hidden="false" customHeight="true" outlineLevel="0" collapsed="false">
      <c r="A21" s="46" t="s">
        <v>1122</v>
      </c>
      <c r="B21" s="8" t="s">
        <v>1123</v>
      </c>
    </row>
    <row r="22" customFormat="false" ht="39.75" hidden="false" customHeight="true" outlineLevel="0" collapsed="false">
      <c r="A22" s="46" t="s">
        <v>1116</v>
      </c>
      <c r="B22" s="8" t="s">
        <v>1124</v>
      </c>
    </row>
    <row r="23" customFormat="false" ht="54.75" hidden="false" customHeight="true" outlineLevel="0" collapsed="false">
      <c r="A23" s="46" t="s">
        <v>1105</v>
      </c>
      <c r="B23" s="8" t="s">
        <v>1125</v>
      </c>
    </row>
    <row r="24" customFormat="false" ht="15" hidden="false" customHeight="true" outlineLevel="0" collapsed="false">
      <c r="A24" s="2"/>
      <c r="B24" s="2"/>
    </row>
    <row r="25" customFormat="false" ht="15" hidden="false" customHeight="true" outlineLevel="0" collapsed="false">
      <c r="A25" s="44" t="s">
        <v>1126</v>
      </c>
      <c r="B25" s="45"/>
    </row>
    <row r="26" customFormat="false" ht="61.5" hidden="false" customHeight="true" outlineLevel="0" collapsed="false">
      <c r="A26" s="46" t="s">
        <v>1127</v>
      </c>
      <c r="B26" s="8" t="s">
        <v>1128</v>
      </c>
    </row>
    <row r="27" customFormat="false" ht="54" hidden="false" customHeight="true" outlineLevel="0" collapsed="false">
      <c r="A27" s="46" t="s">
        <v>1129</v>
      </c>
      <c r="B27" s="8" t="s">
        <v>1130</v>
      </c>
    </row>
    <row r="28" customFormat="false" ht="64.5" hidden="false" customHeight="true" outlineLevel="0" collapsed="false">
      <c r="A28" s="46" t="s">
        <v>1131</v>
      </c>
      <c r="B28" s="8" t="s">
        <v>1132</v>
      </c>
    </row>
    <row r="29" customFormat="false" ht="114" hidden="false" customHeight="true" outlineLevel="0" collapsed="false">
      <c r="A29" s="46" t="s">
        <v>1133</v>
      </c>
      <c r="B29" s="8" t="s">
        <v>1134</v>
      </c>
    </row>
    <row r="30" customFormat="false" ht="87" hidden="false" customHeight="true" outlineLevel="0" collapsed="false">
      <c r="A30" s="46" t="s">
        <v>1135</v>
      </c>
      <c r="B30" s="8" t="s">
        <v>1136</v>
      </c>
    </row>
    <row r="31" customFormat="false" ht="84" hidden="false" customHeight="true" outlineLevel="0" collapsed="false">
      <c r="A31" s="46" t="s">
        <v>1137</v>
      </c>
      <c r="B31" s="8" t="s">
        <v>1138</v>
      </c>
    </row>
    <row r="32" customFormat="false" ht="52.5" hidden="false" customHeight="true" outlineLevel="0" collapsed="false">
      <c r="A32" s="46" t="s">
        <v>1139</v>
      </c>
      <c r="B32" s="8" t="s">
        <v>1140</v>
      </c>
    </row>
    <row r="33" customFormat="false" ht="162.75" hidden="false" customHeight="true" outlineLevel="0" collapsed="false">
      <c r="A33" s="46" t="s">
        <v>1141</v>
      </c>
      <c r="B33" s="8" t="s">
        <v>1142</v>
      </c>
    </row>
    <row r="34" customFormat="false" ht="15" hidden="false" customHeight="true" outlineLevel="0" collapsed="false">
      <c r="A34" s="2"/>
      <c r="B34" s="2"/>
    </row>
    <row r="35" customFormat="false" ht="15" hidden="false" customHeight="true" outlineLevel="0" collapsed="false">
      <c r="A35" s="7" t="s">
        <v>1143</v>
      </c>
      <c r="B35" s="2"/>
    </row>
    <row r="36" customFormat="false" ht="259.5" hidden="false" customHeight="true" outlineLevel="0" collapsed="false">
      <c r="A36" s="46" t="s">
        <v>1144</v>
      </c>
      <c r="B36" s="8" t="s">
        <v>1145</v>
      </c>
    </row>
    <row r="37" customFormat="false" ht="15" hidden="false" customHeight="true" outlineLevel="0" collapsed="false">
      <c r="A37" s="47" t="s">
        <v>1146</v>
      </c>
      <c r="B37" s="48"/>
    </row>
    <row r="38" customFormat="false" ht="58.5" hidden="false" customHeight="true" outlineLevel="0" collapsed="false">
      <c r="A38" s="46" t="s">
        <v>1147</v>
      </c>
      <c r="B38" s="8" t="s">
        <v>1148</v>
      </c>
    </row>
    <row r="39" customFormat="false" ht="84" hidden="false" customHeight="true" outlineLevel="0" collapsed="false">
      <c r="A39" s="46" t="s">
        <v>1149</v>
      </c>
      <c r="B39" s="8" t="s">
        <v>1150</v>
      </c>
    </row>
    <row r="40" customFormat="false" ht="78" hidden="false" customHeight="true" outlineLevel="0" collapsed="false">
      <c r="A40" s="46" t="s">
        <v>1151</v>
      </c>
      <c r="B40" s="8" t="s">
        <v>1152</v>
      </c>
    </row>
    <row r="41" customFormat="false" ht="81.75" hidden="false" customHeight="true" outlineLevel="0" collapsed="false">
      <c r="A41" s="46" t="s">
        <v>1153</v>
      </c>
      <c r="B41" s="8" t="s">
        <v>1154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4" min="3" style="1" width="60"/>
    <col collapsed="false" customWidth="true" hidden="false" outlineLevel="0" max="5" min="5" style="1" width="14"/>
  </cols>
  <sheetData>
    <row r="1" customFormat="false" ht="21.75" hidden="false" customHeight="true" outlineLevel="0" collapsed="false">
      <c r="A1" s="3" t="s">
        <v>1155</v>
      </c>
      <c r="B1" s="2"/>
      <c r="C1" s="2"/>
      <c r="D1" s="2"/>
      <c r="E1" s="2"/>
    </row>
    <row r="2" customFormat="false" ht="15" hidden="false" customHeight="true" outlineLevel="0" collapsed="false">
      <c r="A2" s="4" t="s">
        <v>1156</v>
      </c>
      <c r="B2" s="2"/>
      <c r="C2" s="2"/>
      <c r="D2" s="2"/>
      <c r="E2" s="2"/>
    </row>
    <row r="3" customFormat="false" ht="15" hidden="false" customHeight="true" outlineLevel="0" collapsed="false">
      <c r="A3" s="2"/>
      <c r="B3" s="2"/>
      <c r="C3" s="2"/>
      <c r="D3" s="2"/>
      <c r="E3" s="2"/>
    </row>
    <row r="4" customFormat="false" ht="36" hidden="false" customHeight="true" outlineLevel="0" collapsed="false">
      <c r="A4" s="12" t="s">
        <v>1157</v>
      </c>
      <c r="B4" s="12" t="s">
        <v>1158</v>
      </c>
      <c r="C4" s="12" t="s">
        <v>1159</v>
      </c>
      <c r="D4" s="12" t="s">
        <v>1160</v>
      </c>
      <c r="E4" s="12" t="s">
        <v>1161</v>
      </c>
    </row>
    <row r="5" customFormat="false" ht="30" hidden="false" customHeight="true" outlineLevel="0" collapsed="false">
      <c r="A5" s="8" t="s">
        <v>1162</v>
      </c>
      <c r="B5" s="8" t="s">
        <v>1163</v>
      </c>
      <c r="C5" s="8" t="s">
        <v>1164</v>
      </c>
      <c r="D5" s="49" t="s">
        <v>1165</v>
      </c>
      <c r="E5" s="2" t="s">
        <v>3</v>
      </c>
    </row>
    <row r="6" customFormat="false" ht="30" hidden="false" customHeight="true" outlineLevel="0" collapsed="false">
      <c r="A6" s="8" t="s">
        <v>1166</v>
      </c>
      <c r="B6" s="8" t="s">
        <v>1163</v>
      </c>
      <c r="C6" s="8" t="s">
        <v>1167</v>
      </c>
      <c r="D6" s="49" t="s">
        <v>1168</v>
      </c>
      <c r="E6" s="2" t="s">
        <v>3</v>
      </c>
    </row>
    <row r="7" customFormat="false" ht="30" hidden="false" customHeight="true" outlineLevel="0" collapsed="false">
      <c r="A7" s="8" t="s">
        <v>1169</v>
      </c>
      <c r="B7" s="8" t="s">
        <v>1170</v>
      </c>
      <c r="C7" s="8" t="s">
        <v>1171</v>
      </c>
      <c r="D7" s="49" t="s">
        <v>1172</v>
      </c>
      <c r="E7" s="2" t="s">
        <v>3</v>
      </c>
    </row>
    <row r="8" customFormat="false" ht="30" hidden="false" customHeight="true" outlineLevel="0" collapsed="false">
      <c r="A8" s="8" t="s">
        <v>1173</v>
      </c>
      <c r="B8" s="8" t="s">
        <v>1163</v>
      </c>
      <c r="C8" s="8" t="s">
        <v>1174</v>
      </c>
      <c r="D8" s="49" t="s">
        <v>1175</v>
      </c>
      <c r="E8" s="2" t="s">
        <v>3</v>
      </c>
    </row>
    <row r="9" customFormat="false" ht="30" hidden="false" customHeight="true" outlineLevel="0" collapsed="false">
      <c r="A9" s="8" t="s">
        <v>1176</v>
      </c>
      <c r="B9" s="8" t="s">
        <v>1170</v>
      </c>
      <c r="C9" s="8" t="s">
        <v>1177</v>
      </c>
      <c r="D9" s="49" t="s">
        <v>1178</v>
      </c>
      <c r="E9" s="2" t="s">
        <v>3</v>
      </c>
    </row>
    <row r="10" customFormat="false" ht="30" hidden="false" customHeight="true" outlineLevel="0" collapsed="false">
      <c r="A10" s="8" t="s">
        <v>1179</v>
      </c>
      <c r="B10" s="8" t="s">
        <v>1163</v>
      </c>
      <c r="C10" s="8" t="s">
        <v>1180</v>
      </c>
      <c r="D10" s="49" t="s">
        <v>1181</v>
      </c>
      <c r="E10" s="2" t="s">
        <v>3</v>
      </c>
    </row>
    <row r="11" customFormat="false" ht="30" hidden="false" customHeight="true" outlineLevel="0" collapsed="false">
      <c r="A11" s="8" t="s">
        <v>1182</v>
      </c>
      <c r="B11" s="8" t="s">
        <v>1170</v>
      </c>
      <c r="C11" s="8" t="s">
        <v>1183</v>
      </c>
      <c r="D11" s="49" t="s">
        <v>1184</v>
      </c>
      <c r="E11" s="2" t="s">
        <v>3</v>
      </c>
    </row>
    <row r="12" customFormat="false" ht="30" hidden="false" customHeight="true" outlineLevel="0" collapsed="false">
      <c r="A12" s="8" t="s">
        <v>1185</v>
      </c>
      <c r="B12" s="8" t="s">
        <v>1163</v>
      </c>
      <c r="C12" s="8" t="s">
        <v>1186</v>
      </c>
      <c r="D12" s="49" t="s">
        <v>1187</v>
      </c>
      <c r="E12" s="2" t="s">
        <v>3</v>
      </c>
    </row>
    <row r="13" customFormat="false" ht="30" hidden="false" customHeight="true" outlineLevel="0" collapsed="false">
      <c r="A13" s="8" t="s">
        <v>1188</v>
      </c>
      <c r="B13" s="8" t="s">
        <v>1189</v>
      </c>
      <c r="C13" s="8" t="s">
        <v>1190</v>
      </c>
      <c r="D13" s="49" t="s">
        <v>1191</v>
      </c>
      <c r="E13" s="2" t="s">
        <v>3</v>
      </c>
    </row>
    <row r="14" customFormat="false" ht="30" hidden="false" customHeight="true" outlineLevel="0" collapsed="false">
      <c r="A14" s="8" t="s">
        <v>1192</v>
      </c>
      <c r="B14" s="8" t="s">
        <v>1189</v>
      </c>
      <c r="C14" s="8" t="s">
        <v>1193</v>
      </c>
      <c r="D14" s="49" t="s">
        <v>1194</v>
      </c>
      <c r="E14" s="2" t="s">
        <v>3</v>
      </c>
    </row>
    <row r="15" customFormat="false" ht="30" hidden="false" customHeight="true" outlineLevel="0" collapsed="false">
      <c r="A15" s="8" t="s">
        <v>1195</v>
      </c>
      <c r="B15" s="8" t="s">
        <v>1189</v>
      </c>
      <c r="C15" s="8" t="s">
        <v>1196</v>
      </c>
      <c r="D15" s="49" t="s">
        <v>1197</v>
      </c>
      <c r="E15" s="2" t="s">
        <v>3</v>
      </c>
    </row>
    <row r="16" customFormat="false" ht="30" hidden="false" customHeight="true" outlineLevel="0" collapsed="false">
      <c r="A16" s="8" t="s">
        <v>1198</v>
      </c>
      <c r="B16" s="8" t="s">
        <v>1163</v>
      </c>
      <c r="C16" s="8" t="s">
        <v>1199</v>
      </c>
      <c r="D16" s="49" t="s">
        <v>1200</v>
      </c>
      <c r="E16" s="2" t="s">
        <v>3</v>
      </c>
    </row>
    <row r="17" customFormat="false" ht="30" hidden="false" customHeight="true" outlineLevel="0" collapsed="false">
      <c r="A17" s="8" t="s">
        <v>1201</v>
      </c>
      <c r="B17" s="8" t="s">
        <v>1189</v>
      </c>
      <c r="C17" s="8" t="s">
        <v>1202</v>
      </c>
      <c r="D17" s="49" t="s">
        <v>1203</v>
      </c>
      <c r="E17" s="2" t="s">
        <v>3</v>
      </c>
    </row>
    <row r="18" customFormat="false" ht="30" hidden="false" customHeight="true" outlineLevel="0" collapsed="false">
      <c r="A18" s="8" t="s">
        <v>1204</v>
      </c>
      <c r="B18" s="8" t="s">
        <v>1189</v>
      </c>
      <c r="C18" s="8" t="s">
        <v>1205</v>
      </c>
      <c r="D18" s="49" t="s">
        <v>1206</v>
      </c>
      <c r="E18" s="2" t="s">
        <v>3</v>
      </c>
    </row>
    <row r="19" customFormat="false" ht="30" hidden="false" customHeight="true" outlineLevel="0" collapsed="false">
      <c r="A19" s="8" t="s">
        <v>1207</v>
      </c>
      <c r="B19" s="8" t="s">
        <v>1208</v>
      </c>
      <c r="C19" s="8" t="s">
        <v>1209</v>
      </c>
      <c r="D19" s="49" t="s">
        <v>1210</v>
      </c>
      <c r="E19" s="2" t="s">
        <v>3</v>
      </c>
    </row>
    <row r="20" customFormat="false" ht="30" hidden="false" customHeight="true" outlineLevel="0" collapsed="false">
      <c r="A20" s="8" t="s">
        <v>1211</v>
      </c>
      <c r="B20" s="8" t="s">
        <v>1212</v>
      </c>
      <c r="C20" s="8" t="s">
        <v>1213</v>
      </c>
      <c r="D20" s="49" t="s">
        <v>1214</v>
      </c>
      <c r="E20" s="2" t="s">
        <v>3</v>
      </c>
    </row>
    <row r="21" customFormat="false" ht="30" hidden="false" customHeight="true" outlineLevel="0" collapsed="false">
      <c r="A21" s="8" t="s">
        <v>1215</v>
      </c>
      <c r="B21" s="8" t="s">
        <v>1163</v>
      </c>
      <c r="C21" s="8" t="s">
        <v>1216</v>
      </c>
      <c r="D21" s="49" t="s">
        <v>1217</v>
      </c>
      <c r="E21" s="2" t="s">
        <v>3</v>
      </c>
    </row>
    <row r="22" customFormat="false" ht="30" hidden="false" customHeight="true" outlineLevel="0" collapsed="false">
      <c r="A22" s="8" t="s">
        <v>1218</v>
      </c>
      <c r="B22" s="8" t="s">
        <v>1163</v>
      </c>
      <c r="C22" s="8" t="s">
        <v>1219</v>
      </c>
      <c r="D22" s="49" t="s">
        <v>1220</v>
      </c>
      <c r="E22" s="2" t="s">
        <v>3</v>
      </c>
    </row>
    <row r="23" customFormat="false" ht="30" hidden="false" customHeight="true" outlineLevel="0" collapsed="false">
      <c r="A23" s="8" t="s">
        <v>1221</v>
      </c>
      <c r="B23" s="8" t="s">
        <v>1163</v>
      </c>
      <c r="C23" s="8" t="s">
        <v>1222</v>
      </c>
      <c r="D23" s="49" t="s">
        <v>1223</v>
      </c>
      <c r="E23" s="2" t="s">
        <v>3</v>
      </c>
    </row>
    <row r="24" customFormat="false" ht="30" hidden="false" customHeight="true" outlineLevel="0" collapsed="false">
      <c r="A24" s="8" t="s">
        <v>1224</v>
      </c>
      <c r="B24" s="8" t="s">
        <v>1163</v>
      </c>
      <c r="C24" s="8" t="s">
        <v>1225</v>
      </c>
      <c r="D24" s="49" t="s">
        <v>1226</v>
      </c>
      <c r="E24" s="2" t="s">
        <v>3</v>
      </c>
    </row>
    <row r="25" customFormat="false" ht="30" hidden="false" customHeight="true" outlineLevel="0" collapsed="false">
      <c r="A25" s="8" t="s">
        <v>1227</v>
      </c>
      <c r="B25" s="8" t="s">
        <v>1228</v>
      </c>
      <c r="C25" s="8" t="s">
        <v>1229</v>
      </c>
      <c r="D25" s="49" t="s">
        <v>1230</v>
      </c>
      <c r="E25" s="2" t="s">
        <v>3</v>
      </c>
    </row>
    <row r="26" customFormat="false" ht="30" hidden="false" customHeight="true" outlineLevel="0" collapsed="false">
      <c r="A26" s="8" t="s">
        <v>1231</v>
      </c>
      <c r="B26" s="8" t="s">
        <v>1232</v>
      </c>
      <c r="C26" s="8" t="s">
        <v>1233</v>
      </c>
      <c r="D26" s="49" t="s">
        <v>1234</v>
      </c>
      <c r="E26" s="2" t="s">
        <v>3</v>
      </c>
    </row>
    <row r="27" customFormat="false" ht="30" hidden="false" customHeight="true" outlineLevel="0" collapsed="false">
      <c r="A27" s="8" t="s">
        <v>1235</v>
      </c>
      <c r="B27" s="8" t="s">
        <v>1236</v>
      </c>
      <c r="C27" s="8" t="s">
        <v>1237</v>
      </c>
      <c r="D27" s="49" t="s">
        <v>1238</v>
      </c>
      <c r="E27" s="2" t="s">
        <v>3</v>
      </c>
    </row>
    <row r="28" customFormat="false" ht="30" hidden="false" customHeight="true" outlineLevel="0" collapsed="false">
      <c r="A28" s="8" t="s">
        <v>1239</v>
      </c>
      <c r="B28" s="8" t="s">
        <v>1232</v>
      </c>
      <c r="C28" s="8" t="s">
        <v>1240</v>
      </c>
      <c r="D28" s="49" t="s">
        <v>1241</v>
      </c>
      <c r="E28" s="2" t="s">
        <v>3</v>
      </c>
    </row>
    <row r="29" customFormat="false" ht="30" hidden="false" customHeight="true" outlineLevel="0" collapsed="false">
      <c r="A29" s="8" t="s">
        <v>1242</v>
      </c>
      <c r="B29" s="8" t="s">
        <v>1243</v>
      </c>
      <c r="C29" s="8" t="s">
        <v>1244</v>
      </c>
      <c r="D29" s="49" t="s">
        <v>1245</v>
      </c>
      <c r="E29" s="2" t="s">
        <v>3</v>
      </c>
    </row>
    <row r="30" customFormat="false" ht="30" hidden="false" customHeight="true" outlineLevel="0" collapsed="false">
      <c r="A30" s="8" t="s">
        <v>1246</v>
      </c>
      <c r="B30" s="8" t="s">
        <v>1247</v>
      </c>
      <c r="C30" s="8" t="s">
        <v>1248</v>
      </c>
      <c r="D30" s="49" t="s">
        <v>1249</v>
      </c>
      <c r="E30" s="2" t="s">
        <v>3</v>
      </c>
    </row>
    <row r="31" customFormat="false" ht="30" hidden="false" customHeight="true" outlineLevel="0" collapsed="false">
      <c r="A31" s="8" t="s">
        <v>1250</v>
      </c>
      <c r="B31" s="8" t="s">
        <v>1247</v>
      </c>
      <c r="C31" s="8" t="s">
        <v>1251</v>
      </c>
      <c r="D31" s="49" t="s">
        <v>1252</v>
      </c>
      <c r="E31" s="2" t="s">
        <v>3</v>
      </c>
    </row>
    <row r="32" customFormat="false" ht="30" hidden="false" customHeight="true" outlineLevel="0" collapsed="false">
      <c r="A32" s="8" t="s">
        <v>1253</v>
      </c>
      <c r="B32" s="8" t="s">
        <v>1254</v>
      </c>
      <c r="C32" s="8" t="s">
        <v>1255</v>
      </c>
      <c r="D32" s="49" t="s">
        <v>1256</v>
      </c>
      <c r="E32" s="2" t="s">
        <v>3</v>
      </c>
    </row>
    <row r="33" customFormat="false" ht="30" hidden="false" customHeight="true" outlineLevel="0" collapsed="false">
      <c r="A33" s="8" t="s">
        <v>1257</v>
      </c>
      <c r="B33" s="8" t="s">
        <v>1254</v>
      </c>
      <c r="C33" s="8" t="s">
        <v>1258</v>
      </c>
      <c r="D33" s="49" t="s">
        <v>1259</v>
      </c>
      <c r="E33" s="2" t="s">
        <v>3</v>
      </c>
    </row>
    <row r="34" customFormat="false" ht="30" hidden="false" customHeight="true" outlineLevel="0" collapsed="false">
      <c r="A34" s="8" t="s">
        <v>1260</v>
      </c>
      <c r="B34" s="8" t="s">
        <v>1261</v>
      </c>
      <c r="C34" s="8" t="s">
        <v>1262</v>
      </c>
      <c r="D34" s="49" t="s">
        <v>1263</v>
      </c>
      <c r="E34" s="2" t="s">
        <v>3</v>
      </c>
    </row>
    <row r="35" customFormat="false" ht="30" hidden="false" customHeight="true" outlineLevel="0" collapsed="false">
      <c r="A35" s="8" t="s">
        <v>1264</v>
      </c>
      <c r="B35" s="8" t="s">
        <v>1254</v>
      </c>
      <c r="C35" s="8" t="s">
        <v>1265</v>
      </c>
      <c r="D35" s="49" t="s">
        <v>1266</v>
      </c>
      <c r="E35" s="2" t="s">
        <v>3</v>
      </c>
    </row>
    <row r="36" customFormat="false" ht="30" hidden="false" customHeight="true" outlineLevel="0" collapsed="false">
      <c r="A36" s="8" t="s">
        <v>1267</v>
      </c>
      <c r="B36" s="8" t="s">
        <v>1254</v>
      </c>
      <c r="C36" s="8" t="s">
        <v>1268</v>
      </c>
      <c r="D36" s="49" t="s">
        <v>1269</v>
      </c>
      <c r="E36" s="2" t="s">
        <v>3</v>
      </c>
    </row>
    <row r="37" customFormat="false" ht="30" hidden="false" customHeight="true" outlineLevel="0" collapsed="false">
      <c r="A37" s="8" t="s">
        <v>1270</v>
      </c>
      <c r="B37" s="8" t="s">
        <v>1271</v>
      </c>
      <c r="C37" s="8" t="s">
        <v>1272</v>
      </c>
      <c r="D37" s="49" t="s">
        <v>1273</v>
      </c>
      <c r="E37" s="2" t="s">
        <v>3</v>
      </c>
    </row>
    <row r="38" customFormat="false" ht="30" hidden="false" customHeight="true" outlineLevel="0" collapsed="false">
      <c r="A38" s="8" t="s">
        <v>1274</v>
      </c>
      <c r="B38" s="8" t="s">
        <v>1271</v>
      </c>
      <c r="C38" s="8" t="s">
        <v>1275</v>
      </c>
      <c r="D38" s="49" t="s">
        <v>1276</v>
      </c>
      <c r="E38" s="2" t="s">
        <v>3</v>
      </c>
    </row>
    <row r="39" customFormat="false" ht="30" hidden="false" customHeight="true" outlineLevel="0" collapsed="false">
      <c r="A39" s="8" t="s">
        <v>1277</v>
      </c>
      <c r="B39" s="8" t="s">
        <v>1271</v>
      </c>
      <c r="C39" s="8" t="s">
        <v>1278</v>
      </c>
      <c r="D39" s="49" t="s">
        <v>1279</v>
      </c>
      <c r="E39" s="2" t="s">
        <v>3</v>
      </c>
    </row>
    <row r="40" customFormat="false" ht="30" hidden="false" customHeight="true" outlineLevel="0" collapsed="false">
      <c r="A40" s="8" t="s">
        <v>1280</v>
      </c>
      <c r="B40" s="8" t="s">
        <v>1271</v>
      </c>
      <c r="C40" s="8" t="s">
        <v>1281</v>
      </c>
      <c r="D40" s="49" t="s">
        <v>1282</v>
      </c>
      <c r="E40" s="2" t="s">
        <v>3</v>
      </c>
    </row>
    <row r="41" customFormat="false" ht="30" hidden="false" customHeight="true" outlineLevel="0" collapsed="false">
      <c r="A41" s="8" t="s">
        <v>1283</v>
      </c>
      <c r="B41" s="8" t="s">
        <v>1284</v>
      </c>
      <c r="C41" s="8" t="s">
        <v>1285</v>
      </c>
      <c r="D41" s="49" t="s">
        <v>1286</v>
      </c>
      <c r="E41" s="2" t="s">
        <v>3</v>
      </c>
    </row>
    <row r="42" customFormat="false" ht="30" hidden="false" customHeight="true" outlineLevel="0" collapsed="false">
      <c r="A42" s="8" t="s">
        <v>1287</v>
      </c>
      <c r="B42" s="8" t="s">
        <v>1284</v>
      </c>
      <c r="C42" s="8" t="s">
        <v>1288</v>
      </c>
      <c r="D42" s="49" t="s">
        <v>1289</v>
      </c>
      <c r="E42" s="2" t="s">
        <v>3</v>
      </c>
    </row>
    <row r="43" customFormat="false" ht="30" hidden="false" customHeight="true" outlineLevel="0" collapsed="false">
      <c r="A43" s="8" t="s">
        <v>1290</v>
      </c>
      <c r="B43" s="8" t="s">
        <v>1284</v>
      </c>
      <c r="C43" s="8" t="s">
        <v>1291</v>
      </c>
      <c r="D43" s="49" t="s">
        <v>1292</v>
      </c>
      <c r="E43" s="2" t="s">
        <v>3</v>
      </c>
    </row>
    <row r="44" customFormat="false" ht="30" hidden="false" customHeight="true" outlineLevel="0" collapsed="false">
      <c r="A44" s="8" t="s">
        <v>1293</v>
      </c>
      <c r="B44" s="8" t="s">
        <v>1294</v>
      </c>
      <c r="C44" s="8" t="s">
        <v>1295</v>
      </c>
      <c r="D44" s="49" t="s">
        <v>1296</v>
      </c>
      <c r="E44" s="2" t="s">
        <v>3</v>
      </c>
    </row>
    <row r="45" customFormat="false" ht="30" hidden="false" customHeight="true" outlineLevel="0" collapsed="false">
      <c r="A45" s="8" t="s">
        <v>1297</v>
      </c>
      <c r="B45" s="8" t="s">
        <v>1298</v>
      </c>
      <c r="C45" s="8" t="s">
        <v>1299</v>
      </c>
      <c r="D45" s="49" t="s">
        <v>1300</v>
      </c>
      <c r="E45" s="2" t="s">
        <v>3</v>
      </c>
    </row>
    <row r="46" customFormat="false" ht="30" hidden="false" customHeight="true" outlineLevel="0" collapsed="false">
      <c r="A46" s="8" t="s">
        <v>1301</v>
      </c>
      <c r="B46" s="8" t="s">
        <v>1298</v>
      </c>
      <c r="C46" s="8" t="s">
        <v>1302</v>
      </c>
      <c r="D46" s="49" t="s">
        <v>1303</v>
      </c>
      <c r="E46" s="2" t="s">
        <v>3</v>
      </c>
    </row>
    <row r="47" customFormat="false" ht="30" hidden="false" customHeight="true" outlineLevel="0" collapsed="false">
      <c r="A47" s="8" t="s">
        <v>1304</v>
      </c>
      <c r="B47" s="8" t="s">
        <v>1271</v>
      </c>
      <c r="C47" s="8" t="s">
        <v>1305</v>
      </c>
      <c r="D47" s="49" t="s">
        <v>1306</v>
      </c>
      <c r="E47" s="2" t="s">
        <v>3</v>
      </c>
    </row>
    <row r="48" customFormat="false" ht="30" hidden="false" customHeight="true" outlineLevel="0" collapsed="false">
      <c r="A48" s="8" t="s">
        <v>1307</v>
      </c>
      <c r="B48" s="8" t="s">
        <v>1228</v>
      </c>
      <c r="C48" s="8" t="s">
        <v>1308</v>
      </c>
      <c r="D48" s="49" t="s">
        <v>1309</v>
      </c>
      <c r="E48" s="2" t="s">
        <v>3</v>
      </c>
    </row>
    <row r="49" customFormat="false" ht="30" hidden="false" customHeight="true" outlineLevel="0" collapsed="false">
      <c r="A49" s="8" t="s">
        <v>1310</v>
      </c>
      <c r="B49" s="8" t="s">
        <v>1311</v>
      </c>
      <c r="C49" s="8" t="s">
        <v>1312</v>
      </c>
      <c r="D49" s="49" t="s">
        <v>1313</v>
      </c>
      <c r="E49" s="2" t="s">
        <v>3</v>
      </c>
    </row>
    <row r="50" customFormat="false" ht="30" hidden="false" customHeight="true" outlineLevel="0" collapsed="false">
      <c r="A50" s="8" t="s">
        <v>1314</v>
      </c>
      <c r="B50" s="8" t="s">
        <v>1261</v>
      </c>
      <c r="C50" s="8" t="s">
        <v>1315</v>
      </c>
      <c r="D50" s="49" t="s">
        <v>1316</v>
      </c>
      <c r="E50" s="2" t="s">
        <v>3</v>
      </c>
    </row>
    <row r="51" customFormat="false" ht="30" hidden="false" customHeight="true" outlineLevel="0" collapsed="false">
      <c r="A51" s="8" t="s">
        <v>1317</v>
      </c>
      <c r="B51" s="8" t="s">
        <v>1318</v>
      </c>
      <c r="C51" s="8" t="s">
        <v>1319</v>
      </c>
      <c r="D51" s="49" t="s">
        <v>1320</v>
      </c>
      <c r="E51" s="2" t="s">
        <v>3</v>
      </c>
    </row>
    <row r="52" customFormat="false" ht="30" hidden="false" customHeight="true" outlineLevel="0" collapsed="false">
      <c r="A52" s="8" t="s">
        <v>1321</v>
      </c>
      <c r="B52" s="8" t="s">
        <v>1322</v>
      </c>
      <c r="C52" s="8" t="s">
        <v>1323</v>
      </c>
      <c r="D52" s="49" t="s">
        <v>1324</v>
      </c>
      <c r="E52" s="2" t="s">
        <v>3</v>
      </c>
    </row>
    <row r="53" customFormat="false" ht="30" hidden="false" customHeight="true" outlineLevel="0" collapsed="false">
      <c r="A53" s="8" t="s">
        <v>1325</v>
      </c>
      <c r="B53" s="8" t="s">
        <v>1326</v>
      </c>
      <c r="C53" s="8" t="s">
        <v>1327</v>
      </c>
      <c r="D53" s="49" t="s">
        <v>1328</v>
      </c>
      <c r="E53" s="2" t="s">
        <v>3</v>
      </c>
    </row>
    <row r="54" customFormat="false" ht="30" hidden="false" customHeight="true" outlineLevel="0" collapsed="false">
      <c r="A54" s="8" t="s">
        <v>1329</v>
      </c>
      <c r="B54" s="8" t="s">
        <v>1284</v>
      </c>
      <c r="C54" s="8" t="s">
        <v>1330</v>
      </c>
      <c r="D54" s="49" t="s">
        <v>1331</v>
      </c>
      <c r="E54" s="2" t="s">
        <v>3</v>
      </c>
    </row>
    <row r="55" customFormat="false" ht="30" hidden="false" customHeight="true" outlineLevel="0" collapsed="false">
      <c r="A55" s="8" t="s">
        <v>1332</v>
      </c>
      <c r="B55" s="8" t="s">
        <v>1284</v>
      </c>
      <c r="C55" s="8" t="s">
        <v>1333</v>
      </c>
      <c r="D55" s="49" t="s">
        <v>1334</v>
      </c>
      <c r="E55" s="2" t="s">
        <v>3</v>
      </c>
    </row>
    <row r="56" customFormat="false" ht="30" hidden="false" customHeight="true" outlineLevel="0" collapsed="false">
      <c r="A56" s="8" t="s">
        <v>1335</v>
      </c>
      <c r="B56" s="8" t="s">
        <v>1212</v>
      </c>
      <c r="C56" s="8" t="s">
        <v>1336</v>
      </c>
      <c r="D56" s="49" t="s">
        <v>1337</v>
      </c>
      <c r="E56" s="2" t="s">
        <v>3</v>
      </c>
    </row>
    <row r="57" customFormat="false" ht="30" hidden="false" customHeight="true" outlineLevel="0" collapsed="false">
      <c r="A57" s="8" t="s">
        <v>1338</v>
      </c>
      <c r="B57" s="8" t="s">
        <v>1228</v>
      </c>
      <c r="C57" s="8" t="s">
        <v>1339</v>
      </c>
      <c r="D57" s="49" t="s">
        <v>1340</v>
      </c>
      <c r="E57" s="2" t="s">
        <v>3</v>
      </c>
    </row>
    <row r="58" customFormat="false" ht="30" hidden="false" customHeight="true" outlineLevel="0" collapsed="false">
      <c r="A58" s="8" t="s">
        <v>1341</v>
      </c>
      <c r="B58" s="8" t="s">
        <v>1342</v>
      </c>
      <c r="C58" s="8" t="s">
        <v>1343</v>
      </c>
      <c r="D58" s="49" t="s">
        <v>1344</v>
      </c>
      <c r="E58" s="2" t="s">
        <v>3</v>
      </c>
    </row>
    <row r="59" customFormat="false" ht="30" hidden="false" customHeight="true" outlineLevel="0" collapsed="false">
      <c r="A59" s="8" t="s">
        <v>1345</v>
      </c>
      <c r="B59" s="8" t="s">
        <v>1346</v>
      </c>
      <c r="C59" s="8" t="s">
        <v>1347</v>
      </c>
      <c r="D59" s="49" t="s">
        <v>1348</v>
      </c>
      <c r="E59" s="2" t="s">
        <v>3</v>
      </c>
    </row>
    <row r="60" customFormat="false" ht="30" hidden="false" customHeight="true" outlineLevel="0" collapsed="false">
      <c r="A60" s="8" t="s">
        <v>1349</v>
      </c>
      <c r="B60" s="8" t="s">
        <v>1212</v>
      </c>
      <c r="C60" s="8" t="s">
        <v>1350</v>
      </c>
      <c r="D60" s="49" t="s">
        <v>1351</v>
      </c>
      <c r="E60" s="2" t="s">
        <v>3</v>
      </c>
    </row>
    <row r="61" customFormat="false" ht="15" hidden="false" customHeight="true" outlineLevel="0" collapsed="false">
      <c r="A61" s="2"/>
      <c r="B61" s="2"/>
      <c r="C61" s="2"/>
      <c r="D61" s="2"/>
      <c r="E61" s="2"/>
    </row>
    <row r="62" customFormat="false" ht="15" hidden="false" customHeight="true" outlineLevel="0" collapsed="false">
      <c r="A62" s="2"/>
      <c r="B62" s="2"/>
      <c r="C62" s="2"/>
      <c r="D62" s="2"/>
      <c r="E62" s="2"/>
    </row>
    <row r="63" customFormat="false" ht="15" hidden="false" customHeight="true" outlineLevel="0" collapsed="false">
      <c r="A63" s="7" t="s">
        <v>1352</v>
      </c>
      <c r="B63" s="2"/>
      <c r="C63" s="2"/>
      <c r="D63" s="2"/>
      <c r="E63" s="2"/>
    </row>
    <row r="64" customFormat="false" ht="99.75" hidden="false" customHeight="true" outlineLevel="0" collapsed="false">
      <c r="A64" s="46" t="s">
        <v>1353</v>
      </c>
      <c r="B64" s="2"/>
      <c r="C64" s="8" t="s">
        <v>1354</v>
      </c>
      <c r="D64" s="2"/>
      <c r="E64" s="2"/>
    </row>
    <row r="65" customFormat="false" ht="99.75" hidden="false" customHeight="true" outlineLevel="0" collapsed="false">
      <c r="A65" s="46" t="s">
        <v>1355</v>
      </c>
      <c r="B65" s="2"/>
      <c r="C65" s="8" t="s">
        <v>1356</v>
      </c>
      <c r="D65" s="2"/>
      <c r="E65" s="2"/>
    </row>
    <row r="66" customFormat="false" ht="99.75" hidden="false" customHeight="true" outlineLevel="0" collapsed="false">
      <c r="A66" s="46" t="s">
        <v>1357</v>
      </c>
      <c r="B66" s="2"/>
      <c r="C66" s="8" t="s">
        <v>1358</v>
      </c>
      <c r="D66" s="2"/>
      <c r="E66" s="2"/>
    </row>
    <row r="67" customFormat="false" ht="99.75" hidden="false" customHeight="true" outlineLevel="0" collapsed="false">
      <c r="A67" s="46" t="s">
        <v>1359</v>
      </c>
      <c r="B67" s="2"/>
      <c r="C67" s="8" t="s">
        <v>1360</v>
      </c>
      <c r="D67" s="2"/>
      <c r="E67" s="2"/>
    </row>
    <row r="68" customFormat="false" ht="15" hidden="false" customHeight="true" outlineLevel="0" collapsed="false">
      <c r="A68" s="2"/>
      <c r="B68" s="2"/>
      <c r="C68" s="2"/>
      <c r="D68" s="2"/>
      <c r="E68" s="2"/>
    </row>
    <row r="69" customFormat="false" ht="15" hidden="false" customHeight="true" outlineLevel="0" collapsed="false">
      <c r="A69" s="7" t="s">
        <v>1361</v>
      </c>
      <c r="B69" s="2"/>
      <c r="C69" s="2"/>
      <c r="D69" s="2"/>
      <c r="E69" s="2"/>
    </row>
    <row r="70" customFormat="false" ht="90" hidden="false" customHeight="true" outlineLevel="0" collapsed="false">
      <c r="A70" s="46" t="s">
        <v>1362</v>
      </c>
      <c r="B70" s="2"/>
      <c r="C70" s="8" t="s">
        <v>1363</v>
      </c>
      <c r="D70" s="2"/>
      <c r="E70" s="2"/>
    </row>
    <row r="71" customFormat="false" ht="90" hidden="false" customHeight="true" outlineLevel="0" collapsed="false">
      <c r="A71" s="46" t="s">
        <v>1364</v>
      </c>
      <c r="B71" s="2"/>
      <c r="C71" s="8" t="s">
        <v>1365</v>
      </c>
      <c r="D71" s="2"/>
      <c r="E71" s="2"/>
    </row>
    <row r="72" customFormat="false" ht="90" hidden="false" customHeight="true" outlineLevel="0" collapsed="false">
      <c r="A72" s="46" t="s">
        <v>1366</v>
      </c>
      <c r="B72" s="2"/>
      <c r="C72" s="8" t="s">
        <v>1367</v>
      </c>
      <c r="D72" s="2"/>
      <c r="E72" s="2"/>
    </row>
    <row r="73" customFormat="false" ht="90" hidden="false" customHeight="true" outlineLevel="0" collapsed="false">
      <c r="A73" s="46" t="s">
        <v>1368</v>
      </c>
      <c r="B73" s="2"/>
      <c r="C73" s="8" t="s">
        <v>1369</v>
      </c>
      <c r="D73" s="2"/>
      <c r="E73" s="2"/>
    </row>
    <row r="74" customFormat="false" ht="90" hidden="false" customHeight="true" outlineLevel="0" collapsed="false">
      <c r="A74" s="46" t="s">
        <v>1370</v>
      </c>
      <c r="B74" s="2"/>
      <c r="C74" s="8" t="s">
        <v>1371</v>
      </c>
      <c r="D74" s="2"/>
      <c r="E74" s="2"/>
    </row>
  </sheetData>
  <hyperlinks>
    <hyperlink ref="D5" r:id="rId1" display="https://lanserhof.com/en/lanserhof-tegernsee/treatments/package-longevity-tegernsee/"/>
    <hyperlink ref="D6" r:id="rId2" display="https://lanserhof.com/en/lanserhof-lans/treatments/package-longevity-lans/"/>
    <hyperlink ref="D7" r:id="rId3" display="https://www.serenityways.com/clinics/lanserhof-tegernsee"/>
    <hyperlink ref="D8" r:id="rId4" display="https://shawellness.com/en/advanced-longevity/"/>
    <hyperlink ref="D9" r:id="rId5" display="https://www.serenityways.com/clinics/sha-spain"/>
    <hyperlink ref="D10" r:id="rId6" display="https://www.cliniquelaprairie.com/programs/master-detox/"/>
    <hyperlink ref="D11" r:id="rId7" display="https://swissmedexpert.com/clinic-la-prairie"/>
    <hyperlink ref="D12" r:id="rId8" display="https://www.chenot.com/chenot-palace/weggis/programmes/"/>
    <hyperlink ref="D13" r:id="rId9" display="https://www.chenot.com/wp-content/uploads/2024/05/Chenot-Palace-Weggis-Brochure-EN.pdf"/>
    <hyperlink ref="D14" r:id="rId10" display="https://www.vivamayr.com/en/downloads/"/>
    <hyperlink ref="D15" r:id="rId11" display="https://www.vivamayr.com/app/uploads/2025/01/VIVAMAYR_MW_Preisliste_E_inkl.-Programme_15.01.2024.pdf"/>
    <hyperlink ref="D16" r:id="rId12" display="https://www.buchinger-wilhelmi.com/en/buchinger-wilhelmi-lake-constance/arrangements-packages/"/>
    <hyperlink ref="D17" r:id="rId13" display="https://www.buchinger-wilhelmi.com/wp-content/uploads/2024/11/What-we-offer-2025_web_V1.3.pdf"/>
    <hyperlink ref="D18" r:id="rId14" display="https://www.buchinger-wilhelmi.com/wp-content/uploads/2024/11/What-we-offer-2025_web_V1.0.pdf"/>
    <hyperlink ref="D19" r:id="rId15" display="https://www.sixsenses.com/en/wellness-spa/personalized-wellness/longevity/"/>
    <hyperlink ref="D20" r:id="rId16" display="https://www.hotel-online.com/news/six-senses-2025-wellness-forecast"/>
    <hyperlink ref="D21" r:id="rId17" display="https://anova-irm.com/en/diagnostics/diagnostic-work-up"/>
    <hyperlink ref="D22" r:id="rId18" display="https://www.radiologie-dr-jung.de/en/mri-cost-overview/"/>
    <hyperlink ref="D23" r:id="rId19" display="https://prenuvo.com/pricing"/>
    <hyperlink ref="D24" r:id="rId20" display="https://www.ezra.com/pricing"/>
    <hyperlink ref="D25" r:id="rId21" display="https://www.sleepfoundation.org/sleep-studies/how-much-does-a-sleep-study-cost"/>
    <hyperlink ref="D26" r:id="rId22" display="https://shop.trudiagnostic.com/products/truage-complete-epigenetic-collection"/>
    <hyperlink ref="D27" r:id="rId23" display="https://www.longevityadvice.com/best-biological-age-tests/"/>
    <hyperlink ref="D28" r:id="rId24" display="https://www.viome.com/"/>
    <hyperlink ref="D29" r:id="rId25" display="https://www.innerbody.com/viome-review"/>
    <hyperlink ref="D30" r:id="rId26" display="https://www.hvs.com/article/9999-HVS-US-Hotel-Development-Cost-Survey-2024"/>
    <hyperlink ref="D31" r:id="rId27" display="https://www.hvs.com/article/10219-hvs-us-hotel-development-cost-survey-2025"/>
    <hyperlink ref="D32" r:id="rId28" display="https://www.cushmanwakefield.com/en/insights/hotel-investor-compass"/>
    <hyperlink ref="D33" r:id="rId29" display="https://www.cushmanwakefield.com/en/spain/news/2024/05/hotel-investor-campass-2024"/>
    <hyperlink ref="D34" r:id="rId30" display="https://www.statista.com/statistics/1380696/hotel-construction-costs-european-cities/"/>
    <hyperlink ref="D35" r:id="rId31" display="https://globalwellnessinstitute.org/wp-content/uploads/2024/05/GWI-Wellness-Real-Estate-2024.pdf"/>
    <hyperlink ref="D36" r:id="rId32" display="https://globalwellnessinstitute.org/press-room/press-releases/build-well-to-live-well-2025/"/>
    <hyperlink ref="D37" r:id="rId33" display="https://www.federalregister.gov/documents/2024/04/29/2024-09076/amendment-to-existing-controls-on-russia-and-belarus-under-the-export-administration-regulations-ear"/>
    <hyperlink ref="D38" r:id="rId34" display="https://www.bis.gov/media/961"/>
    <hyperlink ref="D39" r:id="rId35" display="https://finance.ec.europa.eu/system/files/2023-02/faqs-sanctions-russia-medical_en.pdf"/>
    <hyperlink ref="D40" r:id="rId36" display="https://eur-lex.europa.eu/eli/reg/2014/833/oj/eng"/>
    <hyperlink ref="D41" r:id="rId37" display="https://brace-lf.com/en/analytics/pharmaceutical-and-medical-law/parallel-import-russia-medicines-medical-devices"/>
    <hyperlink ref="D42" r:id="rId38" display="https://www.morganlewis.com/pubs/2022/04/update-russia-legalizes-parallel-import-of-certain-goods"/>
    <hyperlink ref="D43" r:id="rId39" display="https://denuo.legal/en/insights/news/240711/"/>
    <hyperlink ref="D44" r:id="rId40" display="https://www.trade.gov/country-commercial-guides/russia-medical-equipment"/>
    <hyperlink ref="D45" r:id="rId41" display="https://securiti.ai/russian-federal-law-no-152-fz/"/>
    <hyperlink ref="D46" r:id="rId42" display="https://konsugroup.com/en/news/new-requirements-personal-data-protection-russia-2025-07/"/>
    <hyperlink ref="D47" r:id="rId43" display="https://www.wto.org/english/res_e/statis_e/daily_update_e/tariff_profiles/RU_E.pdf"/>
    <hyperlink ref="D48" r:id="rId44" display="https://www.tonlexing.com/customs-clearance-in-russia/"/>
    <hyperlink ref="D49" r:id="rId45" display="https://www.mindray.com/en/media-center/blogs/unlimited-potentials-mindray-s-story-in-russia"/>
    <hyperlink ref="D50" r:id="rId46" display="https://tadviser.com/index.php/Article:Medical_Equipment_(Russian_Market)"/>
    <hyperlink ref="D51" r:id="rId47" display="https://schmidt-export.com/news/new-rules-registration-medical-devices-starting-march-1-2025-russia"/>
    <hyperlink ref="D52" r:id="rId48" display="https://www.focus-economics.com/country-indicator/russia/exchange-rate/"/>
    <hyperlink ref="D53" r:id="rId49" display="https://asiatimes.com/2024/12/ruble-volatility-exposes-russias-emerging-economic-crisis/"/>
    <hyperlink ref="D54" r:id="rId50" display="https://www.cooley.com/news/insight/2024/2024-05-06-new-license-exception-authorizes-exports-of-previously-restricted-medical-devices-and-related-items"/>
    <hyperlink ref="D55" r:id="rId51" display="https://www.curtis.com/our-firm/news/the-eu-adopts-its-14th-sanctions-package-against-russia"/>
    <hyperlink ref="D56" r:id="rId52" display="https://www.hospitalitynet.org/news/4125285.html"/>
    <hyperlink ref="D57" r:id="rId53" display="https://www.bodyspec.com/blog/post/how_much_does_a_dexa_scan_cost_in_major_cities"/>
    <hyperlink ref="D58" r:id="rId54" display="https://www.blockimaging.com/ge-and-hologic-bone-densitometer-price-cost-guide"/>
    <hyperlink ref="D59" r:id="rId55" display="https://www.healingholidays.com/accommodation/germany/lanserhof-tegernsee"/>
    <hyperlink ref="D60" r:id="rId56" display="https://globetrender.com/2025/12/02/four-new-six-senses-resorts-2026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2026-05-03T21:28:30Z</dcterms:created>
  <dc:creator>openpyxl</dc:creator>
  <dc:description/>
  <dc:language>en-US</dc:language>
  <cp:lastModifiedBy/>
  <dcterms:modified xsi:type="dcterms:W3CDTF">2026-05-03T21:31:46Z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